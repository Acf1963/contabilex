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8fdb57cff11613/Documentos/01 MboloY/01 MboloY 25/05 Contabilidade/"/>
    </mc:Choice>
  </mc:AlternateContent>
  <xr:revisionPtr revIDLastSave="18" documentId="13_ncr:1_{F9E52C35-E2B0-4ACC-9E99-1365F13B0C1F}" xr6:coauthVersionLast="47" xr6:coauthVersionMax="47" xr10:uidLastSave="{A03DC830-0CE4-4AA3-990F-927F3ADFB845}"/>
  <bookViews>
    <workbookView xWindow="-108" yWindow="-108" windowWidth="23256" windowHeight="12456" tabRatio="840" xr2:uid="{00000000-000D-0000-FFFF-FFFF00000000}"/>
  </bookViews>
  <sheets>
    <sheet name="Capa" sheetId="1" r:id="rId1"/>
    <sheet name="DBase" sheetId="2" r:id="rId2"/>
    <sheet name="TL" sheetId="3" r:id="rId3"/>
    <sheet name="Diários" sheetId="4" r:id="rId4"/>
    <sheet name="Lanç" sheetId="5" r:id="rId5"/>
    <sheet name="Blnct AR" sheetId="6" r:id="rId6"/>
    <sheet name="Balanço" sheetId="7" r:id="rId7"/>
    <sheet name="D R" sheetId="8" r:id="rId8"/>
    <sheet name="NDF" sheetId="9" r:id="rId9"/>
    <sheet name="NB" sheetId="10" r:id="rId10"/>
    <sheet name="NDR" sheetId="11" r:id="rId11"/>
    <sheet name="NB4 IC" sheetId="12" r:id="rId12"/>
    <sheet name="NB5 IInc" sheetId="13" r:id="rId13"/>
    <sheet name="NB8a19" sheetId="14" r:id="rId14"/>
    <sheet name="NDR22a35" sheetId="15" r:id="rId15"/>
    <sheet name="Flx CX" sheetId="16" r:id="rId16"/>
  </sheets>
  <definedNames>
    <definedName name="_xlnm._FilterDatabase" localSheetId="5" hidden="1">'Blnct AR'!$A$4:$B$2262</definedName>
    <definedName name="_xlnm._FilterDatabase" localSheetId="3" hidden="1">Diários!$A$1:$A$134</definedName>
    <definedName name="_xlnm._FilterDatabase" localSheetId="4" hidden="1">Lanç!$A$2:$C$1344</definedName>
    <definedName name="_xlnm._FilterDatabase" localSheetId="2" hidden="1">TL!$A$1:$A$190</definedName>
    <definedName name="_xlnm.Print_Area" localSheetId="6">Balanço!$A$1:$G$53</definedName>
    <definedName name="_xlnm.Print_Area" localSheetId="5">'Blnct AR'!$C$1:$I$2266</definedName>
    <definedName name="_xlnm.Print_Area" localSheetId="0">Capa!$A$1:$K$52</definedName>
    <definedName name="_xlnm.Print_Area" localSheetId="7">'D R'!$A$1:$G$34</definedName>
    <definedName name="_xlnm.Print_Area" localSheetId="4">Lanç!$A$1:$H$3044</definedName>
    <definedName name="_xlnm.Print_Area" localSheetId="12">'NB5 IInc'!$A$1:$M$32</definedName>
    <definedName name="_xlnm.Print_Area" localSheetId="8">NDF!$A$1:$K$55</definedName>
    <definedName name="_xlnm.Print_Area" localSheetId="14">NDR22a35!$A$1:$O$92</definedName>
    <definedName name="E14a116802">#REF!</definedName>
    <definedName name="_xlnm.Print_Titles" localSheetId="5">'Blnct AR'!$1:$4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" l="1"/>
  <c r="C10" i="2"/>
  <c r="D10" i="2" s="1"/>
  <c r="D1251" i="5"/>
  <c r="D1252" i="5"/>
  <c r="D1253" i="5"/>
  <c r="D1254" i="5"/>
  <c r="D1255" i="5"/>
  <c r="D1256" i="5"/>
  <c r="D1257" i="5"/>
  <c r="D1258" i="5"/>
  <c r="G264" i="5" l="1"/>
  <c r="F265" i="5"/>
  <c r="G1297" i="5"/>
  <c r="F278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43" i="5" l="1"/>
  <c r="D244" i="5"/>
  <c r="D245" i="5"/>
  <c r="D246" i="5"/>
  <c r="D247" i="5"/>
  <c r="D248" i="5"/>
  <c r="D249" i="5"/>
  <c r="D251" i="5"/>
  <c r="D252" i="5"/>
  <c r="D253" i="5"/>
  <c r="D254" i="5"/>
  <c r="D255" i="5"/>
  <c r="D256" i="5"/>
  <c r="D257" i="5"/>
  <c r="D258" i="5"/>
  <c r="D259" i="5"/>
  <c r="D260" i="5"/>
  <c r="D261" i="5"/>
  <c r="D235" i="5"/>
  <c r="D236" i="5"/>
  <c r="D232" i="5"/>
  <c r="D233" i="5"/>
  <c r="D169" i="5"/>
  <c r="D170" i="5"/>
  <c r="D126" i="5"/>
  <c r="D127" i="5"/>
  <c r="D1313" i="5" l="1"/>
  <c r="D1314" i="5"/>
  <c r="D1294" i="5" l="1"/>
  <c r="D1295" i="5"/>
  <c r="D1312" i="5" l="1"/>
  <c r="E29" i="6"/>
  <c r="F29" i="6"/>
  <c r="G29" i="6"/>
  <c r="H29" i="6" l="1"/>
  <c r="I29" i="6" s="1"/>
  <c r="A29" i="6" s="1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307" i="5"/>
  <c r="D308" i="5"/>
  <c r="D309" i="5"/>
  <c r="D310" i="5"/>
  <c r="D305" i="5"/>
  <c r="D306" i="5"/>
  <c r="D311" i="5"/>
  <c r="D312" i="5"/>
  <c r="E518" i="6" l="1"/>
  <c r="F518" i="6"/>
  <c r="G518" i="6"/>
  <c r="D350" i="5"/>
  <c r="D351" i="5"/>
  <c r="D348" i="5"/>
  <c r="D349" i="5"/>
  <c r="D345" i="5"/>
  <c r="D346" i="5"/>
  <c r="D347" i="5"/>
  <c r="D334" i="5"/>
  <c r="D335" i="5"/>
  <c r="D336" i="5"/>
  <c r="D337" i="5"/>
  <c r="D338" i="5"/>
  <c r="D339" i="5"/>
  <c r="D340" i="5"/>
  <c r="D341" i="5"/>
  <c r="D342" i="5"/>
  <c r="D343" i="5"/>
  <c r="D344" i="5"/>
  <c r="D332" i="5"/>
  <c r="D333" i="5"/>
  <c r="D330" i="5"/>
  <c r="D331" i="5"/>
  <c r="G353" i="5"/>
  <c r="D328" i="5"/>
  <c r="D329" i="5"/>
  <c r="D326" i="5"/>
  <c r="D327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52" i="5"/>
  <c r="D353" i="5"/>
  <c r="H518" i="6" l="1"/>
  <c r="I518" i="6" s="1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46" i="5"/>
  <c r="D1177" i="5"/>
  <c r="D1178" i="5"/>
  <c r="D1179" i="5"/>
  <c r="D1180" i="5"/>
  <c r="D1181" i="5"/>
  <c r="D1182" i="5"/>
  <c r="D1183" i="5"/>
  <c r="D1184" i="5"/>
  <c r="D1185" i="5"/>
  <c r="D1186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E1940" i="6"/>
  <c r="F1940" i="6"/>
  <c r="G1940" i="6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091" i="5"/>
  <c r="D1092" i="5"/>
  <c r="D1093" i="5"/>
  <c r="D1094" i="5"/>
  <c r="D1095" i="5"/>
  <c r="D1096" i="5"/>
  <c r="D1082" i="5"/>
  <c r="D1083" i="5"/>
  <c r="D1084" i="5"/>
  <c r="D1085" i="5"/>
  <c r="D1086" i="5"/>
  <c r="D1087" i="5"/>
  <c r="D1088" i="5"/>
  <c r="D1089" i="5"/>
  <c r="D1090" i="5"/>
  <c r="D1097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39" i="5"/>
  <c r="D1040" i="5"/>
  <c r="D1041" i="5"/>
  <c r="D1042" i="5"/>
  <c r="D1043" i="5"/>
  <c r="D1044" i="5"/>
  <c r="D1045" i="5"/>
  <c r="D1046" i="5"/>
  <c r="D1047" i="5"/>
  <c r="D1048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4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53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E1960" i="6"/>
  <c r="F1960" i="6"/>
  <c r="G1960" i="6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A518" i="6" l="1"/>
  <c r="H1940" i="6"/>
  <c r="I1940" i="6" s="1"/>
  <c r="A1940" i="6" s="1"/>
  <c r="H1960" i="6"/>
  <c r="I1960" i="6" s="1"/>
  <c r="A1960" i="6" s="1"/>
  <c r="D840" i="5"/>
  <c r="D841" i="5"/>
  <c r="D842" i="5"/>
  <c r="D843" i="5"/>
  <c r="D844" i="5"/>
  <c r="D845" i="5"/>
  <c r="D846" i="5"/>
  <c r="E2004" i="6"/>
  <c r="F2004" i="6"/>
  <c r="G2004" i="6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954" i="5"/>
  <c r="D821" i="5"/>
  <c r="D822" i="5"/>
  <c r="D823" i="5"/>
  <c r="D824" i="5"/>
  <c r="D82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779" i="5"/>
  <c r="D778" i="5"/>
  <c r="D777" i="5"/>
  <c r="D776" i="5"/>
  <c r="D775" i="5"/>
  <c r="D774" i="5"/>
  <c r="D766" i="5"/>
  <c r="D767" i="5"/>
  <c r="D768" i="5"/>
  <c r="D765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9" i="5"/>
  <c r="D770" i="5"/>
  <c r="D771" i="5"/>
  <c r="D772" i="5"/>
  <c r="D720" i="5"/>
  <c r="D1345" i="5"/>
  <c r="E1938" i="6"/>
  <c r="F1938" i="6"/>
  <c r="G1938" i="6"/>
  <c r="D716" i="5"/>
  <c r="D717" i="5"/>
  <c r="D718" i="5"/>
  <c r="D719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694" i="5"/>
  <c r="D695" i="5"/>
  <c r="D696" i="5"/>
  <c r="D689" i="5"/>
  <c r="D690" i="5"/>
  <c r="D691" i="5"/>
  <c r="D692" i="5"/>
  <c r="D693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683" i="5"/>
  <c r="D684" i="5"/>
  <c r="D685" i="5"/>
  <c r="D686" i="5"/>
  <c r="D687" i="5"/>
  <c r="D688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H2004" i="6" l="1"/>
  <c r="I2004" i="6" s="1"/>
  <c r="H1938" i="6"/>
  <c r="I1938" i="6" s="1"/>
  <c r="D1308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79" i="5"/>
  <c r="E1939" i="6"/>
  <c r="F1939" i="6"/>
  <c r="G1939" i="6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468" i="5"/>
  <c r="D1303" i="5"/>
  <c r="D1304" i="5"/>
  <c r="D462" i="5"/>
  <c r="D463" i="5"/>
  <c r="D464" i="5"/>
  <c r="D465" i="5"/>
  <c r="D466" i="5"/>
  <c r="D467" i="5"/>
  <c r="D469" i="5"/>
  <c r="D470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43" i="5"/>
  <c r="D444" i="5"/>
  <c r="D442" i="5"/>
  <c r="D441" i="5"/>
  <c r="D440" i="5"/>
  <c r="D430" i="5"/>
  <c r="D431" i="5"/>
  <c r="D432" i="5"/>
  <c r="A2004" i="6" l="1"/>
  <c r="A1938" i="6"/>
  <c r="H1939" i="6"/>
  <c r="I1939" i="6" s="1"/>
  <c r="A1939" i="6" s="1"/>
  <c r="D427" i="5"/>
  <c r="D428" i="5"/>
  <c r="D429" i="5"/>
  <c r="D433" i="5"/>
  <c r="D434" i="5"/>
  <c r="D435" i="5"/>
  <c r="D436" i="5"/>
  <c r="D437" i="5"/>
  <c r="D438" i="5"/>
  <c r="D439" i="5"/>
  <c r="D425" i="5"/>
  <c r="D426" i="5"/>
  <c r="D422" i="5"/>
  <c r="D423" i="5"/>
  <c r="D424" i="5"/>
  <c r="D580" i="5"/>
  <c r="D581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576" i="5"/>
  <c r="D577" i="5"/>
  <c r="D578" i="5"/>
  <c r="D579" i="5"/>
  <c r="D553" i="5"/>
  <c r="D555" i="5"/>
  <c r="D556" i="5"/>
  <c r="D557" i="5"/>
  <c r="D558" i="5"/>
  <c r="D559" i="5"/>
  <c r="D560" i="5"/>
  <c r="D561" i="5"/>
  <c r="D562" i="5"/>
  <c r="D563" i="5"/>
  <c r="D564" i="5"/>
  <c r="D566" i="5"/>
  <c r="D567" i="5"/>
  <c r="D568" i="5"/>
  <c r="D569" i="5"/>
  <c r="D570" i="5"/>
  <c r="D571" i="5"/>
  <c r="D572" i="5"/>
  <c r="D573" i="5"/>
  <c r="D574" i="5"/>
  <c r="D575" i="5"/>
  <c r="D610" i="5"/>
  <c r="D628" i="5"/>
  <c r="D629" i="5"/>
  <c r="D680" i="5"/>
  <c r="D681" i="5"/>
  <c r="D682" i="5"/>
  <c r="D748" i="5"/>
  <c r="D749" i="5"/>
  <c r="D750" i="5"/>
  <c r="D751" i="5"/>
  <c r="D818" i="5"/>
  <c r="D819" i="5"/>
  <c r="D820" i="5"/>
  <c r="D903" i="5"/>
  <c r="D955" i="5"/>
  <c r="D956" i="5"/>
  <c r="D1015" i="5"/>
  <c r="D1016" i="5"/>
  <c r="D1017" i="5"/>
  <c r="D1012" i="5"/>
  <c r="D1013" i="5"/>
  <c r="D1018" i="5"/>
  <c r="D1019" i="5"/>
  <c r="D1098" i="5"/>
  <c r="D1099" i="5"/>
  <c r="D1100" i="5"/>
  <c r="D1101" i="5"/>
  <c r="D1102" i="5"/>
  <c r="D1103" i="5"/>
  <c r="D1104" i="5"/>
  <c r="D1187" i="5"/>
  <c r="D1188" i="5"/>
  <c r="D1189" i="5"/>
  <c r="D1190" i="5"/>
  <c r="D1191" i="5"/>
  <c r="D543" i="5"/>
  <c r="D544" i="5"/>
  <c r="D545" i="5"/>
  <c r="D546" i="5"/>
  <c r="D547" i="5"/>
  <c r="D548" i="5"/>
  <c r="D549" i="5"/>
  <c r="D550" i="5"/>
  <c r="D551" i="5"/>
  <c r="D552" i="5"/>
  <c r="D506" i="5" l="1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01" i="5"/>
  <c r="D502" i="5"/>
  <c r="D499" i="5"/>
  <c r="D500" i="5"/>
  <c r="D504" i="5"/>
  <c r="D505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72" i="5"/>
  <c r="D473" i="5"/>
  <c r="D474" i="5"/>
  <c r="D475" i="5"/>
  <c r="D476" i="5"/>
  <c r="D477" i="5"/>
  <c r="D478" i="5"/>
  <c r="D479" i="5"/>
  <c r="D480" i="5"/>
  <c r="D481" i="5"/>
  <c r="D420" i="5"/>
  <c r="D421" i="5"/>
  <c r="D388" i="5"/>
  <c r="D389" i="5"/>
  <c r="D390" i="5"/>
  <c r="D391" i="5"/>
  <c r="D392" i="5"/>
  <c r="D393" i="5"/>
  <c r="D394" i="5"/>
  <c r="D387" i="5"/>
  <c r="D386" i="5"/>
  <c r="D385" i="5"/>
  <c r="D383" i="5"/>
  <c r="D384" i="5"/>
  <c r="D381" i="5"/>
  <c r="D370" i="5"/>
  <c r="D371" i="5"/>
  <c r="D301" i="5" l="1"/>
  <c r="D302" i="5"/>
  <c r="F1292" i="5"/>
  <c r="F1289" i="5"/>
  <c r="F1283" i="5"/>
  <c r="F1286" i="5"/>
  <c r="F1273" i="5" l="1"/>
  <c r="F1280" i="5"/>
  <c r="D1278" i="5"/>
  <c r="D1279" i="5"/>
  <c r="D1280" i="5"/>
  <c r="G1323" i="5"/>
  <c r="F1323" i="5"/>
  <c r="D1311" i="5"/>
  <c r="D1310" i="5"/>
  <c r="D1309" i="5"/>
  <c r="D1307" i="5"/>
  <c r="D1306" i="5"/>
  <c r="D1305" i="5"/>
  <c r="D300" i="5"/>
  <c r="D299" i="5"/>
  <c r="D298" i="5"/>
  <c r="D297" i="5"/>
  <c r="D296" i="5"/>
  <c r="D295" i="5"/>
  <c r="D294" i="5"/>
  <c r="D293" i="5"/>
  <c r="D216" i="5"/>
  <c r="D217" i="5"/>
  <c r="D239" i="5"/>
  <c r="D240" i="5"/>
  <c r="D237" i="5"/>
  <c r="D238" i="5"/>
  <c r="D230" i="5"/>
  <c r="D231" i="5"/>
  <c r="D229" i="5"/>
  <c r="D225" i="5"/>
  <c r="D224" i="5"/>
  <c r="D222" i="5"/>
  <c r="D215" i="5"/>
  <c r="D220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45" i="5" l="1"/>
  <c r="D144" i="5"/>
  <c r="D143" i="5"/>
  <c r="D142" i="5"/>
  <c r="E517" i="6" l="1"/>
  <c r="G517" i="6"/>
  <c r="E515" i="6"/>
  <c r="F515" i="6"/>
  <c r="G515" i="6"/>
  <c r="F517" i="6"/>
  <c r="D1283" i="5"/>
  <c r="D1282" i="5"/>
  <c r="D1281" i="5"/>
  <c r="F1277" i="5"/>
  <c r="F1276" i="5" s="1"/>
  <c r="D1277" i="5"/>
  <c r="D1276" i="5"/>
  <c r="D1275" i="5"/>
  <c r="D1274" i="5"/>
  <c r="D1273" i="5"/>
  <c r="D1272" i="5"/>
  <c r="D1271" i="5"/>
  <c r="H517" i="6" l="1"/>
  <c r="I517" i="6" s="1"/>
  <c r="H515" i="6"/>
  <c r="I515" i="6" s="1"/>
  <c r="A515" i="6" s="1"/>
  <c r="F1269" i="5"/>
  <c r="D1268" i="5"/>
  <c r="F1265" i="5"/>
  <c r="D1264" i="5"/>
  <c r="A517" i="6" l="1"/>
  <c r="E1977" i="6" l="1"/>
  <c r="F1977" i="6"/>
  <c r="G1977" i="6"/>
  <c r="H1977" i="6" l="1"/>
  <c r="I1977" i="6" s="1"/>
  <c r="A1977" i="6" s="1"/>
  <c r="G1650" i="6"/>
  <c r="D48" i="5"/>
  <c r="E579" i="6"/>
  <c r="F579" i="6"/>
  <c r="G579" i="6"/>
  <c r="E42" i="6"/>
  <c r="F42" i="6"/>
  <c r="G42" i="6"/>
  <c r="D1266" i="5"/>
  <c r="E1265" i="5"/>
  <c r="E1266" i="5" s="1"/>
  <c r="H579" i="6" l="1"/>
  <c r="I579" i="6" s="1"/>
  <c r="H42" i="6"/>
  <c r="I42" i="6" s="1"/>
  <c r="A42" i="6" s="1"/>
  <c r="A579" i="6" l="1"/>
  <c r="D39" i="5" l="1"/>
  <c r="F514" i="6"/>
  <c r="G514" i="6"/>
  <c r="E516" i="6"/>
  <c r="F516" i="6"/>
  <c r="G516" i="6"/>
  <c r="H516" i="6" l="1"/>
  <c r="I516" i="6" s="1"/>
  <c r="A516" i="6" s="1"/>
  <c r="H514" i="6"/>
  <c r="D1261" i="5"/>
  <c r="D1262" i="5"/>
  <c r="D1263" i="5"/>
  <c r="D1265" i="5"/>
  <c r="D1267" i="5"/>
  <c r="D1269" i="5"/>
  <c r="D1270" i="5"/>
  <c r="D1284" i="5"/>
  <c r="D1285" i="5"/>
  <c r="D1286" i="5"/>
  <c r="D1287" i="5"/>
  <c r="D1288" i="5"/>
  <c r="D1289" i="5"/>
  <c r="D1290" i="5"/>
  <c r="D1291" i="5"/>
  <c r="D1292" i="5"/>
  <c r="D1293" i="5"/>
  <c r="D1296" i="5"/>
  <c r="D1297" i="5"/>
  <c r="D1298" i="5"/>
  <c r="D1299" i="5"/>
  <c r="D1300" i="5"/>
  <c r="D1301" i="5"/>
  <c r="D1302" i="5"/>
  <c r="F113" i="5"/>
  <c r="D76" i="5"/>
  <c r="D77" i="5"/>
  <c r="D62" i="5"/>
  <c r="F62" i="5"/>
  <c r="D54" i="5"/>
  <c r="F54" i="5"/>
  <c r="D52" i="5"/>
  <c r="F52" i="5"/>
  <c r="D42" i="5"/>
  <c r="D43" i="5"/>
  <c r="D44" i="5"/>
  <c r="D45" i="5"/>
  <c r="D46" i="5"/>
  <c r="D47" i="5"/>
  <c r="F38" i="5"/>
  <c r="E514" i="6" s="1"/>
  <c r="D38" i="5"/>
  <c r="D41" i="5"/>
  <c r="D35" i="5"/>
  <c r="D30" i="5"/>
  <c r="I514" i="6" l="1"/>
  <c r="A514" i="6" s="1"/>
  <c r="G1262" i="5" l="1"/>
  <c r="F1262" i="5"/>
  <c r="G1259" i="5"/>
  <c r="F1259" i="5"/>
  <c r="F353" i="5"/>
  <c r="G288" i="5"/>
  <c r="F288" i="5"/>
  <c r="E1258" i="5"/>
  <c r="B1261" i="5" l="1"/>
  <c r="G1296" i="5" l="1"/>
  <c r="F1296" i="5"/>
  <c r="F1246" i="5" l="1"/>
  <c r="G1246" i="5"/>
  <c r="D1259" i="5"/>
  <c r="D1260" i="5"/>
  <c r="D372" i="5" l="1"/>
  <c r="D373" i="5"/>
  <c r="D374" i="5"/>
  <c r="D375" i="5"/>
  <c r="D376" i="5"/>
  <c r="D377" i="5"/>
  <c r="D378" i="5"/>
  <c r="D379" i="5"/>
  <c r="D380" i="5"/>
  <c r="D362" i="5"/>
  <c r="D363" i="5"/>
  <c r="D364" i="5"/>
  <c r="D365" i="5"/>
  <c r="D366" i="5"/>
  <c r="D367" i="5"/>
  <c r="D368" i="5"/>
  <c r="D369" i="5"/>
  <c r="D354" i="5"/>
  <c r="D355" i="5"/>
  <c r="D356" i="5"/>
  <c r="D357" i="5"/>
  <c r="D358" i="5"/>
  <c r="D359" i="5"/>
  <c r="D360" i="5"/>
  <c r="D361" i="5"/>
  <c r="D1249" i="5" l="1"/>
  <c r="D1250" i="5"/>
  <c r="B1250" i="5"/>
  <c r="B1248" i="5"/>
  <c r="D291" i="5"/>
  <c r="D292" i="5"/>
  <c r="D303" i="5"/>
  <c r="D304" i="5"/>
  <c r="D123" i="5"/>
  <c r="D124" i="5"/>
  <c r="D125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6" i="5"/>
  <c r="D147" i="5"/>
  <c r="D148" i="5"/>
  <c r="D149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241" i="5"/>
  <c r="D242" i="5"/>
  <c r="D289" i="5"/>
  <c r="D290" i="5"/>
  <c r="D122" i="5"/>
  <c r="D1247" i="5"/>
  <c r="D1248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4" i="5"/>
  <c r="D1495" i="5"/>
  <c r="D1496" i="5"/>
  <c r="D1497" i="5"/>
  <c r="D1498" i="5"/>
  <c r="D1499" i="5"/>
  <c r="D1500" i="5"/>
  <c r="D1501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F111" i="5" l="1"/>
  <c r="F105" i="5"/>
  <c r="D105" i="5"/>
  <c r="F95" i="5"/>
  <c r="F94" i="5"/>
  <c r="F92" i="5"/>
  <c r="F84" i="5"/>
  <c r="D81" i="5"/>
  <c r="F81" i="5"/>
  <c r="F78" i="5"/>
  <c r="D72" i="5"/>
  <c r="F61" i="5"/>
  <c r="F56" i="5"/>
  <c r="F51" i="5"/>
  <c r="F2260" i="6" l="1"/>
  <c r="E2262" i="6"/>
  <c r="F815" i="6" l="1"/>
  <c r="E912" i="6" l="1"/>
  <c r="E1992" i="6"/>
  <c r="F1992" i="6"/>
  <c r="G1992" i="6"/>
  <c r="E1954" i="6"/>
  <c r="F1954" i="6"/>
  <c r="G1954" i="6"/>
  <c r="E1819" i="6"/>
  <c r="E1910" i="6"/>
  <c r="F1910" i="6"/>
  <c r="G1910" i="6"/>
  <c r="E1417" i="6"/>
  <c r="F1417" i="6"/>
  <c r="G1417" i="6"/>
  <c r="E1418" i="6"/>
  <c r="F1418" i="6"/>
  <c r="G1418" i="6"/>
  <c r="E1394" i="6"/>
  <c r="F1394" i="6"/>
  <c r="G1394" i="6"/>
  <c r="E1395" i="6"/>
  <c r="F1395" i="6"/>
  <c r="G1395" i="6"/>
  <c r="E1396" i="6"/>
  <c r="F1396" i="6"/>
  <c r="G1396" i="6"/>
  <c r="E1301" i="6"/>
  <c r="F1301" i="6"/>
  <c r="G1301" i="6"/>
  <c r="H1992" i="6" l="1"/>
  <c r="I1992" i="6" s="1"/>
  <c r="A1992" i="6" s="1"/>
  <c r="H1954" i="6"/>
  <c r="I1954" i="6" s="1"/>
  <c r="A1954" i="6" s="1"/>
  <c r="H1910" i="6"/>
  <c r="H1417" i="6"/>
  <c r="I1417" i="6" s="1"/>
  <c r="H1418" i="6"/>
  <c r="I1418" i="6" s="1"/>
  <c r="A1418" i="6" s="1"/>
  <c r="H1395" i="6"/>
  <c r="I1395" i="6" s="1"/>
  <c r="H1394" i="6"/>
  <c r="I1394" i="6" s="1"/>
  <c r="H1301" i="6"/>
  <c r="I1301" i="6" s="1"/>
  <c r="A1301" i="6" s="1"/>
  <c r="H1396" i="6"/>
  <c r="I1396" i="6" s="1"/>
  <c r="A1396" i="6" s="1"/>
  <c r="I1910" i="6" l="1"/>
  <c r="A1910" i="6" s="1"/>
  <c r="A1417" i="6"/>
  <c r="A1395" i="6"/>
  <c r="A1394" i="6"/>
  <c r="E1222" i="6" l="1"/>
  <c r="F1222" i="6"/>
  <c r="G1222" i="6"/>
  <c r="E1187" i="6"/>
  <c r="F1187" i="6"/>
  <c r="G1187" i="6"/>
  <c r="H1222" i="6" l="1"/>
  <c r="I1222" i="6" s="1"/>
  <c r="A1222" i="6" s="1"/>
  <c r="H1187" i="6"/>
  <c r="I1187" i="6" s="1"/>
  <c r="E993" i="6"/>
  <c r="F993" i="6"/>
  <c r="G993" i="6"/>
  <c r="E994" i="6"/>
  <c r="F994" i="6"/>
  <c r="G994" i="6"/>
  <c r="E995" i="6"/>
  <c r="F995" i="6"/>
  <c r="G995" i="6"/>
  <c r="E996" i="6"/>
  <c r="F996" i="6"/>
  <c r="G996" i="6"/>
  <c r="E997" i="6"/>
  <c r="F997" i="6"/>
  <c r="G997" i="6"/>
  <c r="E891" i="6"/>
  <c r="F891" i="6"/>
  <c r="G891" i="6"/>
  <c r="E892" i="6"/>
  <c r="F892" i="6"/>
  <c r="G892" i="6"/>
  <c r="E893" i="6"/>
  <c r="F893" i="6"/>
  <c r="G893" i="6"/>
  <c r="E894" i="6"/>
  <c r="F894" i="6"/>
  <c r="G894" i="6"/>
  <c r="E895" i="6"/>
  <c r="F895" i="6"/>
  <c r="G895" i="6"/>
  <c r="E896" i="6"/>
  <c r="F896" i="6"/>
  <c r="G896" i="6"/>
  <c r="E897" i="6"/>
  <c r="F897" i="6"/>
  <c r="G897" i="6"/>
  <c r="E898" i="6"/>
  <c r="F898" i="6"/>
  <c r="G898" i="6"/>
  <c r="E899" i="6"/>
  <c r="F899" i="6"/>
  <c r="G899" i="6"/>
  <c r="E900" i="6"/>
  <c r="F900" i="6"/>
  <c r="G900" i="6"/>
  <c r="E901" i="6"/>
  <c r="F901" i="6"/>
  <c r="G901" i="6"/>
  <c r="E902" i="6"/>
  <c r="F902" i="6"/>
  <c r="G902" i="6"/>
  <c r="E903" i="6"/>
  <c r="F903" i="6"/>
  <c r="G903" i="6"/>
  <c r="E904" i="6"/>
  <c r="F904" i="6"/>
  <c r="G904" i="6"/>
  <c r="E905" i="6"/>
  <c r="F905" i="6"/>
  <c r="G905" i="6"/>
  <c r="E570" i="6"/>
  <c r="F570" i="6"/>
  <c r="G570" i="6"/>
  <c r="E571" i="6"/>
  <c r="F571" i="6"/>
  <c r="G571" i="6"/>
  <c r="E509" i="6"/>
  <c r="F509" i="6"/>
  <c r="G509" i="6"/>
  <c r="E510" i="6"/>
  <c r="F510" i="6"/>
  <c r="G510" i="6"/>
  <c r="E511" i="6"/>
  <c r="F511" i="6"/>
  <c r="G511" i="6"/>
  <c r="A1187" i="6" l="1"/>
  <c r="H993" i="6"/>
  <c r="I993" i="6" s="1"/>
  <c r="H894" i="6"/>
  <c r="I894" i="6" s="1"/>
  <c r="A894" i="6" s="1"/>
  <c r="H996" i="6"/>
  <c r="I996" i="6" s="1"/>
  <c r="A996" i="6" s="1"/>
  <c r="H997" i="6"/>
  <c r="I997" i="6" s="1"/>
  <c r="H994" i="6"/>
  <c r="I994" i="6" s="1"/>
  <c r="H995" i="6"/>
  <c r="I995" i="6" s="1"/>
  <c r="A995" i="6" s="1"/>
  <c r="H903" i="6"/>
  <c r="I903" i="6" s="1"/>
  <c r="A903" i="6" s="1"/>
  <c r="H895" i="6"/>
  <c r="I895" i="6" s="1"/>
  <c r="A895" i="6" s="1"/>
  <c r="H902" i="6"/>
  <c r="I902" i="6" s="1"/>
  <c r="A902" i="6" s="1"/>
  <c r="H899" i="6"/>
  <c r="I899" i="6" s="1"/>
  <c r="A899" i="6" s="1"/>
  <c r="H901" i="6"/>
  <c r="I901" i="6" s="1"/>
  <c r="H891" i="6"/>
  <c r="I891" i="6" s="1"/>
  <c r="A891" i="6" s="1"/>
  <c r="H898" i="6"/>
  <c r="I898" i="6" s="1"/>
  <c r="H892" i="6"/>
  <c r="I892" i="6" s="1"/>
  <c r="H900" i="6"/>
  <c r="I900" i="6" s="1"/>
  <c r="H904" i="6"/>
  <c r="I904" i="6" s="1"/>
  <c r="H893" i="6"/>
  <c r="I893" i="6" s="1"/>
  <c r="H905" i="6"/>
  <c r="I905" i="6" s="1"/>
  <c r="H896" i="6"/>
  <c r="I896" i="6" s="1"/>
  <c r="H897" i="6"/>
  <c r="I897" i="6" s="1"/>
  <c r="H571" i="6"/>
  <c r="I571" i="6" s="1"/>
  <c r="A571" i="6" s="1"/>
  <c r="H570" i="6"/>
  <c r="I570" i="6" s="1"/>
  <c r="H511" i="6"/>
  <c r="I511" i="6" s="1"/>
  <c r="A511" i="6" s="1"/>
  <c r="H509" i="6"/>
  <c r="I509" i="6" s="1"/>
  <c r="A509" i="6" s="1"/>
  <c r="H510" i="6"/>
  <c r="I510" i="6" s="1"/>
  <c r="F2261" i="6"/>
  <c r="G2262" i="6"/>
  <c r="F2220" i="6"/>
  <c r="E2220" i="6"/>
  <c r="A993" i="6" l="1"/>
  <c r="A893" i="6"/>
  <c r="A904" i="6"/>
  <c r="A898" i="6"/>
  <c r="A997" i="6"/>
  <c r="A994" i="6"/>
  <c r="A900" i="6"/>
  <c r="A892" i="6"/>
  <c r="A901" i="6"/>
  <c r="A897" i="6"/>
  <c r="A896" i="6"/>
  <c r="A570" i="6"/>
  <c r="A510" i="6"/>
  <c r="F110" i="5"/>
  <c r="D110" i="5"/>
  <c r="D100" i="5"/>
  <c r="D99" i="5"/>
  <c r="D93" i="5"/>
  <c r="D94" i="5"/>
  <c r="D95" i="5"/>
  <c r="D96" i="5"/>
  <c r="D92" i="5"/>
  <c r="F91" i="5"/>
  <c r="D84" i="5"/>
  <c r="D70" i="5"/>
  <c r="D71" i="5"/>
  <c r="F66" i="5"/>
  <c r="F65" i="5"/>
  <c r="D65" i="5"/>
  <c r="D66" i="5"/>
  <c r="D67" i="5"/>
  <c r="D68" i="5"/>
  <c r="D69" i="5"/>
  <c r="F64" i="5"/>
  <c r="F63" i="5"/>
  <c r="F60" i="5"/>
  <c r="F58" i="5"/>
  <c r="F57" i="5"/>
  <c r="E890" i="6"/>
  <c r="F890" i="6"/>
  <c r="G890" i="6"/>
  <c r="D56" i="5"/>
  <c r="D57" i="5"/>
  <c r="D58" i="5"/>
  <c r="D59" i="5"/>
  <c r="D60" i="5"/>
  <c r="D61" i="5"/>
  <c r="D63" i="5"/>
  <c r="D64" i="5"/>
  <c r="F53" i="5"/>
  <c r="F55" i="5"/>
  <c r="D53" i="5"/>
  <c r="D55" i="5"/>
  <c r="E567" i="6"/>
  <c r="F567" i="6"/>
  <c r="G567" i="6"/>
  <c r="D40" i="5"/>
  <c r="D37" i="5"/>
  <c r="H890" i="6" l="1"/>
  <c r="I890" i="6" s="1"/>
  <c r="A890" i="6" s="1"/>
  <c r="H567" i="6"/>
  <c r="I567" i="6" s="1"/>
  <c r="A567" i="6" s="1"/>
  <c r="N42" i="12" l="1"/>
  <c r="F1941" i="6" l="1"/>
  <c r="E1941" i="6"/>
  <c r="G1941" i="6"/>
  <c r="H1941" i="6" l="1"/>
  <c r="I1941" i="6" s="1"/>
  <c r="A1941" i="6" l="1"/>
  <c r="E2048" i="6" l="1"/>
  <c r="G2048" i="6"/>
  <c r="E2049" i="6"/>
  <c r="G2049" i="6"/>
  <c r="E1882" i="6"/>
  <c r="G1882" i="6"/>
  <c r="F1978" i="6"/>
  <c r="E1975" i="6"/>
  <c r="G1975" i="6"/>
  <c r="E1978" i="6"/>
  <c r="G1978" i="6"/>
  <c r="F2048" i="6" l="1"/>
  <c r="H2048" i="6" s="1"/>
  <c r="I2048" i="6" s="1"/>
  <c r="F2049" i="6"/>
  <c r="H2049" i="6" s="1"/>
  <c r="I2049" i="6" s="1"/>
  <c r="A2049" i="6" s="1"/>
  <c r="F1882" i="6"/>
  <c r="H1882" i="6" s="1"/>
  <c r="I1882" i="6" s="1"/>
  <c r="H1978" i="6"/>
  <c r="I1978" i="6" s="1"/>
  <c r="A1978" i="6" s="1"/>
  <c r="F1975" i="6"/>
  <c r="A2048" i="6" l="1"/>
  <c r="A1882" i="6"/>
  <c r="H1975" i="6"/>
  <c r="I1975" i="6" s="1"/>
  <c r="A1975" i="6" l="1"/>
  <c r="G1134" i="6" l="1"/>
  <c r="F1134" i="6"/>
  <c r="E1134" i="6"/>
  <c r="G1132" i="6"/>
  <c r="F1132" i="6"/>
  <c r="E1132" i="6"/>
  <c r="G1131" i="6"/>
  <c r="F1131" i="6"/>
  <c r="E1131" i="6"/>
  <c r="G1130" i="6"/>
  <c r="F1130" i="6"/>
  <c r="E1130" i="6"/>
  <c r="G1129" i="6"/>
  <c r="F1129" i="6"/>
  <c r="E1129" i="6"/>
  <c r="E1127" i="6"/>
  <c r="F1127" i="6"/>
  <c r="G1127" i="6"/>
  <c r="G1126" i="6"/>
  <c r="F1126" i="6"/>
  <c r="E1126" i="6"/>
  <c r="G1124" i="6"/>
  <c r="F1124" i="6"/>
  <c r="E1124" i="6"/>
  <c r="G1123" i="6"/>
  <c r="F1123" i="6"/>
  <c r="E1123" i="6"/>
  <c r="G1122" i="6"/>
  <c r="F1122" i="6"/>
  <c r="E1122" i="6"/>
  <c r="E1120" i="6"/>
  <c r="F1120" i="6"/>
  <c r="G1120" i="6"/>
  <c r="G1119" i="6"/>
  <c r="F1119" i="6"/>
  <c r="E1119" i="6"/>
  <c r="E1118" i="6" l="1"/>
  <c r="E1121" i="6"/>
  <c r="E1125" i="6"/>
  <c r="H1132" i="6"/>
  <c r="I1132" i="6" s="1"/>
  <c r="A1132" i="6" s="1"/>
  <c r="H1130" i="6"/>
  <c r="I1130" i="6" s="1"/>
  <c r="A1130" i="6" s="1"/>
  <c r="F1121" i="6"/>
  <c r="G1121" i="6"/>
  <c r="F1125" i="6"/>
  <c r="H1129" i="6"/>
  <c r="I1129" i="6" s="1"/>
  <c r="H1122" i="6"/>
  <c r="I1122" i="6" s="1"/>
  <c r="A1122" i="6" s="1"/>
  <c r="H1124" i="6"/>
  <c r="G1125" i="6"/>
  <c r="E1133" i="6"/>
  <c r="H1134" i="6"/>
  <c r="E1128" i="6"/>
  <c r="H1131" i="6"/>
  <c r="G1128" i="6"/>
  <c r="F1128" i="6"/>
  <c r="H1127" i="6"/>
  <c r="I1127" i="6" s="1"/>
  <c r="H1126" i="6"/>
  <c r="I1126" i="6" s="1"/>
  <c r="H1123" i="6"/>
  <c r="I1123" i="6" s="1"/>
  <c r="A1123" i="6" s="1"/>
  <c r="H1120" i="6"/>
  <c r="I1120" i="6" s="1"/>
  <c r="G1118" i="6"/>
  <c r="F1118" i="6"/>
  <c r="H1119" i="6"/>
  <c r="I1119" i="6" s="1"/>
  <c r="A1119" i="6" s="1"/>
  <c r="H1121" i="6" l="1"/>
  <c r="I1121" i="6" s="1"/>
  <c r="H1128" i="6"/>
  <c r="I1128" i="6" s="1"/>
  <c r="A1128" i="6" s="1"/>
  <c r="H1125" i="6"/>
  <c r="I1125" i="6" s="1"/>
  <c r="A1125" i="6" s="1"/>
  <c r="A1129" i="6"/>
  <c r="A1126" i="6"/>
  <c r="I1124" i="6"/>
  <c r="A1124" i="6" s="1"/>
  <c r="H1118" i="6"/>
  <c r="I1118" i="6" s="1"/>
  <c r="I1131" i="6"/>
  <c r="A1131" i="6" s="1"/>
  <c r="A1127" i="6"/>
  <c r="I1134" i="6"/>
  <c r="A1134" i="6" s="1"/>
  <c r="A1120" i="6"/>
  <c r="A1121" i="6" l="1"/>
  <c r="A1118" i="6"/>
  <c r="E578" i="6" l="1"/>
  <c r="F578" i="6"/>
  <c r="G578" i="6"/>
  <c r="H578" i="6" l="1"/>
  <c r="I578" i="6" s="1"/>
  <c r="A578" i="6" s="1"/>
  <c r="G1117" i="6"/>
  <c r="F1117" i="6"/>
  <c r="E1117" i="6"/>
  <c r="G1116" i="6"/>
  <c r="F1116" i="6"/>
  <c r="E1116" i="6"/>
  <c r="G1114" i="6"/>
  <c r="F1114" i="6"/>
  <c r="E1114" i="6"/>
  <c r="G1113" i="6"/>
  <c r="F1113" i="6"/>
  <c r="E1113" i="6"/>
  <c r="G1111" i="6"/>
  <c r="F1111" i="6"/>
  <c r="E1111" i="6"/>
  <c r="G1110" i="6"/>
  <c r="F1110" i="6"/>
  <c r="E1110" i="6"/>
  <c r="G1107" i="6"/>
  <c r="F1107" i="6"/>
  <c r="E1107" i="6"/>
  <c r="G1105" i="6"/>
  <c r="G1104" i="6" s="1"/>
  <c r="F1105" i="6"/>
  <c r="F1104" i="6" s="1"/>
  <c r="E1105" i="6"/>
  <c r="G1101" i="6"/>
  <c r="G1100" i="6" s="1"/>
  <c r="E1101" i="6"/>
  <c r="G1099" i="6"/>
  <c r="G1098" i="6" s="1"/>
  <c r="F1099" i="6"/>
  <c r="F1098" i="6" s="1"/>
  <c r="E1099" i="6"/>
  <c r="E1098" i="6" s="1"/>
  <c r="G1095" i="6"/>
  <c r="G1094" i="6" s="1"/>
  <c r="F1095" i="6"/>
  <c r="F1094" i="6" s="1"/>
  <c r="E1095" i="6"/>
  <c r="G1093" i="6"/>
  <c r="G1092" i="6" s="1"/>
  <c r="F1093" i="6"/>
  <c r="F1092" i="6" s="1"/>
  <c r="E1093" i="6"/>
  <c r="E1092" i="6" s="1"/>
  <c r="E1091" i="6"/>
  <c r="E1090" i="6" s="1"/>
  <c r="F1091" i="6"/>
  <c r="F1090" i="6" s="1"/>
  <c r="G1091" i="6"/>
  <c r="G1090" i="6" s="1"/>
  <c r="E1087" i="6"/>
  <c r="F1087" i="6"/>
  <c r="G1087" i="6"/>
  <c r="E1088" i="6"/>
  <c r="F1088" i="6"/>
  <c r="G1088" i="6"/>
  <c r="G1086" i="6"/>
  <c r="F1086" i="6"/>
  <c r="E1086" i="6"/>
  <c r="F1101" i="6" l="1"/>
  <c r="E1109" i="6"/>
  <c r="G1115" i="6"/>
  <c r="G1085" i="6"/>
  <c r="F1112" i="6"/>
  <c r="F1085" i="6"/>
  <c r="F1109" i="6"/>
  <c r="F1108" i="6" s="1"/>
  <c r="E1115" i="6"/>
  <c r="G1109" i="6"/>
  <c r="G1108" i="6" s="1"/>
  <c r="G1106" i="6" s="1"/>
  <c r="G1103" i="6" s="1"/>
  <c r="F1115" i="6"/>
  <c r="G1089" i="6"/>
  <c r="G1112" i="6"/>
  <c r="H1117" i="6"/>
  <c r="I1117" i="6" s="1"/>
  <c r="H1110" i="6"/>
  <c r="H1114" i="6"/>
  <c r="I1114" i="6" s="1"/>
  <c r="A1114" i="6" s="1"/>
  <c r="F1089" i="6"/>
  <c r="H1116" i="6"/>
  <c r="I1116" i="6" s="1"/>
  <c r="E1112" i="6"/>
  <c r="H1113" i="6"/>
  <c r="I1113" i="6" s="1"/>
  <c r="A1113" i="6" s="1"/>
  <c r="H1111" i="6"/>
  <c r="I1111" i="6" s="1"/>
  <c r="A1111" i="6" s="1"/>
  <c r="E1106" i="6"/>
  <c r="H1107" i="6"/>
  <c r="I1107" i="6" s="1"/>
  <c r="A1107" i="6" s="1"/>
  <c r="E1104" i="6"/>
  <c r="H1105" i="6"/>
  <c r="I1105" i="6" s="1"/>
  <c r="E1100" i="6"/>
  <c r="E1097" i="6" s="1"/>
  <c r="E1096" i="6" s="1"/>
  <c r="H1099" i="6"/>
  <c r="I1099" i="6" s="1"/>
  <c r="H1095" i="6"/>
  <c r="I1095" i="6" s="1"/>
  <c r="H1094" i="6"/>
  <c r="H1092" i="6"/>
  <c r="I1092" i="6" s="1"/>
  <c r="A1092" i="6" s="1"/>
  <c r="H1093" i="6"/>
  <c r="I1093" i="6" s="1"/>
  <c r="H1090" i="6"/>
  <c r="I1090" i="6" s="1"/>
  <c r="E1085" i="6"/>
  <c r="H1088" i="6"/>
  <c r="I1088" i="6" s="1"/>
  <c r="A1088" i="6" s="1"/>
  <c r="H1091" i="6"/>
  <c r="I1091" i="6" s="1"/>
  <c r="H1087" i="6"/>
  <c r="I1087" i="6" s="1"/>
  <c r="H1086" i="6"/>
  <c r="I1086" i="6" s="1"/>
  <c r="A1086" i="6" s="1"/>
  <c r="E512" i="6"/>
  <c r="F512" i="6"/>
  <c r="G512" i="6"/>
  <c r="D116" i="5"/>
  <c r="D115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1" i="5"/>
  <c r="D32" i="5"/>
  <c r="D33" i="5"/>
  <c r="D34" i="5"/>
  <c r="D36" i="5"/>
  <c r="D49" i="5"/>
  <c r="D50" i="5"/>
  <c r="D51" i="5"/>
  <c r="D73" i="5"/>
  <c r="D74" i="5"/>
  <c r="D75" i="5"/>
  <c r="D78" i="5"/>
  <c r="D79" i="5"/>
  <c r="D80" i="5"/>
  <c r="D82" i="5"/>
  <c r="D83" i="5"/>
  <c r="D85" i="5"/>
  <c r="D86" i="5"/>
  <c r="D87" i="5"/>
  <c r="D88" i="5"/>
  <c r="D89" i="5"/>
  <c r="D90" i="5"/>
  <c r="D91" i="5"/>
  <c r="D97" i="5"/>
  <c r="D98" i="5"/>
  <c r="D101" i="5"/>
  <c r="D102" i="5"/>
  <c r="D103" i="5"/>
  <c r="D104" i="5"/>
  <c r="D106" i="5"/>
  <c r="D107" i="5"/>
  <c r="D108" i="5"/>
  <c r="D109" i="5"/>
  <c r="D111" i="5"/>
  <c r="D112" i="5"/>
  <c r="D113" i="5"/>
  <c r="H1101" i="6" l="1"/>
  <c r="I1101" i="6" s="1"/>
  <c r="A1099" i="6" s="1"/>
  <c r="F1100" i="6"/>
  <c r="H1115" i="6"/>
  <c r="I1115" i="6" s="1"/>
  <c r="A1115" i="6" s="1"/>
  <c r="E1108" i="6"/>
  <c r="H1112" i="6"/>
  <c r="I1112" i="6" s="1"/>
  <c r="A1112" i="6" s="1"/>
  <c r="H1108" i="6"/>
  <c r="F1106" i="6"/>
  <c r="F1103" i="6" s="1"/>
  <c r="E1103" i="6"/>
  <c r="A1117" i="6"/>
  <c r="H1109" i="6"/>
  <c r="I1110" i="6"/>
  <c r="A1110" i="6" s="1"/>
  <c r="A1116" i="6"/>
  <c r="G1102" i="6"/>
  <c r="G1097" i="6" s="1"/>
  <c r="A1105" i="6"/>
  <c r="H1089" i="6"/>
  <c r="A1093" i="6"/>
  <c r="H1085" i="6"/>
  <c r="I1085" i="6" s="1"/>
  <c r="A1087" i="6"/>
  <c r="H512" i="6"/>
  <c r="I512" i="6" s="1"/>
  <c r="E2219" i="6"/>
  <c r="F2219" i="6"/>
  <c r="E2223" i="6"/>
  <c r="E2225" i="6"/>
  <c r="G16" i="8" s="1"/>
  <c r="E2226" i="6"/>
  <c r="G17" i="8" s="1"/>
  <c r="E2227" i="6"/>
  <c r="E2228" i="6"/>
  <c r="E2229" i="6"/>
  <c r="E2230" i="6"/>
  <c r="E2253" i="6"/>
  <c r="E1368" i="6"/>
  <c r="G1096" i="6" l="1"/>
  <c r="G1084" i="6" s="1"/>
  <c r="I1108" i="6"/>
  <c r="A1108" i="6" s="1"/>
  <c r="H1106" i="6"/>
  <c r="I1106" i="6" s="1"/>
  <c r="A1106" i="6" s="1"/>
  <c r="I1109" i="6"/>
  <c r="A1109" i="6" s="1"/>
  <c r="E1102" i="6"/>
  <c r="A1085" i="6"/>
  <c r="A512" i="6"/>
  <c r="G23" i="8"/>
  <c r="H1104" i="6" l="1"/>
  <c r="F36" i="5"/>
  <c r="E2256" i="6"/>
  <c r="E2231" i="6"/>
  <c r="E2224" i="6"/>
  <c r="E2222" i="6"/>
  <c r="G2218" i="6"/>
  <c r="G2217" i="6" s="1"/>
  <c r="F2218" i="6"/>
  <c r="E1952" i="6"/>
  <c r="F1952" i="6"/>
  <c r="G1952" i="6"/>
  <c r="F109" i="5"/>
  <c r="E1393" i="6"/>
  <c r="F86" i="5"/>
  <c r="F75" i="5"/>
  <c r="F74" i="5"/>
  <c r="E889" i="6"/>
  <c r="F889" i="6"/>
  <c r="G889" i="6"/>
  <c r="E2218" i="6" l="1"/>
  <c r="E2217" i="6" s="1"/>
  <c r="I1104" i="6"/>
  <c r="A1104" i="6" s="1"/>
  <c r="F1102" i="6"/>
  <c r="H1103" i="6"/>
  <c r="E2221" i="6"/>
  <c r="H1952" i="6"/>
  <c r="I1952" i="6" s="1"/>
  <c r="H2218" i="6"/>
  <c r="F2217" i="6"/>
  <c r="H889" i="6"/>
  <c r="I889" i="6" s="1"/>
  <c r="A889" i="6" s="1"/>
  <c r="E513" i="6"/>
  <c r="F513" i="6"/>
  <c r="G513" i="6"/>
  <c r="E413" i="6"/>
  <c r="E416" i="6"/>
  <c r="F27" i="5"/>
  <c r="F24" i="5"/>
  <c r="E21" i="6"/>
  <c r="I2218" i="6" l="1"/>
  <c r="A2218" i="6" s="1"/>
  <c r="A1102" i="6"/>
  <c r="I1103" i="6"/>
  <c r="A1101" i="6" s="1"/>
  <c r="H1102" i="6"/>
  <c r="I1102" i="6" s="1"/>
  <c r="A1100" i="6" s="1"/>
  <c r="H2217" i="6"/>
  <c r="I2217" i="6" s="1"/>
  <c r="H513" i="6"/>
  <c r="I513" i="6" s="1"/>
  <c r="A513" i="6" s="1"/>
  <c r="B39" i="16"/>
  <c r="F53" i="15"/>
  <c r="H53" i="15" s="1"/>
  <c r="F37" i="15"/>
  <c r="H37" i="15" s="1"/>
  <c r="H33" i="15"/>
  <c r="F27" i="15"/>
  <c r="H27" i="15" s="1"/>
  <c r="F13" i="15"/>
  <c r="H13" i="15" s="1"/>
  <c r="F4" i="15"/>
  <c r="H4" i="15" s="1"/>
  <c r="F55" i="14"/>
  <c r="H55" i="14" s="1"/>
  <c r="F45" i="14"/>
  <c r="H45" i="14" s="1"/>
  <c r="F8" i="8"/>
  <c r="G8" i="8" s="1"/>
  <c r="B3" i="8"/>
  <c r="G1" i="8"/>
  <c r="B40" i="7"/>
  <c r="F8" i="7"/>
  <c r="G8" i="7" s="1"/>
  <c r="B3" i="7"/>
  <c r="G1" i="7"/>
  <c r="E2257" i="6"/>
  <c r="E2254" i="6"/>
  <c r="G2216" i="6"/>
  <c r="F2216" i="6"/>
  <c r="G2214" i="6"/>
  <c r="F2214" i="6"/>
  <c r="F2213" i="6" s="1"/>
  <c r="G2209" i="6"/>
  <c r="F2209" i="6"/>
  <c r="E2209" i="6"/>
  <c r="G2208" i="6"/>
  <c r="F2208" i="6"/>
  <c r="G2202" i="6"/>
  <c r="F2202" i="6"/>
  <c r="E2202" i="6"/>
  <c r="G2196" i="6"/>
  <c r="F2196" i="6"/>
  <c r="E2196" i="6"/>
  <c r="G1556" i="6"/>
  <c r="F1556" i="6"/>
  <c r="G1555" i="6"/>
  <c r="F1555" i="6"/>
  <c r="G1554" i="6"/>
  <c r="F1554" i="6"/>
  <c r="G1542" i="6"/>
  <c r="F1542" i="6"/>
  <c r="G1540" i="6"/>
  <c r="F1540" i="6"/>
  <c r="G1526" i="6"/>
  <c r="F1526" i="6"/>
  <c r="E1526" i="6"/>
  <c r="G1507" i="6"/>
  <c r="F1507" i="6"/>
  <c r="E1507" i="6"/>
  <c r="G1503" i="6"/>
  <c r="F1503" i="6"/>
  <c r="E1503" i="6"/>
  <c r="G1489" i="6"/>
  <c r="F1489" i="6"/>
  <c r="E1489" i="6"/>
  <c r="G1484" i="6"/>
  <c r="F1484" i="6"/>
  <c r="E1484" i="6"/>
  <c r="G1483" i="6"/>
  <c r="F1483" i="6"/>
  <c r="E1483" i="6"/>
  <c r="G1482" i="6"/>
  <c r="F1482" i="6"/>
  <c r="E1482" i="6"/>
  <c r="G1480" i="6"/>
  <c r="F1480" i="6"/>
  <c r="E1480" i="6"/>
  <c r="G1479" i="6"/>
  <c r="F1479" i="6"/>
  <c r="E1479" i="6"/>
  <c r="G1478" i="6"/>
  <c r="F1478" i="6"/>
  <c r="E1478" i="6"/>
  <c r="G1469" i="6"/>
  <c r="F1469" i="6"/>
  <c r="E1469" i="6"/>
  <c r="G1379" i="6"/>
  <c r="F1379" i="6"/>
  <c r="E1379" i="6"/>
  <c r="G1371" i="6"/>
  <c r="F1371" i="6"/>
  <c r="E1371" i="6"/>
  <c r="G1370" i="6"/>
  <c r="F1370" i="6"/>
  <c r="E1370" i="6"/>
  <c r="G1341" i="6"/>
  <c r="F1341" i="6"/>
  <c r="E1341" i="6"/>
  <c r="G1334" i="6"/>
  <c r="F1334" i="6"/>
  <c r="E1334" i="6"/>
  <c r="G1323" i="6"/>
  <c r="F1323" i="6"/>
  <c r="E1323" i="6"/>
  <c r="G1319" i="6"/>
  <c r="F1319" i="6"/>
  <c r="E1319" i="6"/>
  <c r="G1318" i="6"/>
  <c r="F1318" i="6"/>
  <c r="E1318" i="6"/>
  <c r="G1317" i="6"/>
  <c r="F1317" i="6"/>
  <c r="E1317" i="6"/>
  <c r="G1314" i="6"/>
  <c r="F1314" i="6"/>
  <c r="E1314" i="6"/>
  <c r="G1300" i="6"/>
  <c r="F1300" i="6"/>
  <c r="G1296" i="6"/>
  <c r="F1296" i="6"/>
  <c r="G1291" i="6"/>
  <c r="F1291" i="6"/>
  <c r="E1291" i="6"/>
  <c r="G1290" i="6"/>
  <c r="F1290" i="6"/>
  <c r="E1290" i="6"/>
  <c r="G1288" i="6"/>
  <c r="F1288" i="6"/>
  <c r="E1288" i="6"/>
  <c r="G1250" i="6"/>
  <c r="F1250" i="6"/>
  <c r="G1210" i="6"/>
  <c r="F1210" i="6"/>
  <c r="G1209" i="6"/>
  <c r="F1209" i="6"/>
  <c r="G1208" i="6"/>
  <c r="F1208" i="6"/>
  <c r="G1207" i="6"/>
  <c r="F1207" i="6"/>
  <c r="G1204" i="6"/>
  <c r="F1204" i="6"/>
  <c r="G1201" i="6"/>
  <c r="F1201" i="6"/>
  <c r="G1200" i="6"/>
  <c r="F1200" i="6"/>
  <c r="G1159" i="6"/>
  <c r="F1159" i="6"/>
  <c r="G1157" i="6"/>
  <c r="F1157" i="6"/>
  <c r="G1156" i="6"/>
  <c r="F1156" i="6"/>
  <c r="G1082" i="6"/>
  <c r="F1082" i="6"/>
  <c r="G1071" i="6"/>
  <c r="F1071" i="6"/>
  <c r="G1069" i="6"/>
  <c r="G1068" i="6" s="1"/>
  <c r="F1069" i="6"/>
  <c r="G1064" i="6"/>
  <c r="F1064" i="6"/>
  <c r="G1043" i="6"/>
  <c r="F1043" i="6"/>
  <c r="E1043" i="6"/>
  <c r="G1042" i="6"/>
  <c r="F1042" i="6"/>
  <c r="E1042" i="6"/>
  <c r="G1039" i="6"/>
  <c r="F1039" i="6"/>
  <c r="E1039" i="6"/>
  <c r="G1038" i="6"/>
  <c r="F1038" i="6"/>
  <c r="G989" i="6"/>
  <c r="F989" i="6"/>
  <c r="E989" i="6"/>
  <c r="G988" i="6"/>
  <c r="F988" i="6"/>
  <c r="E988" i="6"/>
  <c r="G975" i="6"/>
  <c r="F975" i="6"/>
  <c r="E975" i="6"/>
  <c r="G915" i="6"/>
  <c r="F915" i="6"/>
  <c r="G914" i="6"/>
  <c r="F914" i="6"/>
  <c r="G913" i="6"/>
  <c r="F913" i="6"/>
  <c r="G908" i="6"/>
  <c r="F908" i="6"/>
  <c r="G862" i="6"/>
  <c r="F862" i="6"/>
  <c r="G860" i="6"/>
  <c r="F860" i="6"/>
  <c r="G858" i="6"/>
  <c r="F858" i="6"/>
  <c r="G851" i="6"/>
  <c r="F851" i="6"/>
  <c r="G840" i="6"/>
  <c r="F840" i="6"/>
  <c r="G838" i="6"/>
  <c r="F838" i="6"/>
  <c r="G829" i="6"/>
  <c r="F829" i="6"/>
  <c r="G827" i="6"/>
  <c r="F827" i="6"/>
  <c r="G815" i="6"/>
  <c r="G794" i="6"/>
  <c r="F794" i="6"/>
  <c r="G792" i="6"/>
  <c r="F792" i="6"/>
  <c r="G791" i="6"/>
  <c r="F791" i="6"/>
  <c r="G772" i="6"/>
  <c r="F772" i="6"/>
  <c r="G767" i="6"/>
  <c r="F767" i="6"/>
  <c r="G749" i="6"/>
  <c r="F749" i="6"/>
  <c r="G746" i="6"/>
  <c r="F746" i="6"/>
  <c r="G743" i="6"/>
  <c r="F743" i="6"/>
  <c r="G732" i="6"/>
  <c r="F732" i="6"/>
  <c r="E732" i="6"/>
  <c r="G722" i="6"/>
  <c r="F722" i="6"/>
  <c r="G611" i="6"/>
  <c r="F611" i="6"/>
  <c r="G604" i="6"/>
  <c r="F604" i="6"/>
  <c r="G499" i="6"/>
  <c r="F499" i="6"/>
  <c r="E499" i="6"/>
  <c r="G496" i="6"/>
  <c r="F496" i="6"/>
  <c r="E496" i="6"/>
  <c r="G495" i="6"/>
  <c r="F495" i="6"/>
  <c r="E495" i="6"/>
  <c r="G480" i="6"/>
  <c r="F480" i="6"/>
  <c r="E480" i="6"/>
  <c r="G474" i="6"/>
  <c r="F474" i="6"/>
  <c r="E474" i="6"/>
  <c r="G467" i="6"/>
  <c r="F467" i="6"/>
  <c r="E467" i="6"/>
  <c r="G455" i="6"/>
  <c r="F455" i="6"/>
  <c r="E455" i="6"/>
  <c r="G454" i="6"/>
  <c r="F454" i="6"/>
  <c r="E454" i="6"/>
  <c r="G453" i="6"/>
  <c r="F453" i="6"/>
  <c r="E453" i="6"/>
  <c r="G440" i="6"/>
  <c r="F440" i="6"/>
  <c r="E440" i="6"/>
  <c r="G428" i="6"/>
  <c r="F428" i="6"/>
  <c r="E428" i="6"/>
  <c r="G423" i="6"/>
  <c r="F423" i="6"/>
  <c r="E423" i="6"/>
  <c r="G416" i="6"/>
  <c r="F416" i="6"/>
  <c r="G413" i="6"/>
  <c r="F413" i="6"/>
  <c r="G411" i="6"/>
  <c r="F411" i="6"/>
  <c r="E411" i="6"/>
  <c r="G410" i="6"/>
  <c r="F410" i="6"/>
  <c r="E410" i="6"/>
  <c r="G364" i="6"/>
  <c r="F364" i="6"/>
  <c r="E364" i="6"/>
  <c r="G342" i="6"/>
  <c r="F342" i="6"/>
  <c r="E342" i="6"/>
  <c r="G123" i="6"/>
  <c r="F123" i="6"/>
  <c r="G117" i="6"/>
  <c r="J41" i="12" s="1"/>
  <c r="F117" i="6"/>
  <c r="L41" i="12" s="1"/>
  <c r="G115" i="6"/>
  <c r="F115" i="6"/>
  <c r="G114" i="6"/>
  <c r="F114" i="6"/>
  <c r="G113" i="6"/>
  <c r="F113" i="6"/>
  <c r="G112" i="6"/>
  <c r="F112" i="6"/>
  <c r="G111" i="6"/>
  <c r="F111" i="6"/>
  <c r="G110" i="6"/>
  <c r="F110" i="6"/>
  <c r="G106" i="6"/>
  <c r="F106" i="6"/>
  <c r="L37" i="12" s="1"/>
  <c r="G105" i="6"/>
  <c r="F105" i="6"/>
  <c r="L36" i="12" s="1"/>
  <c r="G69" i="6"/>
  <c r="G68" i="6" s="1"/>
  <c r="J21" i="13" s="1"/>
  <c r="F69" i="6"/>
  <c r="F68" i="6" s="1"/>
  <c r="H21" i="13" s="1"/>
  <c r="E69" i="6"/>
  <c r="G67" i="6"/>
  <c r="F67" i="6"/>
  <c r="E67" i="6"/>
  <c r="G57" i="6"/>
  <c r="F57" i="6"/>
  <c r="E57" i="6"/>
  <c r="G51" i="6"/>
  <c r="F51" i="6"/>
  <c r="E51" i="6"/>
  <c r="G50" i="6"/>
  <c r="F50" i="6"/>
  <c r="E50" i="6"/>
  <c r="G49" i="6"/>
  <c r="F49" i="6"/>
  <c r="E49" i="6"/>
  <c r="G48" i="6"/>
  <c r="F48" i="6"/>
  <c r="E48" i="6"/>
  <c r="G47" i="6"/>
  <c r="G46" i="6" s="1"/>
  <c r="F47" i="6"/>
  <c r="F46" i="6" s="1"/>
  <c r="E47" i="6"/>
  <c r="E46" i="6" s="1"/>
  <c r="G45" i="6"/>
  <c r="F45" i="6"/>
  <c r="E45" i="6"/>
  <c r="G41" i="6"/>
  <c r="F41" i="6"/>
  <c r="E41" i="6"/>
  <c r="G40" i="6"/>
  <c r="F40" i="6"/>
  <c r="E40" i="6"/>
  <c r="G39" i="6"/>
  <c r="F39" i="6"/>
  <c r="E39" i="6"/>
  <c r="G38" i="6"/>
  <c r="F38" i="6"/>
  <c r="E38" i="6"/>
  <c r="G36" i="6"/>
  <c r="F36" i="6"/>
  <c r="E36" i="6"/>
  <c r="G35" i="6"/>
  <c r="F35" i="6"/>
  <c r="E35" i="6"/>
  <c r="G34" i="6"/>
  <c r="F34" i="6"/>
  <c r="E34" i="6"/>
  <c r="G30" i="6"/>
  <c r="F30" i="6"/>
  <c r="E30" i="6"/>
  <c r="G28" i="6"/>
  <c r="F28" i="6"/>
  <c r="E28" i="6"/>
  <c r="G26" i="6"/>
  <c r="F26" i="6"/>
  <c r="E26" i="6"/>
  <c r="G25" i="6"/>
  <c r="F25" i="6"/>
  <c r="E25" i="6"/>
  <c r="G21" i="6"/>
  <c r="F21" i="6"/>
  <c r="G46" i="16"/>
  <c r="G40" i="16"/>
  <c r="G28" i="16"/>
  <c r="G16" i="16"/>
  <c r="G12" i="16"/>
  <c r="F12" i="16"/>
  <c r="B4" i="16"/>
  <c r="B3" i="16"/>
  <c r="G1" i="16"/>
  <c r="H49" i="15"/>
  <c r="H32" i="15"/>
  <c r="H16" i="15"/>
  <c r="J90" i="14"/>
  <c r="L23" i="14"/>
  <c r="H13" i="14"/>
  <c r="H2259" i="6"/>
  <c r="E2259" i="6"/>
  <c r="E2255" i="6"/>
  <c r="E2251" i="6"/>
  <c r="G2250" i="6"/>
  <c r="F2250" i="6"/>
  <c r="E2250" i="6"/>
  <c r="G2249" i="6"/>
  <c r="E2249" i="6"/>
  <c r="E2247" i="6"/>
  <c r="E2246" i="6"/>
  <c r="E2245" i="6"/>
  <c r="E2243" i="6"/>
  <c r="E2242" i="6"/>
  <c r="E2241" i="6"/>
  <c r="E2239" i="6"/>
  <c r="E2238" i="6"/>
  <c r="E2237" i="6"/>
  <c r="E2235" i="6"/>
  <c r="E2234" i="6"/>
  <c r="E2233" i="6"/>
  <c r="G2230" i="6"/>
  <c r="G2229" i="6"/>
  <c r="G2228" i="6"/>
  <c r="F2223" i="6"/>
  <c r="G2215" i="6"/>
  <c r="G2212" i="6"/>
  <c r="F2212" i="6"/>
  <c r="E2212" i="6"/>
  <c r="G2211" i="6"/>
  <c r="F2211" i="6"/>
  <c r="E2211" i="6"/>
  <c r="G2210" i="6"/>
  <c r="F2210" i="6"/>
  <c r="E2210" i="6"/>
  <c r="G2206" i="6"/>
  <c r="F2206" i="6"/>
  <c r="E2206" i="6"/>
  <c r="G2205" i="6"/>
  <c r="F2205" i="6"/>
  <c r="E2205" i="6"/>
  <c r="G2204" i="6"/>
  <c r="F2204" i="6"/>
  <c r="E2204" i="6"/>
  <c r="G2203" i="6"/>
  <c r="F2203" i="6"/>
  <c r="E2203" i="6"/>
  <c r="G2200" i="6"/>
  <c r="F2200" i="6"/>
  <c r="E2200" i="6"/>
  <c r="G2199" i="6"/>
  <c r="F2199" i="6"/>
  <c r="E2199" i="6"/>
  <c r="G2198" i="6"/>
  <c r="F2198" i="6"/>
  <c r="E2198" i="6"/>
  <c r="G2197" i="6"/>
  <c r="F2197" i="6"/>
  <c r="E2197" i="6"/>
  <c r="F2192" i="6"/>
  <c r="G2246" i="6" s="1"/>
  <c r="E2192" i="6"/>
  <c r="G2191" i="6"/>
  <c r="F2191" i="6"/>
  <c r="F2190" i="6" s="1"/>
  <c r="E2191" i="6"/>
  <c r="E2190" i="6" s="1"/>
  <c r="G2189" i="6"/>
  <c r="G2188" i="6" s="1"/>
  <c r="F2189" i="6"/>
  <c r="F2188" i="6" s="1"/>
  <c r="E2189" i="6"/>
  <c r="E2188" i="6" s="1"/>
  <c r="G2187" i="6"/>
  <c r="G2186" i="6" s="1"/>
  <c r="F2187" i="6"/>
  <c r="E2187" i="6"/>
  <c r="E2186" i="6" s="1"/>
  <c r="G2185" i="6"/>
  <c r="G2184" i="6" s="1"/>
  <c r="F2185" i="6"/>
  <c r="E2185" i="6"/>
  <c r="F2182" i="6"/>
  <c r="E2182" i="6"/>
  <c r="G2181" i="6"/>
  <c r="F2181" i="6"/>
  <c r="E2181" i="6"/>
  <c r="G2180" i="6"/>
  <c r="F2180" i="6"/>
  <c r="E2180" i="6"/>
  <c r="G2179" i="6"/>
  <c r="F2179" i="6"/>
  <c r="E2179" i="6"/>
  <c r="G2178" i="6"/>
  <c r="F2178" i="6"/>
  <c r="E2178" i="6"/>
  <c r="G2177" i="6"/>
  <c r="F2177" i="6"/>
  <c r="E2177" i="6"/>
  <c r="G2174" i="6"/>
  <c r="F2174" i="6"/>
  <c r="E2174" i="6"/>
  <c r="G2173" i="6"/>
  <c r="F2173" i="6"/>
  <c r="E2173" i="6"/>
  <c r="G2172" i="6"/>
  <c r="F2172" i="6"/>
  <c r="E2172" i="6"/>
  <c r="G2171" i="6"/>
  <c r="F2171" i="6"/>
  <c r="E2171" i="6"/>
  <c r="G2169" i="6"/>
  <c r="F2169" i="6"/>
  <c r="E2169" i="6"/>
  <c r="G2168" i="6"/>
  <c r="F2168" i="6"/>
  <c r="E2168" i="6"/>
  <c r="G2167" i="6"/>
  <c r="F2167" i="6"/>
  <c r="E2167" i="6"/>
  <c r="G2166" i="6"/>
  <c r="F2166" i="6"/>
  <c r="E2166" i="6"/>
  <c r="G2165" i="6"/>
  <c r="F2165" i="6"/>
  <c r="E2165" i="6"/>
  <c r="G2164" i="6"/>
  <c r="F2164" i="6"/>
  <c r="E2164" i="6"/>
  <c r="G2162" i="6"/>
  <c r="F2162" i="6"/>
  <c r="E2162" i="6"/>
  <c r="G2161" i="6"/>
  <c r="F2161" i="6"/>
  <c r="E2161" i="6"/>
  <c r="G2159" i="6"/>
  <c r="F2159" i="6"/>
  <c r="E2159" i="6"/>
  <c r="G2158" i="6"/>
  <c r="F2158" i="6"/>
  <c r="N21" i="12" s="1"/>
  <c r="N30" i="12" s="1"/>
  <c r="E2158" i="6"/>
  <c r="G2157" i="6"/>
  <c r="F2157" i="6"/>
  <c r="E2157" i="6"/>
  <c r="G2156" i="6"/>
  <c r="F2156" i="6"/>
  <c r="E2156" i="6"/>
  <c r="G2154" i="6"/>
  <c r="F2154" i="6"/>
  <c r="E2154" i="6"/>
  <c r="G2153" i="6"/>
  <c r="F2153" i="6"/>
  <c r="E2153" i="6"/>
  <c r="G2151" i="6"/>
  <c r="F2151" i="6"/>
  <c r="E2151" i="6"/>
  <c r="G2150" i="6"/>
  <c r="F2150" i="6"/>
  <c r="E2150" i="6"/>
  <c r="G2149" i="6"/>
  <c r="F2149" i="6"/>
  <c r="E2149" i="6"/>
  <c r="G2148" i="6"/>
  <c r="F2148" i="6"/>
  <c r="E2148" i="6"/>
  <c r="G2147" i="6"/>
  <c r="F2147" i="6"/>
  <c r="E2147" i="6"/>
  <c r="G2145" i="6"/>
  <c r="F2145" i="6"/>
  <c r="E2145" i="6"/>
  <c r="G2144" i="6"/>
  <c r="F2144" i="6"/>
  <c r="E2144" i="6"/>
  <c r="G2143" i="6"/>
  <c r="F2143" i="6"/>
  <c r="E2143" i="6"/>
  <c r="G2142" i="6"/>
  <c r="F2142" i="6"/>
  <c r="E2142" i="6"/>
  <c r="G2141" i="6"/>
  <c r="F2141" i="6"/>
  <c r="E2141" i="6"/>
  <c r="G2140" i="6"/>
  <c r="F2140" i="6"/>
  <c r="E2140" i="6"/>
  <c r="G2139" i="6"/>
  <c r="F2139" i="6"/>
  <c r="E2139" i="6"/>
  <c r="G2137" i="6"/>
  <c r="F2137" i="6"/>
  <c r="E2137" i="6"/>
  <c r="G2136" i="6"/>
  <c r="F2136" i="6"/>
  <c r="E2136" i="6"/>
  <c r="G2135" i="6"/>
  <c r="F2135" i="6"/>
  <c r="E2135" i="6"/>
  <c r="G2134" i="6"/>
  <c r="F2134" i="6"/>
  <c r="E2134" i="6"/>
  <c r="G2133" i="6"/>
  <c r="F2133" i="6"/>
  <c r="E2133" i="6"/>
  <c r="F2129" i="6"/>
  <c r="G2238" i="6" s="1"/>
  <c r="E2129" i="6"/>
  <c r="F2127" i="6"/>
  <c r="G2234" i="6" s="1"/>
  <c r="E2127" i="6"/>
  <c r="G2126" i="6"/>
  <c r="F2126" i="6"/>
  <c r="E2126" i="6"/>
  <c r="G2125" i="6"/>
  <c r="F2125" i="6"/>
  <c r="E2125" i="6"/>
  <c r="G2124" i="6"/>
  <c r="F2124" i="6"/>
  <c r="E2124" i="6"/>
  <c r="G2123" i="6"/>
  <c r="F2123" i="6"/>
  <c r="E2123" i="6"/>
  <c r="G2122" i="6"/>
  <c r="F2122" i="6"/>
  <c r="E2122" i="6"/>
  <c r="G2121" i="6"/>
  <c r="F2121" i="6"/>
  <c r="E2121" i="6"/>
  <c r="G2120" i="6"/>
  <c r="F2120" i="6"/>
  <c r="E2120" i="6"/>
  <c r="G2119" i="6"/>
  <c r="F2119" i="6"/>
  <c r="E2119" i="6"/>
  <c r="G2118" i="6"/>
  <c r="F2118" i="6"/>
  <c r="E2118" i="6"/>
  <c r="G2117" i="6"/>
  <c r="F2117" i="6"/>
  <c r="E2117" i="6"/>
  <c r="G2116" i="6"/>
  <c r="F2116" i="6"/>
  <c r="E2116" i="6"/>
  <c r="G2115" i="6"/>
  <c r="F2115" i="6"/>
  <c r="E2115" i="6"/>
  <c r="G2114" i="6"/>
  <c r="F2114" i="6"/>
  <c r="E2114" i="6"/>
  <c r="G2113" i="6"/>
  <c r="F2113" i="6"/>
  <c r="E2113" i="6"/>
  <c r="G2112" i="6"/>
  <c r="F2112" i="6"/>
  <c r="E2112" i="6"/>
  <c r="G2111" i="6"/>
  <c r="F2111" i="6"/>
  <c r="E2111" i="6"/>
  <c r="G2109" i="6"/>
  <c r="F2109" i="6"/>
  <c r="E2109" i="6"/>
  <c r="G2108" i="6"/>
  <c r="F2108" i="6"/>
  <c r="E2108" i="6"/>
  <c r="G2107" i="6"/>
  <c r="F2107" i="6"/>
  <c r="E2107" i="6"/>
  <c r="G2105" i="6"/>
  <c r="F2105" i="6"/>
  <c r="E2105" i="6"/>
  <c r="G2104" i="6"/>
  <c r="F2104" i="6"/>
  <c r="E2104" i="6"/>
  <c r="G2103" i="6"/>
  <c r="F2103" i="6"/>
  <c r="E2103" i="6"/>
  <c r="G2102" i="6"/>
  <c r="F2102" i="6"/>
  <c r="E2102" i="6"/>
  <c r="G2101" i="6"/>
  <c r="F2101" i="6"/>
  <c r="E2101" i="6"/>
  <c r="G2100" i="6"/>
  <c r="F2100" i="6"/>
  <c r="E2100" i="6"/>
  <c r="G2097" i="6"/>
  <c r="F2097" i="6"/>
  <c r="E2097" i="6"/>
  <c r="G2096" i="6"/>
  <c r="F2096" i="6"/>
  <c r="E2096" i="6"/>
  <c r="G2095" i="6"/>
  <c r="F2095" i="6"/>
  <c r="E2095" i="6"/>
  <c r="G2094" i="6"/>
  <c r="F2094" i="6"/>
  <c r="E2094" i="6"/>
  <c r="G2092" i="6"/>
  <c r="F2092" i="6"/>
  <c r="E2092" i="6"/>
  <c r="G2091" i="6"/>
  <c r="F2091" i="6"/>
  <c r="E2091" i="6"/>
  <c r="G2090" i="6"/>
  <c r="F2090" i="6"/>
  <c r="E2090" i="6"/>
  <c r="G2089" i="6"/>
  <c r="F2089" i="6"/>
  <c r="E2089" i="6"/>
  <c r="G2088" i="6"/>
  <c r="F2088" i="6"/>
  <c r="E2088" i="6"/>
  <c r="G2085" i="6"/>
  <c r="G2084" i="6" s="1"/>
  <c r="F2085" i="6"/>
  <c r="E2085" i="6"/>
  <c r="E2084" i="6" s="1"/>
  <c r="G2083" i="6"/>
  <c r="G2082" i="6" s="1"/>
  <c r="F2083" i="6"/>
  <c r="E2083" i="6"/>
  <c r="E2082" i="6" s="1"/>
  <c r="G2081" i="6"/>
  <c r="F2081" i="6"/>
  <c r="E2081" i="6"/>
  <c r="G2080" i="6"/>
  <c r="F2080" i="6"/>
  <c r="E2080" i="6"/>
  <c r="G2078" i="6"/>
  <c r="F2078" i="6"/>
  <c r="E2078" i="6"/>
  <c r="G2077" i="6"/>
  <c r="F2077" i="6"/>
  <c r="E2077" i="6"/>
  <c r="G2076" i="6"/>
  <c r="F2076" i="6"/>
  <c r="E2076" i="6"/>
  <c r="G2075" i="6"/>
  <c r="F2075" i="6"/>
  <c r="E2075" i="6"/>
  <c r="G2074" i="6"/>
  <c r="F2074" i="6"/>
  <c r="E2074" i="6"/>
  <c r="G2073" i="6"/>
  <c r="F2073" i="6"/>
  <c r="E2073" i="6"/>
  <c r="G2072" i="6"/>
  <c r="F2072" i="6"/>
  <c r="E2072" i="6"/>
  <c r="G2071" i="6"/>
  <c r="F2071" i="6"/>
  <c r="E2071" i="6"/>
  <c r="G2070" i="6"/>
  <c r="F2070" i="6"/>
  <c r="E2070" i="6"/>
  <c r="F2065" i="6"/>
  <c r="E2065" i="6"/>
  <c r="G2064" i="6"/>
  <c r="F2064" i="6"/>
  <c r="E2064" i="6"/>
  <c r="G2063" i="6"/>
  <c r="F2063" i="6"/>
  <c r="E2063" i="6"/>
  <c r="G2062" i="6"/>
  <c r="F2062" i="6"/>
  <c r="E2062" i="6"/>
  <c r="G2060" i="6"/>
  <c r="F2060" i="6"/>
  <c r="E2060" i="6"/>
  <c r="G2059" i="6"/>
  <c r="F2059" i="6"/>
  <c r="E2059" i="6"/>
  <c r="G2058" i="6"/>
  <c r="F2058" i="6"/>
  <c r="E2058" i="6"/>
  <c r="G2057" i="6"/>
  <c r="F2057" i="6"/>
  <c r="E2057" i="6"/>
  <c r="G2056" i="6"/>
  <c r="F2056" i="6"/>
  <c r="E2056" i="6"/>
  <c r="G2055" i="6"/>
  <c r="F2055" i="6"/>
  <c r="E2055" i="6"/>
  <c r="G2054" i="6"/>
  <c r="F2054" i="6"/>
  <c r="E2054" i="6"/>
  <c r="G2053" i="6"/>
  <c r="F2053" i="6"/>
  <c r="E2053" i="6"/>
  <c r="G2052" i="6"/>
  <c r="F2052" i="6"/>
  <c r="E2052" i="6"/>
  <c r="G2050" i="6"/>
  <c r="F2050" i="6"/>
  <c r="E2050" i="6"/>
  <c r="G2047" i="6"/>
  <c r="F2047" i="6"/>
  <c r="E2047" i="6"/>
  <c r="G2046" i="6"/>
  <c r="F2046" i="6"/>
  <c r="E2046" i="6"/>
  <c r="G2045" i="6"/>
  <c r="F2045" i="6"/>
  <c r="E2045" i="6"/>
  <c r="G2044" i="6"/>
  <c r="F2044" i="6"/>
  <c r="E2044" i="6"/>
  <c r="G2043" i="6"/>
  <c r="F2043" i="6"/>
  <c r="E2043" i="6"/>
  <c r="G2042" i="6"/>
  <c r="F2042" i="6"/>
  <c r="E2042" i="6"/>
  <c r="G2039" i="6"/>
  <c r="G2038" i="6" s="1"/>
  <c r="F2039" i="6"/>
  <c r="F2038" i="6" s="1"/>
  <c r="E2039" i="6"/>
  <c r="E2038" i="6" s="1"/>
  <c r="G2037" i="6"/>
  <c r="F2037" i="6"/>
  <c r="E2037" i="6"/>
  <c r="G2036" i="6"/>
  <c r="F2036" i="6"/>
  <c r="E2036" i="6"/>
  <c r="G2035" i="6"/>
  <c r="F2035" i="6"/>
  <c r="E2035" i="6"/>
  <c r="G2034" i="6"/>
  <c r="F2034" i="6"/>
  <c r="E2034" i="6"/>
  <c r="G2032" i="6"/>
  <c r="G2031" i="6" s="1"/>
  <c r="F2032" i="6"/>
  <c r="F2031" i="6" s="1"/>
  <c r="E2032" i="6"/>
  <c r="G2030" i="6"/>
  <c r="F2030" i="6"/>
  <c r="E2030" i="6"/>
  <c r="G2029" i="6"/>
  <c r="F2029" i="6"/>
  <c r="E2029" i="6"/>
  <c r="G2027" i="6"/>
  <c r="F2027" i="6"/>
  <c r="E2027" i="6"/>
  <c r="G2025" i="6"/>
  <c r="F2025" i="6"/>
  <c r="E2025" i="6"/>
  <c r="G2024" i="6"/>
  <c r="F2024" i="6"/>
  <c r="E2024" i="6"/>
  <c r="G2023" i="6"/>
  <c r="F2023" i="6"/>
  <c r="E2023" i="6"/>
  <c r="G2022" i="6"/>
  <c r="F2022" i="6"/>
  <c r="E2022" i="6"/>
  <c r="G2021" i="6"/>
  <c r="F2021" i="6"/>
  <c r="E2021" i="6"/>
  <c r="G2020" i="6"/>
  <c r="F2020" i="6"/>
  <c r="E2020" i="6"/>
  <c r="G2019" i="6"/>
  <c r="F2019" i="6"/>
  <c r="E2019" i="6"/>
  <c r="G2018" i="6"/>
  <c r="F2018" i="6"/>
  <c r="E2018" i="6"/>
  <c r="G2017" i="6"/>
  <c r="F2017" i="6"/>
  <c r="E2017" i="6"/>
  <c r="G2015" i="6"/>
  <c r="F2015" i="6"/>
  <c r="E2015" i="6"/>
  <c r="G2014" i="6"/>
  <c r="F2014" i="6"/>
  <c r="E2014" i="6"/>
  <c r="G2012" i="6"/>
  <c r="G2011" i="6" s="1"/>
  <c r="F2012" i="6"/>
  <c r="F2011" i="6" s="1"/>
  <c r="E2012" i="6"/>
  <c r="E2011" i="6" s="1"/>
  <c r="G2010" i="6"/>
  <c r="F2010" i="6"/>
  <c r="E2010" i="6"/>
  <c r="G2009" i="6"/>
  <c r="F2009" i="6"/>
  <c r="E2009" i="6"/>
  <c r="G2007" i="6"/>
  <c r="G2006" i="6" s="1"/>
  <c r="F2007" i="6"/>
  <c r="F2006" i="6" s="1"/>
  <c r="E2007" i="6"/>
  <c r="E2006" i="6" s="1"/>
  <c r="G2005" i="6"/>
  <c r="F2005" i="6"/>
  <c r="E2005" i="6"/>
  <c r="G2003" i="6"/>
  <c r="F2003" i="6"/>
  <c r="E2003" i="6"/>
  <c r="G2002" i="6"/>
  <c r="F2002" i="6"/>
  <c r="E2002" i="6"/>
  <c r="G2001" i="6"/>
  <c r="F2001" i="6"/>
  <c r="E2001" i="6"/>
  <c r="G2000" i="6"/>
  <c r="F2000" i="6"/>
  <c r="E2000" i="6"/>
  <c r="G1999" i="6"/>
  <c r="F1999" i="6"/>
  <c r="E1999" i="6"/>
  <c r="G1998" i="6"/>
  <c r="F1998" i="6"/>
  <c r="E1998" i="6"/>
  <c r="G1997" i="6"/>
  <c r="F1997" i="6"/>
  <c r="E1997" i="6"/>
  <c r="G1996" i="6"/>
  <c r="F1996" i="6"/>
  <c r="E1996" i="6"/>
  <c r="G1994" i="6"/>
  <c r="F1994" i="6"/>
  <c r="E1994" i="6"/>
  <c r="G1993" i="6"/>
  <c r="F1993" i="6"/>
  <c r="E1993" i="6"/>
  <c r="G1991" i="6"/>
  <c r="F1991" i="6"/>
  <c r="E1991" i="6"/>
  <c r="G1990" i="6"/>
  <c r="F1990" i="6"/>
  <c r="E1990" i="6"/>
  <c r="G1989" i="6"/>
  <c r="F1989" i="6"/>
  <c r="E1989" i="6"/>
  <c r="G1988" i="6"/>
  <c r="F1988" i="6"/>
  <c r="E1988" i="6"/>
  <c r="G1986" i="6"/>
  <c r="F1986" i="6"/>
  <c r="E1986" i="6"/>
  <c r="G1985" i="6"/>
  <c r="F1985" i="6"/>
  <c r="E1985" i="6"/>
  <c r="G1984" i="6"/>
  <c r="F1984" i="6"/>
  <c r="E1984" i="6"/>
  <c r="G1983" i="6"/>
  <c r="F1983" i="6"/>
  <c r="E1983" i="6"/>
  <c r="G1981" i="6"/>
  <c r="F1981" i="6"/>
  <c r="E1981" i="6"/>
  <c r="G1980" i="6"/>
  <c r="F1980" i="6"/>
  <c r="E1980" i="6"/>
  <c r="G1976" i="6"/>
  <c r="G1974" i="6" s="1"/>
  <c r="F1976" i="6"/>
  <c r="F1974" i="6" s="1"/>
  <c r="E1976" i="6"/>
  <c r="E1974" i="6" s="1"/>
  <c r="G1973" i="6"/>
  <c r="F1973" i="6"/>
  <c r="E1973" i="6"/>
  <c r="G1972" i="6"/>
  <c r="F1972" i="6"/>
  <c r="E1972" i="6"/>
  <c r="G1971" i="6"/>
  <c r="F1971" i="6"/>
  <c r="E1971" i="6"/>
  <c r="G1970" i="6"/>
  <c r="F1970" i="6"/>
  <c r="E1970" i="6"/>
  <c r="G1968" i="6"/>
  <c r="F1968" i="6"/>
  <c r="E1968" i="6"/>
  <c r="G1967" i="6"/>
  <c r="F1967" i="6"/>
  <c r="E1967" i="6"/>
  <c r="G1965" i="6"/>
  <c r="F1965" i="6"/>
  <c r="E1965" i="6"/>
  <c r="G1964" i="6"/>
  <c r="F1964" i="6"/>
  <c r="E1964" i="6"/>
  <c r="G1963" i="6"/>
  <c r="F1963" i="6"/>
  <c r="E1963" i="6"/>
  <c r="G1962" i="6"/>
  <c r="F1962" i="6"/>
  <c r="E1962" i="6"/>
  <c r="G1961" i="6"/>
  <c r="F1961" i="6"/>
  <c r="E1961" i="6"/>
  <c r="G1959" i="6"/>
  <c r="F1959" i="6"/>
  <c r="E1959" i="6"/>
  <c r="G1958" i="6"/>
  <c r="F1958" i="6"/>
  <c r="E1958" i="6"/>
  <c r="G1957" i="6"/>
  <c r="F1957" i="6"/>
  <c r="E1957" i="6"/>
  <c r="G1956" i="6"/>
  <c r="F1956" i="6"/>
  <c r="E1956" i="6"/>
  <c r="G1953" i="6"/>
  <c r="F1953" i="6"/>
  <c r="E1953" i="6"/>
  <c r="A1952" i="6"/>
  <c r="G1951" i="6"/>
  <c r="F1951" i="6"/>
  <c r="E1951" i="6"/>
  <c r="G1950" i="6"/>
  <c r="F1950" i="6"/>
  <c r="E1950" i="6"/>
  <c r="G1948" i="6"/>
  <c r="F1948" i="6"/>
  <c r="E1948" i="6"/>
  <c r="G1947" i="6"/>
  <c r="F1947" i="6"/>
  <c r="E1947" i="6"/>
  <c r="G1944" i="6"/>
  <c r="F1944" i="6"/>
  <c r="E1944" i="6"/>
  <c r="G1943" i="6"/>
  <c r="F1943" i="6"/>
  <c r="E1943" i="6"/>
  <c r="G1937" i="6"/>
  <c r="F1937" i="6"/>
  <c r="E1937" i="6"/>
  <c r="G1936" i="6"/>
  <c r="F1936" i="6"/>
  <c r="E1936" i="6"/>
  <c r="F1932" i="6"/>
  <c r="E1932" i="6"/>
  <c r="G1931" i="6"/>
  <c r="J31" i="13" s="1"/>
  <c r="F1931" i="6"/>
  <c r="H31" i="13" s="1"/>
  <c r="E1931" i="6"/>
  <c r="G1930" i="6"/>
  <c r="J30" i="13" s="1"/>
  <c r="F1930" i="6"/>
  <c r="H30" i="13" s="1"/>
  <c r="E1930" i="6"/>
  <c r="G1929" i="6"/>
  <c r="J29" i="13" s="1"/>
  <c r="F1929" i="6"/>
  <c r="H29" i="13" s="1"/>
  <c r="E1929" i="6"/>
  <c r="G1928" i="6"/>
  <c r="J28" i="13" s="1"/>
  <c r="F1928" i="6"/>
  <c r="H28" i="13" s="1"/>
  <c r="E1928" i="6"/>
  <c r="G1927" i="6"/>
  <c r="J27" i="13" s="1"/>
  <c r="F1927" i="6"/>
  <c r="E1927" i="6"/>
  <c r="G1925" i="6"/>
  <c r="F1925" i="6"/>
  <c r="E1925" i="6"/>
  <c r="G1924" i="6"/>
  <c r="F1924" i="6"/>
  <c r="J40" i="12" s="1"/>
  <c r="E1924" i="6"/>
  <c r="G1923" i="6"/>
  <c r="F1923" i="6"/>
  <c r="J39" i="12" s="1"/>
  <c r="E1923" i="6"/>
  <c r="G1922" i="6"/>
  <c r="F1922" i="6"/>
  <c r="J38" i="12" s="1"/>
  <c r="E1922" i="6"/>
  <c r="G1921" i="6"/>
  <c r="F1921" i="6"/>
  <c r="E1921" i="6"/>
  <c r="G1920" i="6"/>
  <c r="F1920" i="6"/>
  <c r="J36" i="12" s="1"/>
  <c r="E1920" i="6"/>
  <c r="F1917" i="6"/>
  <c r="E1917" i="6"/>
  <c r="G1916" i="6"/>
  <c r="F1916" i="6"/>
  <c r="E1916" i="6"/>
  <c r="G1915" i="6"/>
  <c r="F1915" i="6"/>
  <c r="E1915" i="6"/>
  <c r="G1914" i="6"/>
  <c r="F1914" i="6"/>
  <c r="E1914" i="6"/>
  <c r="G1913" i="6"/>
  <c r="F1913" i="6"/>
  <c r="E1913" i="6"/>
  <c r="G1911" i="6"/>
  <c r="F1911" i="6"/>
  <c r="E1911" i="6"/>
  <c r="G1909" i="6"/>
  <c r="F1909" i="6"/>
  <c r="E1909" i="6"/>
  <c r="G1908" i="6"/>
  <c r="F1908" i="6"/>
  <c r="E1908" i="6"/>
  <c r="G1907" i="6"/>
  <c r="F1907" i="6"/>
  <c r="E1907" i="6"/>
  <c r="G1906" i="6"/>
  <c r="F1906" i="6"/>
  <c r="E1906" i="6"/>
  <c r="G1904" i="6"/>
  <c r="F1904" i="6"/>
  <c r="E1904" i="6"/>
  <c r="G1903" i="6"/>
  <c r="F1903" i="6"/>
  <c r="E1903" i="6"/>
  <c r="G1902" i="6"/>
  <c r="F1902" i="6"/>
  <c r="E1902" i="6"/>
  <c r="G1901" i="6"/>
  <c r="F1901" i="6"/>
  <c r="E1901" i="6"/>
  <c r="G1900" i="6"/>
  <c r="F1900" i="6"/>
  <c r="E1900" i="6"/>
  <c r="G1899" i="6"/>
  <c r="F1899" i="6"/>
  <c r="E1899" i="6"/>
  <c r="G1896" i="6"/>
  <c r="F1896" i="6"/>
  <c r="E1896" i="6"/>
  <c r="G1895" i="6"/>
  <c r="F1895" i="6"/>
  <c r="E1895" i="6"/>
  <c r="G1892" i="6"/>
  <c r="F1892" i="6"/>
  <c r="E1892" i="6"/>
  <c r="G1891" i="6"/>
  <c r="F1891" i="6"/>
  <c r="E1891" i="6"/>
  <c r="G1889" i="6"/>
  <c r="F1889" i="6"/>
  <c r="E1889" i="6"/>
  <c r="G1887" i="6"/>
  <c r="F1887" i="6"/>
  <c r="E1887" i="6"/>
  <c r="G1886" i="6"/>
  <c r="F1886" i="6"/>
  <c r="E1886" i="6"/>
  <c r="G1884" i="6"/>
  <c r="F1884" i="6"/>
  <c r="E1884" i="6"/>
  <c r="G1881" i="6"/>
  <c r="F1881" i="6"/>
  <c r="E1881" i="6"/>
  <c r="G1880" i="6"/>
  <c r="F1880" i="6"/>
  <c r="E1880" i="6"/>
  <c r="G1878" i="6"/>
  <c r="F1878" i="6"/>
  <c r="E1878" i="6"/>
  <c r="G1876" i="6"/>
  <c r="F1876" i="6"/>
  <c r="E1876" i="6"/>
  <c r="G1875" i="6"/>
  <c r="F1875" i="6"/>
  <c r="E1875" i="6"/>
  <c r="G1873" i="6"/>
  <c r="F1873" i="6"/>
  <c r="E1873" i="6"/>
  <c r="G1872" i="6"/>
  <c r="F1872" i="6"/>
  <c r="E1872" i="6"/>
  <c r="G1870" i="6"/>
  <c r="F1870" i="6"/>
  <c r="E1870" i="6"/>
  <c r="G1869" i="6"/>
  <c r="F1869" i="6"/>
  <c r="F1868" i="6" s="1"/>
  <c r="E1869" i="6"/>
  <c r="E1868" i="6" s="1"/>
  <c r="G1867" i="6"/>
  <c r="G1866" i="6" s="1"/>
  <c r="F1867" i="6"/>
  <c r="F1866" i="6" s="1"/>
  <c r="E1867" i="6"/>
  <c r="E1866" i="6" s="1"/>
  <c r="G1864" i="6"/>
  <c r="F1864" i="6"/>
  <c r="E1864" i="6"/>
  <c r="G1863" i="6"/>
  <c r="F1863" i="6"/>
  <c r="E1863" i="6"/>
  <c r="G1862" i="6"/>
  <c r="F1862" i="6"/>
  <c r="E1862" i="6"/>
  <c r="G1861" i="6"/>
  <c r="F1861" i="6"/>
  <c r="E1861" i="6"/>
  <c r="G1860" i="6"/>
  <c r="F1860" i="6"/>
  <c r="E1860" i="6"/>
  <c r="G1859" i="6"/>
  <c r="F1859" i="6"/>
  <c r="E1859" i="6"/>
  <c r="G1857" i="6"/>
  <c r="F1857" i="6"/>
  <c r="E1857" i="6"/>
  <c r="G1856" i="6"/>
  <c r="F1856" i="6"/>
  <c r="E1856" i="6"/>
  <c r="G1855" i="6"/>
  <c r="F1855" i="6"/>
  <c r="E1855" i="6"/>
  <c r="G1854" i="6"/>
  <c r="F1854" i="6"/>
  <c r="E1854" i="6"/>
  <c r="G1853" i="6"/>
  <c r="F1853" i="6"/>
  <c r="E1853" i="6"/>
  <c r="G1852" i="6"/>
  <c r="F1852" i="6"/>
  <c r="E1852" i="6"/>
  <c r="G1851" i="6"/>
  <c r="F1851" i="6"/>
  <c r="E1851" i="6"/>
  <c r="G1850" i="6"/>
  <c r="F1850" i="6"/>
  <c r="E1850" i="6"/>
  <c r="G1849" i="6"/>
  <c r="F1849" i="6"/>
  <c r="E1849" i="6"/>
  <c r="G1848" i="6"/>
  <c r="F1848" i="6"/>
  <c r="E1848" i="6"/>
  <c r="G1847" i="6"/>
  <c r="F1847" i="6"/>
  <c r="E1847" i="6"/>
  <c r="G1845" i="6"/>
  <c r="F1845" i="6"/>
  <c r="E1845" i="6"/>
  <c r="G1844" i="6"/>
  <c r="F1844" i="6"/>
  <c r="E1844" i="6"/>
  <c r="G1843" i="6"/>
  <c r="F1843" i="6"/>
  <c r="E1843" i="6"/>
  <c r="G1842" i="6"/>
  <c r="F1842" i="6"/>
  <c r="E1842" i="6"/>
  <c r="G1841" i="6"/>
  <c r="F1841" i="6"/>
  <c r="E1841" i="6"/>
  <c r="G1840" i="6"/>
  <c r="F1840" i="6"/>
  <c r="E1840" i="6"/>
  <c r="G1839" i="6"/>
  <c r="F1839" i="6"/>
  <c r="E1839" i="6"/>
  <c r="G1838" i="6"/>
  <c r="F1838" i="6"/>
  <c r="E1838" i="6"/>
  <c r="G1837" i="6"/>
  <c r="F1837" i="6"/>
  <c r="E1837" i="6"/>
  <c r="G1836" i="6"/>
  <c r="F1836" i="6"/>
  <c r="E1836" i="6"/>
  <c r="G1835" i="6"/>
  <c r="F1835" i="6"/>
  <c r="E1835" i="6"/>
  <c r="G1834" i="6"/>
  <c r="F1834" i="6"/>
  <c r="E1834" i="6"/>
  <c r="G1833" i="6"/>
  <c r="F1833" i="6"/>
  <c r="E1833" i="6"/>
  <c r="G1830" i="6"/>
  <c r="F1830" i="6"/>
  <c r="E1830" i="6"/>
  <c r="G1829" i="6"/>
  <c r="F1829" i="6"/>
  <c r="E1829" i="6"/>
  <c r="G1828" i="6"/>
  <c r="F1828" i="6"/>
  <c r="E1828" i="6"/>
  <c r="G1827" i="6"/>
  <c r="F1827" i="6"/>
  <c r="E1827" i="6"/>
  <c r="G1826" i="6"/>
  <c r="F1826" i="6"/>
  <c r="E1826" i="6"/>
  <c r="G1825" i="6"/>
  <c r="F1825" i="6"/>
  <c r="E1825" i="6"/>
  <c r="G1824" i="6"/>
  <c r="F1824" i="6"/>
  <c r="E1824" i="6"/>
  <c r="G1823" i="6"/>
  <c r="F1823" i="6"/>
  <c r="E1823" i="6"/>
  <c r="G1822" i="6"/>
  <c r="F1822" i="6"/>
  <c r="E1822" i="6"/>
  <c r="G1818" i="6"/>
  <c r="G1817" i="6" s="1"/>
  <c r="F1818" i="6"/>
  <c r="F1817" i="6" s="1"/>
  <c r="E1818" i="6"/>
  <c r="E1817" i="6" s="1"/>
  <c r="G1816" i="6"/>
  <c r="G1815" i="6" s="1"/>
  <c r="F1816" i="6"/>
  <c r="E1816" i="6"/>
  <c r="E1815" i="6" s="1"/>
  <c r="G1814" i="6"/>
  <c r="G1813" i="6" s="1"/>
  <c r="F1814" i="6"/>
  <c r="E1814" i="6"/>
  <c r="E1813" i="6" s="1"/>
  <c r="G1812" i="6"/>
  <c r="G1811" i="6" s="1"/>
  <c r="F1812" i="6"/>
  <c r="E1812" i="6"/>
  <c r="E1811" i="6" s="1"/>
  <c r="G1810" i="6"/>
  <c r="G1809" i="6" s="1"/>
  <c r="F1810" i="6"/>
  <c r="E1810" i="6"/>
  <c r="E1809" i="6" s="1"/>
  <c r="G1808" i="6"/>
  <c r="G1807" i="6" s="1"/>
  <c r="F1808" i="6"/>
  <c r="E1808" i="6"/>
  <c r="E1807" i="6" s="1"/>
  <c r="G1804" i="6"/>
  <c r="F2245" i="6" s="1"/>
  <c r="E1804" i="6"/>
  <c r="G1803" i="6"/>
  <c r="F1803" i="6"/>
  <c r="F1802" i="6" s="1"/>
  <c r="E1803" i="6"/>
  <c r="G1801" i="6"/>
  <c r="G1800" i="6" s="1"/>
  <c r="F1801" i="6"/>
  <c r="E1801" i="6"/>
  <c r="G1799" i="6"/>
  <c r="G1798" i="6" s="1"/>
  <c r="F1799" i="6"/>
  <c r="F1798" i="6" s="1"/>
  <c r="E1799" i="6"/>
  <c r="G1797" i="6"/>
  <c r="F1797" i="6"/>
  <c r="F1796" i="6" s="1"/>
  <c r="E1797" i="6"/>
  <c r="G1795" i="6"/>
  <c r="G1794" i="6" s="1"/>
  <c r="F1795" i="6"/>
  <c r="E1795" i="6"/>
  <c r="G1793" i="6"/>
  <c r="G1792" i="6" s="1"/>
  <c r="F1793" i="6"/>
  <c r="E1793" i="6"/>
  <c r="E1792" i="6" s="1"/>
  <c r="G1791" i="6"/>
  <c r="G1790" i="6" s="1"/>
  <c r="F1791" i="6"/>
  <c r="E1791" i="6"/>
  <c r="E1790" i="6" s="1"/>
  <c r="E1788" i="6"/>
  <c r="G1787" i="6"/>
  <c r="F1787" i="6"/>
  <c r="E1787" i="6"/>
  <c r="G1786" i="6"/>
  <c r="F1786" i="6"/>
  <c r="E1786" i="6"/>
  <c r="G1785" i="6"/>
  <c r="F1785" i="6"/>
  <c r="E1785" i="6"/>
  <c r="G1784" i="6"/>
  <c r="F1784" i="6"/>
  <c r="E1784" i="6"/>
  <c r="G1783" i="6"/>
  <c r="F1783" i="6"/>
  <c r="E1783" i="6"/>
  <c r="G1781" i="6"/>
  <c r="F1781" i="6"/>
  <c r="E1781" i="6"/>
  <c r="G1780" i="6"/>
  <c r="F1780" i="6"/>
  <c r="E1780" i="6"/>
  <c r="G1779" i="6"/>
  <c r="F1779" i="6"/>
  <c r="E1779" i="6"/>
  <c r="G1778" i="6"/>
  <c r="F1778" i="6"/>
  <c r="E1778" i="6"/>
  <c r="G1777" i="6"/>
  <c r="F1777" i="6"/>
  <c r="E1777" i="6"/>
  <c r="G1775" i="6"/>
  <c r="F1775" i="6"/>
  <c r="E1775" i="6"/>
  <c r="G1774" i="6"/>
  <c r="F1774" i="6"/>
  <c r="E1774" i="6"/>
  <c r="G1773" i="6"/>
  <c r="F1773" i="6"/>
  <c r="E1773" i="6"/>
  <c r="G1772" i="6"/>
  <c r="F1772" i="6"/>
  <c r="E1772" i="6"/>
  <c r="G1770" i="6"/>
  <c r="F1770" i="6"/>
  <c r="F1769" i="6" s="1"/>
  <c r="E1770" i="6"/>
  <c r="G1768" i="6"/>
  <c r="F1768" i="6"/>
  <c r="E1768" i="6"/>
  <c r="G1767" i="6"/>
  <c r="F1767" i="6"/>
  <c r="E1767" i="6"/>
  <c r="G1766" i="6"/>
  <c r="F1766" i="6"/>
  <c r="E1766" i="6"/>
  <c r="G1764" i="6"/>
  <c r="F1764" i="6"/>
  <c r="E1764" i="6"/>
  <c r="G1763" i="6"/>
  <c r="F1763" i="6"/>
  <c r="E1763" i="6"/>
  <c r="G1761" i="6"/>
  <c r="F1761" i="6"/>
  <c r="E1761" i="6"/>
  <c r="G1760" i="6"/>
  <c r="F1760" i="6"/>
  <c r="E1760" i="6"/>
  <c r="G1759" i="6"/>
  <c r="F1759" i="6"/>
  <c r="E1759" i="6"/>
  <c r="G1758" i="6"/>
  <c r="F1758" i="6"/>
  <c r="E1758" i="6"/>
  <c r="G1757" i="6"/>
  <c r="F1757" i="6"/>
  <c r="E1757" i="6"/>
  <c r="G1755" i="6"/>
  <c r="F1755" i="6"/>
  <c r="E1755" i="6"/>
  <c r="G1754" i="6"/>
  <c r="F1754" i="6"/>
  <c r="E1754" i="6"/>
  <c r="G1753" i="6"/>
  <c r="F1753" i="6"/>
  <c r="E1753" i="6"/>
  <c r="G1752" i="6"/>
  <c r="F1752" i="6"/>
  <c r="E1752" i="6"/>
  <c r="G1751" i="6"/>
  <c r="F1751" i="6"/>
  <c r="E1751" i="6"/>
  <c r="G1750" i="6"/>
  <c r="F1750" i="6"/>
  <c r="E1750" i="6"/>
  <c r="G1749" i="6"/>
  <c r="F1749" i="6"/>
  <c r="E1749" i="6"/>
  <c r="G1747" i="6"/>
  <c r="F1747" i="6"/>
  <c r="E1747" i="6"/>
  <c r="G1746" i="6"/>
  <c r="F1746" i="6"/>
  <c r="E1746" i="6"/>
  <c r="G1745" i="6"/>
  <c r="F1745" i="6"/>
  <c r="E1745" i="6"/>
  <c r="G1744" i="6"/>
  <c r="F1744" i="6"/>
  <c r="E1744" i="6"/>
  <c r="G1743" i="6"/>
  <c r="F1743" i="6"/>
  <c r="E1743" i="6"/>
  <c r="G1742" i="6"/>
  <c r="F1742" i="6"/>
  <c r="E1742" i="6"/>
  <c r="G1738" i="6"/>
  <c r="F2237" i="6" s="1"/>
  <c r="E1738" i="6"/>
  <c r="G1737" i="6"/>
  <c r="F1737" i="6"/>
  <c r="E1737" i="6"/>
  <c r="G1736" i="6"/>
  <c r="F1736" i="6"/>
  <c r="E1736" i="6"/>
  <c r="G1733" i="6"/>
  <c r="E1733" i="6"/>
  <c r="G1732" i="6"/>
  <c r="F1732" i="6"/>
  <c r="E1732" i="6"/>
  <c r="G1731" i="6"/>
  <c r="F1731" i="6"/>
  <c r="E1731" i="6"/>
  <c r="G1730" i="6"/>
  <c r="F1730" i="6"/>
  <c r="E1730" i="6"/>
  <c r="G1729" i="6"/>
  <c r="F1729" i="6"/>
  <c r="E1729" i="6"/>
  <c r="G1727" i="6"/>
  <c r="F1727" i="6"/>
  <c r="E1727" i="6"/>
  <c r="G1726" i="6"/>
  <c r="F1726" i="6"/>
  <c r="E1726" i="6"/>
  <c r="G1725" i="6"/>
  <c r="F1725" i="6"/>
  <c r="E1725" i="6"/>
  <c r="G1724" i="6"/>
  <c r="F1724" i="6"/>
  <c r="E1724" i="6"/>
  <c r="G1723" i="6"/>
  <c r="F1723" i="6"/>
  <c r="E1723" i="6"/>
  <c r="G1720" i="6"/>
  <c r="G1719" i="6" s="1"/>
  <c r="F1720" i="6"/>
  <c r="E1720" i="6"/>
  <c r="G1718" i="6"/>
  <c r="F1718" i="6"/>
  <c r="E1718" i="6"/>
  <c r="G1717" i="6"/>
  <c r="F1717" i="6"/>
  <c r="E1717" i="6"/>
  <c r="G1716" i="6"/>
  <c r="F1716" i="6"/>
  <c r="E1716" i="6"/>
  <c r="G1715" i="6"/>
  <c r="F1715" i="6"/>
  <c r="E1715" i="6"/>
  <c r="G1714" i="6"/>
  <c r="F1714" i="6"/>
  <c r="E1714" i="6"/>
  <c r="G1713" i="6"/>
  <c r="F1713" i="6"/>
  <c r="E1713" i="6"/>
  <c r="G1710" i="6"/>
  <c r="F1710" i="6"/>
  <c r="E1710" i="6"/>
  <c r="G1709" i="6"/>
  <c r="F1709" i="6"/>
  <c r="E1709" i="6"/>
  <c r="G1708" i="6"/>
  <c r="F1708" i="6"/>
  <c r="E1708" i="6"/>
  <c r="G1706" i="6"/>
  <c r="G1705" i="6" s="1"/>
  <c r="F1706" i="6"/>
  <c r="F1705" i="6" s="1"/>
  <c r="E1706" i="6"/>
  <c r="E1705" i="6" s="1"/>
  <c r="G1704" i="6"/>
  <c r="G1703" i="6" s="1"/>
  <c r="F1704" i="6"/>
  <c r="F1703" i="6" s="1"/>
  <c r="E1704" i="6"/>
  <c r="E1703" i="6" s="1"/>
  <c r="G1702" i="6"/>
  <c r="F1702" i="6"/>
  <c r="E1702" i="6"/>
  <c r="G1701" i="6"/>
  <c r="F1701" i="6"/>
  <c r="E1701" i="6"/>
  <c r="G1699" i="6"/>
  <c r="F1699" i="6"/>
  <c r="E1699" i="6"/>
  <c r="G1698" i="6"/>
  <c r="F1698" i="6"/>
  <c r="E1698" i="6"/>
  <c r="G1697" i="6"/>
  <c r="F1697" i="6"/>
  <c r="E1697" i="6"/>
  <c r="G1696" i="6"/>
  <c r="F1696" i="6"/>
  <c r="E1696" i="6"/>
  <c r="G1695" i="6"/>
  <c r="F1695" i="6"/>
  <c r="E1695" i="6"/>
  <c r="G1694" i="6"/>
  <c r="F1694" i="6"/>
  <c r="E1694" i="6"/>
  <c r="G1693" i="6"/>
  <c r="F1693" i="6"/>
  <c r="E1693" i="6"/>
  <c r="G1692" i="6"/>
  <c r="F1692" i="6"/>
  <c r="E1692" i="6"/>
  <c r="G1691" i="6"/>
  <c r="F1691" i="6"/>
  <c r="E1691" i="6"/>
  <c r="G1690" i="6"/>
  <c r="F1690" i="6"/>
  <c r="E1690" i="6"/>
  <c r="G1686" i="6"/>
  <c r="E1686" i="6"/>
  <c r="G1685" i="6"/>
  <c r="G1684" i="6" s="1"/>
  <c r="F1685" i="6"/>
  <c r="E1685" i="6"/>
  <c r="E1684" i="6" s="1"/>
  <c r="G1683" i="6"/>
  <c r="F1683" i="6"/>
  <c r="E1683" i="6"/>
  <c r="G1682" i="6"/>
  <c r="F1682" i="6"/>
  <c r="E1682" i="6"/>
  <c r="G1681" i="6"/>
  <c r="F1681" i="6"/>
  <c r="E1681" i="6"/>
  <c r="G1680" i="6"/>
  <c r="F1680" i="6"/>
  <c r="E1680" i="6"/>
  <c r="G1677" i="6"/>
  <c r="F2225" i="6" s="1"/>
  <c r="E1677" i="6"/>
  <c r="G1676" i="6"/>
  <c r="F1676" i="6"/>
  <c r="E1676" i="6"/>
  <c r="G1675" i="6"/>
  <c r="F1675" i="6"/>
  <c r="E1675" i="6"/>
  <c r="G1674" i="6"/>
  <c r="F1674" i="6"/>
  <c r="E1674" i="6"/>
  <c r="G1673" i="6"/>
  <c r="F1673" i="6"/>
  <c r="E1673" i="6"/>
  <c r="G1672" i="6"/>
  <c r="F1672" i="6"/>
  <c r="E1672" i="6"/>
  <c r="G1671" i="6"/>
  <c r="F1671" i="6"/>
  <c r="E1671" i="6"/>
  <c r="G1669" i="6"/>
  <c r="G1668" i="6" s="1"/>
  <c r="F1669" i="6"/>
  <c r="E1669" i="6"/>
  <c r="G1667" i="6"/>
  <c r="G1666" i="6" s="1"/>
  <c r="F1667" i="6"/>
  <c r="E1667" i="6"/>
  <c r="G1664" i="6"/>
  <c r="F2224" i="6" s="1"/>
  <c r="E1664" i="6"/>
  <c r="G1663" i="6"/>
  <c r="G1662" i="6" s="1"/>
  <c r="F1663" i="6"/>
  <c r="E1663" i="6"/>
  <c r="G1661" i="6"/>
  <c r="F1661" i="6"/>
  <c r="E1661" i="6"/>
  <c r="G1660" i="6"/>
  <c r="F1660" i="6"/>
  <c r="E1660" i="6"/>
  <c r="G1659" i="6"/>
  <c r="F1659" i="6"/>
  <c r="E1659" i="6"/>
  <c r="G1658" i="6"/>
  <c r="F1658" i="6"/>
  <c r="E1658" i="6"/>
  <c r="G1657" i="6"/>
  <c r="F1657" i="6"/>
  <c r="E1657" i="6"/>
  <c r="G1656" i="6"/>
  <c r="F1656" i="6"/>
  <c r="E1656" i="6"/>
  <c r="G1655" i="6"/>
  <c r="F1655" i="6"/>
  <c r="E1655" i="6"/>
  <c r="G1654" i="6"/>
  <c r="F1654" i="6"/>
  <c r="E1654" i="6"/>
  <c r="G1653" i="6"/>
  <c r="F1653" i="6"/>
  <c r="E1653" i="6"/>
  <c r="E1650" i="6"/>
  <c r="G1649" i="6"/>
  <c r="F1649" i="6"/>
  <c r="E1649" i="6"/>
  <c r="G1648" i="6"/>
  <c r="F1648" i="6"/>
  <c r="E1648" i="6"/>
  <c r="G1646" i="6"/>
  <c r="F1646" i="6"/>
  <c r="F1645" i="6" s="1"/>
  <c r="E1646" i="6"/>
  <c r="G1644" i="6"/>
  <c r="F1644" i="6"/>
  <c r="E1644" i="6"/>
  <c r="G1643" i="6"/>
  <c r="F1643" i="6"/>
  <c r="E1643" i="6"/>
  <c r="G1641" i="6"/>
  <c r="F1641" i="6"/>
  <c r="E1641" i="6"/>
  <c r="G1639" i="6"/>
  <c r="F1639" i="6"/>
  <c r="E1639" i="6"/>
  <c r="G1638" i="6"/>
  <c r="F1638" i="6"/>
  <c r="E1638" i="6"/>
  <c r="G1636" i="6"/>
  <c r="F14" i="15" s="1"/>
  <c r="F1636" i="6"/>
  <c r="E1636" i="6"/>
  <c r="E1633" i="6"/>
  <c r="G1632" i="6"/>
  <c r="F1632" i="6"/>
  <c r="E1632" i="6"/>
  <c r="G1631" i="6"/>
  <c r="F1631" i="6"/>
  <c r="E1631" i="6"/>
  <c r="G1630" i="6"/>
  <c r="F1630" i="6"/>
  <c r="E1630" i="6"/>
  <c r="G1629" i="6"/>
  <c r="F1629" i="6"/>
  <c r="E1629" i="6"/>
  <c r="G1627" i="6"/>
  <c r="F1627" i="6"/>
  <c r="E1627" i="6"/>
  <c r="G1626" i="6"/>
  <c r="F1626" i="6"/>
  <c r="E1626" i="6"/>
  <c r="G1625" i="6"/>
  <c r="F1625" i="6"/>
  <c r="E1625" i="6"/>
  <c r="G1624" i="6"/>
  <c r="F1624" i="6"/>
  <c r="E1624" i="6"/>
  <c r="G1621" i="6"/>
  <c r="F1621" i="6"/>
  <c r="E1621" i="6"/>
  <c r="G1620" i="6"/>
  <c r="F1620" i="6"/>
  <c r="E1620" i="6"/>
  <c r="G1619" i="6"/>
  <c r="F1619" i="6"/>
  <c r="E1619" i="6"/>
  <c r="G1618" i="6"/>
  <c r="F1618" i="6"/>
  <c r="E1618" i="6"/>
  <c r="G1615" i="6"/>
  <c r="F1615" i="6"/>
  <c r="E1615" i="6"/>
  <c r="G1614" i="6"/>
  <c r="F1614" i="6"/>
  <c r="E1614" i="6"/>
  <c r="G1613" i="6"/>
  <c r="F1613" i="6"/>
  <c r="E1613" i="6"/>
  <c r="G1612" i="6"/>
  <c r="F1612" i="6"/>
  <c r="E1612" i="6"/>
  <c r="G1610" i="6"/>
  <c r="F1610" i="6"/>
  <c r="E1610" i="6"/>
  <c r="G1609" i="6"/>
  <c r="F1609" i="6"/>
  <c r="E1609" i="6"/>
  <c r="G1608" i="6"/>
  <c r="F1608" i="6"/>
  <c r="E1608" i="6"/>
  <c r="G1607" i="6"/>
  <c r="F1607" i="6"/>
  <c r="E1607" i="6"/>
  <c r="G1604" i="6"/>
  <c r="F1604" i="6"/>
  <c r="E1604" i="6"/>
  <c r="G1603" i="6"/>
  <c r="F1603" i="6"/>
  <c r="E1603" i="6"/>
  <c r="G1602" i="6"/>
  <c r="F1602" i="6"/>
  <c r="E1602" i="6"/>
  <c r="G1601" i="6"/>
  <c r="F1601" i="6"/>
  <c r="E1601" i="6"/>
  <c r="G1598" i="6"/>
  <c r="F1598" i="6"/>
  <c r="E1598" i="6"/>
  <c r="G1597" i="6"/>
  <c r="F1597" i="6"/>
  <c r="E1597" i="6"/>
  <c r="G1596" i="6"/>
  <c r="F1596" i="6"/>
  <c r="E1596" i="6"/>
  <c r="G1595" i="6"/>
  <c r="F1595" i="6"/>
  <c r="E1595" i="6"/>
  <c r="G1594" i="6"/>
  <c r="F1594" i="6"/>
  <c r="E1594" i="6"/>
  <c r="G1593" i="6"/>
  <c r="F1593" i="6"/>
  <c r="E1593" i="6"/>
  <c r="G1591" i="6"/>
  <c r="F1591" i="6"/>
  <c r="E1591" i="6"/>
  <c r="G1590" i="6"/>
  <c r="F1590" i="6"/>
  <c r="E1590" i="6"/>
  <c r="G1588" i="6"/>
  <c r="F1588" i="6"/>
  <c r="E1588" i="6"/>
  <c r="G1586" i="6"/>
  <c r="F1586" i="6"/>
  <c r="E1586" i="6"/>
  <c r="G1585" i="6"/>
  <c r="F1585" i="6"/>
  <c r="E1585" i="6"/>
  <c r="G1583" i="6"/>
  <c r="F1583" i="6"/>
  <c r="E1583" i="6"/>
  <c r="G1581" i="6"/>
  <c r="F1581" i="6"/>
  <c r="E1581" i="6"/>
  <c r="G1580" i="6"/>
  <c r="F1580" i="6"/>
  <c r="E1580" i="6"/>
  <c r="G1578" i="6"/>
  <c r="F1578" i="6"/>
  <c r="E1578" i="6"/>
  <c r="G1576" i="6"/>
  <c r="F1576" i="6"/>
  <c r="E1576" i="6"/>
  <c r="G1575" i="6"/>
  <c r="F1575" i="6"/>
  <c r="E1575" i="6"/>
  <c r="G1573" i="6"/>
  <c r="F1573" i="6"/>
  <c r="E1573" i="6"/>
  <c r="G1569" i="6"/>
  <c r="F1569" i="6"/>
  <c r="E1569" i="6"/>
  <c r="G1568" i="6"/>
  <c r="G1567" i="6" s="1"/>
  <c r="F1568" i="6"/>
  <c r="F1567" i="6" s="1"/>
  <c r="E1568" i="6"/>
  <c r="G1566" i="6"/>
  <c r="F1566" i="6"/>
  <c r="E1566" i="6"/>
  <c r="G1565" i="6"/>
  <c r="F1565" i="6"/>
  <c r="E1565" i="6"/>
  <c r="G1563" i="6"/>
  <c r="F1563" i="6"/>
  <c r="E1563" i="6"/>
  <c r="G1562" i="6"/>
  <c r="F1562" i="6"/>
  <c r="E1562" i="6"/>
  <c r="G1560" i="6"/>
  <c r="F1560" i="6"/>
  <c r="E1560" i="6"/>
  <c r="G1559" i="6"/>
  <c r="F1559" i="6"/>
  <c r="E1559" i="6"/>
  <c r="H1554" i="6"/>
  <c r="G1553" i="6"/>
  <c r="F1553" i="6"/>
  <c r="E1553" i="6"/>
  <c r="G1551" i="6"/>
  <c r="F1551" i="6"/>
  <c r="E1551" i="6"/>
  <c r="E1550" i="6" s="1"/>
  <c r="G1550" i="6"/>
  <c r="H68" i="14" s="1"/>
  <c r="F1550" i="6"/>
  <c r="J68" i="14" s="1"/>
  <c r="G1549" i="6"/>
  <c r="F1549" i="6"/>
  <c r="E1549" i="6"/>
  <c r="E1548" i="6" s="1"/>
  <c r="G1548" i="6"/>
  <c r="F1548" i="6"/>
  <c r="G1547" i="6"/>
  <c r="F1547" i="6"/>
  <c r="E1547" i="6"/>
  <c r="E1546" i="6" s="1"/>
  <c r="G1546" i="6"/>
  <c r="F1546" i="6"/>
  <c r="G1545" i="6"/>
  <c r="F1545" i="6"/>
  <c r="E1545" i="6"/>
  <c r="E1544" i="6" s="1"/>
  <c r="G1544" i="6"/>
  <c r="F1544" i="6"/>
  <c r="G1543" i="6"/>
  <c r="F1543" i="6"/>
  <c r="G1541" i="6"/>
  <c r="F1541" i="6"/>
  <c r="E1541" i="6"/>
  <c r="G1536" i="6"/>
  <c r="F1536" i="6"/>
  <c r="F1535" i="6" s="1"/>
  <c r="E1536" i="6"/>
  <c r="G1534" i="6"/>
  <c r="F1534" i="6"/>
  <c r="E1534" i="6"/>
  <c r="G1533" i="6"/>
  <c r="F1533" i="6"/>
  <c r="E1533" i="6"/>
  <c r="G1532" i="6"/>
  <c r="F1532" i="6"/>
  <c r="E1532" i="6"/>
  <c r="G1529" i="6"/>
  <c r="F1529" i="6"/>
  <c r="E1529" i="6"/>
  <c r="G1528" i="6"/>
  <c r="F1528" i="6"/>
  <c r="E1528" i="6"/>
  <c r="G1527" i="6"/>
  <c r="F1527" i="6"/>
  <c r="E1527" i="6"/>
  <c r="G1524" i="6"/>
  <c r="G1523" i="6" s="1"/>
  <c r="F1524" i="6"/>
  <c r="F1523" i="6" s="1"/>
  <c r="E1524" i="6"/>
  <c r="G1522" i="6"/>
  <c r="F1522" i="6"/>
  <c r="F1521" i="6" s="1"/>
  <c r="E1522" i="6"/>
  <c r="G1520" i="6"/>
  <c r="F1520" i="6"/>
  <c r="E1520" i="6"/>
  <c r="G1519" i="6"/>
  <c r="F1519" i="6"/>
  <c r="G1518" i="6"/>
  <c r="F1518" i="6"/>
  <c r="F1517" i="6" s="1"/>
  <c r="E1518" i="6"/>
  <c r="G1516" i="6"/>
  <c r="F1516" i="6"/>
  <c r="E1516" i="6"/>
  <c r="G1515" i="6"/>
  <c r="F1515" i="6"/>
  <c r="E1515" i="6"/>
  <c r="G1514" i="6"/>
  <c r="F1514" i="6"/>
  <c r="E1514" i="6"/>
  <c r="G1513" i="6"/>
  <c r="F1513" i="6"/>
  <c r="E1513" i="6"/>
  <c r="G1512" i="6"/>
  <c r="F1512" i="6"/>
  <c r="E1512" i="6"/>
  <c r="G1511" i="6"/>
  <c r="F1511" i="6"/>
  <c r="E1511" i="6"/>
  <c r="G1510" i="6"/>
  <c r="F1510" i="6"/>
  <c r="E1510" i="6"/>
  <c r="G1509" i="6"/>
  <c r="F1509" i="6"/>
  <c r="E1509" i="6"/>
  <c r="G1508" i="6"/>
  <c r="F1508" i="6"/>
  <c r="E1508" i="6"/>
  <c r="G1506" i="6"/>
  <c r="F1506" i="6"/>
  <c r="E1506" i="6"/>
  <c r="G1505" i="6"/>
  <c r="F1505" i="6"/>
  <c r="E1505" i="6"/>
  <c r="G1499" i="6"/>
  <c r="F1499" i="6"/>
  <c r="E1499" i="6"/>
  <c r="G1498" i="6"/>
  <c r="F1498" i="6"/>
  <c r="E1498" i="6"/>
  <c r="G1496" i="6"/>
  <c r="F1496" i="6"/>
  <c r="E1496" i="6"/>
  <c r="G1495" i="6"/>
  <c r="F1495" i="6"/>
  <c r="E1495" i="6"/>
  <c r="G1493" i="6"/>
  <c r="F1493" i="6"/>
  <c r="G1492" i="6"/>
  <c r="F1492" i="6"/>
  <c r="E1492" i="6"/>
  <c r="G1491" i="6"/>
  <c r="F1491" i="6"/>
  <c r="E1491" i="6"/>
  <c r="G1490" i="6"/>
  <c r="F1490" i="6"/>
  <c r="E1490" i="6"/>
  <c r="G1487" i="6"/>
  <c r="F1487" i="6"/>
  <c r="E1487" i="6"/>
  <c r="G1486" i="6"/>
  <c r="F1486" i="6"/>
  <c r="E1486" i="6"/>
  <c r="G1485" i="6"/>
  <c r="F1485" i="6"/>
  <c r="E1485" i="6"/>
  <c r="G1481" i="6"/>
  <c r="F1481" i="6"/>
  <c r="E1481" i="6"/>
  <c r="G1475" i="6"/>
  <c r="F1475" i="6"/>
  <c r="E1475" i="6"/>
  <c r="G1474" i="6"/>
  <c r="F1474" i="6"/>
  <c r="E1474" i="6"/>
  <c r="G1473" i="6"/>
  <c r="F1473" i="6"/>
  <c r="E1473" i="6"/>
  <c r="G1472" i="6"/>
  <c r="F1472" i="6"/>
  <c r="E1472" i="6"/>
  <c r="G1471" i="6"/>
  <c r="F1471" i="6"/>
  <c r="E1471" i="6"/>
  <c r="G1468" i="6"/>
  <c r="F1468" i="6"/>
  <c r="E1468" i="6"/>
  <c r="G1467" i="6"/>
  <c r="F1467" i="6"/>
  <c r="E1467" i="6"/>
  <c r="G1464" i="6"/>
  <c r="F1464" i="6"/>
  <c r="F1463" i="6" s="1"/>
  <c r="E1464" i="6"/>
  <c r="G1462" i="6"/>
  <c r="F1462" i="6"/>
  <c r="E1462" i="6"/>
  <c r="G1461" i="6"/>
  <c r="F1461" i="6"/>
  <c r="E1461" i="6"/>
  <c r="G1460" i="6"/>
  <c r="F1460" i="6"/>
  <c r="E1460" i="6"/>
  <c r="G1458" i="6"/>
  <c r="F1458" i="6"/>
  <c r="E1458" i="6"/>
  <c r="G1457" i="6"/>
  <c r="F1457" i="6"/>
  <c r="E1457" i="6"/>
  <c r="G1456" i="6"/>
  <c r="F1456" i="6"/>
  <c r="E1456" i="6"/>
  <c r="G1454" i="6"/>
  <c r="F1454" i="6"/>
  <c r="G1452" i="6"/>
  <c r="G1451" i="6" s="1"/>
  <c r="F1452" i="6"/>
  <c r="F1451" i="6" s="1"/>
  <c r="E1452" i="6"/>
  <c r="G1450" i="6"/>
  <c r="F1450" i="6"/>
  <c r="E1450" i="6"/>
  <c r="G1449" i="6"/>
  <c r="F1449" i="6"/>
  <c r="E1449" i="6"/>
  <c r="G1447" i="6"/>
  <c r="G1446" i="6" s="1"/>
  <c r="F1447" i="6"/>
  <c r="E1447" i="6"/>
  <c r="E1446" i="6" s="1"/>
  <c r="G1445" i="6"/>
  <c r="G1444" i="6" s="1"/>
  <c r="F1445" i="6"/>
  <c r="E1445" i="6"/>
  <c r="E1444" i="6" s="1"/>
  <c r="F1443" i="6"/>
  <c r="E1443" i="6"/>
  <c r="G1443" i="6" s="1"/>
  <c r="G1442" i="6" s="1"/>
  <c r="G1440" i="6"/>
  <c r="G1439" i="6" s="1"/>
  <c r="G1438" i="6" s="1"/>
  <c r="F1440" i="6"/>
  <c r="F1439" i="6" s="1"/>
  <c r="E1440" i="6"/>
  <c r="G1437" i="6"/>
  <c r="F1437" i="6"/>
  <c r="E1437" i="6"/>
  <c r="G1436" i="6"/>
  <c r="F1436" i="6"/>
  <c r="E1436" i="6"/>
  <c r="G1434" i="6"/>
  <c r="F1434" i="6"/>
  <c r="E1434" i="6"/>
  <c r="G1433" i="6"/>
  <c r="F1433" i="6"/>
  <c r="E1433" i="6"/>
  <c r="G1431" i="6"/>
  <c r="G1430" i="6" s="1"/>
  <c r="F1431" i="6"/>
  <c r="E1431" i="6"/>
  <c r="E1430" i="6" s="1"/>
  <c r="G1429" i="6"/>
  <c r="F1429" i="6"/>
  <c r="E1429" i="6"/>
  <c r="G1428" i="6"/>
  <c r="F1428" i="6"/>
  <c r="E1428" i="6"/>
  <c r="G1426" i="6"/>
  <c r="F1426" i="6"/>
  <c r="E1426" i="6"/>
  <c r="G1425" i="6"/>
  <c r="F1425" i="6"/>
  <c r="E1425" i="6"/>
  <c r="G1423" i="6"/>
  <c r="F1423" i="6"/>
  <c r="E1423" i="6"/>
  <c r="G1422" i="6"/>
  <c r="F1422" i="6"/>
  <c r="E1422" i="6"/>
  <c r="G1416" i="6"/>
  <c r="F1416" i="6"/>
  <c r="E1416" i="6"/>
  <c r="G1415" i="6"/>
  <c r="F1415" i="6"/>
  <c r="E1415" i="6"/>
  <c r="G1414" i="6"/>
  <c r="F1414" i="6"/>
  <c r="E1414" i="6"/>
  <c r="G1413" i="6"/>
  <c r="F1413" i="6"/>
  <c r="E1413" i="6"/>
  <c r="G1412" i="6"/>
  <c r="F1412" i="6"/>
  <c r="E1412" i="6"/>
  <c r="G1411" i="6"/>
  <c r="F1411" i="6"/>
  <c r="E1411" i="6"/>
  <c r="G1410" i="6"/>
  <c r="F1410" i="6"/>
  <c r="E1410" i="6"/>
  <c r="G1409" i="6"/>
  <c r="F1409" i="6"/>
  <c r="E1409" i="6"/>
  <c r="G1408" i="6"/>
  <c r="F1408" i="6"/>
  <c r="E1408" i="6"/>
  <c r="G1407" i="6"/>
  <c r="F1407" i="6"/>
  <c r="E1407" i="6"/>
  <c r="G1406" i="6"/>
  <c r="F1406" i="6"/>
  <c r="E1406" i="6"/>
  <c r="G1405" i="6"/>
  <c r="F1405" i="6"/>
  <c r="E1405" i="6"/>
  <c r="G1404" i="6"/>
  <c r="F1404" i="6"/>
  <c r="E1404" i="6"/>
  <c r="G1403" i="6"/>
  <c r="F1403" i="6"/>
  <c r="E1403" i="6"/>
  <c r="G1402" i="6"/>
  <c r="F1402" i="6"/>
  <c r="E1402" i="6"/>
  <c r="G1401" i="6"/>
  <c r="F1401" i="6"/>
  <c r="E1401" i="6"/>
  <c r="G1400" i="6"/>
  <c r="F1400" i="6"/>
  <c r="E1400" i="6"/>
  <c r="G1399" i="6"/>
  <c r="F1399" i="6"/>
  <c r="E1399" i="6"/>
  <c r="G1397" i="6"/>
  <c r="F1397" i="6"/>
  <c r="E1397" i="6"/>
  <c r="G1393" i="6"/>
  <c r="F1393" i="6"/>
  <c r="G1392" i="6"/>
  <c r="F1392" i="6"/>
  <c r="E1392" i="6"/>
  <c r="G1391" i="6"/>
  <c r="F1391" i="6"/>
  <c r="E1391" i="6"/>
  <c r="G1390" i="6"/>
  <c r="F1390" i="6"/>
  <c r="E1390" i="6"/>
  <c r="G1389" i="6"/>
  <c r="F1389" i="6"/>
  <c r="E1389" i="6"/>
  <c r="G1388" i="6"/>
  <c r="F1388" i="6"/>
  <c r="E1388" i="6"/>
  <c r="G1387" i="6"/>
  <c r="F1387" i="6"/>
  <c r="E1387" i="6"/>
  <c r="G1386" i="6"/>
  <c r="F1386" i="6"/>
  <c r="E1386" i="6"/>
  <c r="G1385" i="6"/>
  <c r="F1385" i="6"/>
  <c r="E1385" i="6"/>
  <c r="G1384" i="6"/>
  <c r="F1384" i="6"/>
  <c r="E1384" i="6"/>
  <c r="G1383" i="6"/>
  <c r="F1383" i="6"/>
  <c r="E1383" i="6"/>
  <c r="G1382" i="6"/>
  <c r="F1382" i="6"/>
  <c r="E1382" i="6"/>
  <c r="G1381" i="6"/>
  <c r="F1381" i="6"/>
  <c r="E1381" i="6"/>
  <c r="G1380" i="6"/>
  <c r="F1380" i="6"/>
  <c r="E1380" i="6"/>
  <c r="G1378" i="6"/>
  <c r="F1378" i="6"/>
  <c r="E1378" i="6"/>
  <c r="G1377" i="6"/>
  <c r="F1377" i="6"/>
  <c r="E1377" i="6"/>
  <c r="G1376" i="6"/>
  <c r="F1376" i="6"/>
  <c r="E1376" i="6"/>
  <c r="G1375" i="6"/>
  <c r="F1375" i="6"/>
  <c r="E1375" i="6"/>
  <c r="G1374" i="6"/>
  <c r="F1374" i="6"/>
  <c r="E1374" i="6"/>
  <c r="G1373" i="6"/>
  <c r="F1373" i="6"/>
  <c r="E1373" i="6"/>
  <c r="G1372" i="6"/>
  <c r="F1372" i="6"/>
  <c r="E1372" i="6"/>
  <c r="G1369" i="6"/>
  <c r="F1369" i="6"/>
  <c r="E1369" i="6"/>
  <c r="G1368" i="6"/>
  <c r="F1368" i="6"/>
  <c r="G1367" i="6"/>
  <c r="F1367" i="6"/>
  <c r="E1367" i="6"/>
  <c r="G1366" i="6"/>
  <c r="F1366" i="6"/>
  <c r="E1366" i="6"/>
  <c r="G1365" i="6"/>
  <c r="F1365" i="6"/>
  <c r="E1365" i="6"/>
  <c r="G1364" i="6"/>
  <c r="F1364" i="6"/>
  <c r="E1364" i="6"/>
  <c r="G1363" i="6"/>
  <c r="F1363" i="6"/>
  <c r="E1363" i="6"/>
  <c r="G1362" i="6"/>
  <c r="F1362" i="6"/>
  <c r="E1362" i="6"/>
  <c r="G1361" i="6"/>
  <c r="F1361" i="6"/>
  <c r="E1361" i="6"/>
  <c r="G1360" i="6"/>
  <c r="F1360" i="6"/>
  <c r="E1360" i="6"/>
  <c r="G1359" i="6"/>
  <c r="F1359" i="6"/>
  <c r="E1359" i="6"/>
  <c r="G1358" i="6"/>
  <c r="F1358" i="6"/>
  <c r="E1358" i="6"/>
  <c r="G1357" i="6"/>
  <c r="F1357" i="6"/>
  <c r="E1357" i="6"/>
  <c r="G1356" i="6"/>
  <c r="F1356" i="6"/>
  <c r="E1356" i="6"/>
  <c r="G1355" i="6"/>
  <c r="F1355" i="6"/>
  <c r="E1355" i="6"/>
  <c r="G1354" i="6"/>
  <c r="F1354" i="6"/>
  <c r="E1354" i="6"/>
  <c r="G1353" i="6"/>
  <c r="F1353" i="6"/>
  <c r="E1353" i="6"/>
  <c r="G1352" i="6"/>
  <c r="F1352" i="6"/>
  <c r="E1352" i="6"/>
  <c r="G1351" i="6"/>
  <c r="F1351" i="6"/>
  <c r="E1351" i="6"/>
  <c r="G1350" i="6"/>
  <c r="F1350" i="6"/>
  <c r="E1350" i="6"/>
  <c r="G1349" i="6"/>
  <c r="F1349" i="6"/>
  <c r="E1349" i="6"/>
  <c r="G1348" i="6"/>
  <c r="F1348" i="6"/>
  <c r="E1348" i="6"/>
  <c r="G1347" i="6"/>
  <c r="F1347" i="6"/>
  <c r="E1347" i="6"/>
  <c r="G1346" i="6"/>
  <c r="F1346" i="6"/>
  <c r="E1346" i="6"/>
  <c r="G1345" i="6"/>
  <c r="F1345" i="6"/>
  <c r="E1345" i="6"/>
  <c r="G1344" i="6"/>
  <c r="F1344" i="6"/>
  <c r="E1344" i="6"/>
  <c r="G1343" i="6"/>
  <c r="F1343" i="6"/>
  <c r="E1343" i="6"/>
  <c r="G1342" i="6"/>
  <c r="F1342" i="6"/>
  <c r="E1342" i="6"/>
  <c r="G1340" i="6"/>
  <c r="F1340" i="6"/>
  <c r="E1340" i="6"/>
  <c r="G1339" i="6"/>
  <c r="F1339" i="6"/>
  <c r="E1339" i="6"/>
  <c r="G1338" i="6"/>
  <c r="F1338" i="6"/>
  <c r="E1338" i="6"/>
  <c r="G1337" i="6"/>
  <c r="F1337" i="6"/>
  <c r="E1337" i="6"/>
  <c r="G1336" i="6"/>
  <c r="F1336" i="6"/>
  <c r="E1336" i="6"/>
  <c r="G1335" i="6"/>
  <c r="F1335" i="6"/>
  <c r="E1335" i="6"/>
  <c r="G1333" i="6"/>
  <c r="F1333" i="6"/>
  <c r="E1333" i="6"/>
  <c r="G1332" i="6"/>
  <c r="F1332" i="6"/>
  <c r="E1332" i="6"/>
  <c r="G1331" i="6"/>
  <c r="F1331" i="6"/>
  <c r="E1331" i="6"/>
  <c r="G1330" i="6"/>
  <c r="F1330" i="6"/>
  <c r="E1330" i="6"/>
  <c r="G1329" i="6"/>
  <c r="F1329" i="6"/>
  <c r="E1329" i="6"/>
  <c r="G1328" i="6"/>
  <c r="F1328" i="6"/>
  <c r="E1328" i="6"/>
  <c r="G1327" i="6"/>
  <c r="F1327" i="6"/>
  <c r="E1327" i="6"/>
  <c r="G1326" i="6"/>
  <c r="F1326" i="6"/>
  <c r="E1326" i="6"/>
  <c r="G1325" i="6"/>
  <c r="F1325" i="6"/>
  <c r="E1325" i="6"/>
  <c r="G1324" i="6"/>
  <c r="F1324" i="6"/>
  <c r="E1324" i="6"/>
  <c r="G1320" i="6"/>
  <c r="F1320" i="6"/>
  <c r="E1320" i="6"/>
  <c r="G1316" i="6"/>
  <c r="F1316" i="6"/>
  <c r="E1316" i="6"/>
  <c r="G1315" i="6"/>
  <c r="F1315" i="6"/>
  <c r="E1315" i="6"/>
  <c r="G1313" i="6"/>
  <c r="F1313" i="6"/>
  <c r="E1313" i="6"/>
  <c r="G1312" i="6"/>
  <c r="F1312" i="6"/>
  <c r="E1312" i="6"/>
  <c r="G1310" i="6"/>
  <c r="G1309" i="6" s="1"/>
  <c r="F1310" i="6"/>
  <c r="E1310" i="6"/>
  <c r="E1309" i="6" s="1"/>
  <c r="G1308" i="6"/>
  <c r="F1308" i="6"/>
  <c r="E1308" i="6"/>
  <c r="G1307" i="6"/>
  <c r="F1307" i="6"/>
  <c r="E1307" i="6"/>
  <c r="G1306" i="6"/>
  <c r="F1306" i="6"/>
  <c r="E1306" i="6"/>
  <c r="G1305" i="6"/>
  <c r="F1305" i="6"/>
  <c r="E1305" i="6"/>
  <c r="G1304" i="6"/>
  <c r="F1304" i="6"/>
  <c r="E1304" i="6"/>
  <c r="G1303" i="6"/>
  <c r="F1303" i="6"/>
  <c r="E1303" i="6"/>
  <c r="G1299" i="6"/>
  <c r="F1299" i="6"/>
  <c r="E1299" i="6"/>
  <c r="G1298" i="6"/>
  <c r="F1298" i="6"/>
  <c r="E1298" i="6"/>
  <c r="G1297" i="6"/>
  <c r="F1297" i="6"/>
  <c r="E1297" i="6"/>
  <c r="G1293" i="6"/>
  <c r="F1293" i="6"/>
  <c r="E1293" i="6"/>
  <c r="G1292" i="6"/>
  <c r="F1292" i="6"/>
  <c r="E1292" i="6"/>
  <c r="G1289" i="6"/>
  <c r="F1289" i="6"/>
  <c r="E1289" i="6"/>
  <c r="G1286" i="6"/>
  <c r="F1286" i="6"/>
  <c r="E1286" i="6"/>
  <c r="G1285" i="6"/>
  <c r="F1285" i="6"/>
  <c r="E1285" i="6"/>
  <c r="G1283" i="6"/>
  <c r="F1283" i="6"/>
  <c r="E1283" i="6"/>
  <c r="G1282" i="6"/>
  <c r="F1282" i="6"/>
  <c r="E1282" i="6"/>
  <c r="G1281" i="6"/>
  <c r="F1281" i="6"/>
  <c r="E1281" i="6"/>
  <c r="G1279" i="6"/>
  <c r="F1279" i="6"/>
  <c r="E1279" i="6"/>
  <c r="G1278" i="6"/>
  <c r="F1278" i="6"/>
  <c r="E1278" i="6"/>
  <c r="G1275" i="6"/>
  <c r="F1275" i="6"/>
  <c r="E1275" i="6"/>
  <c r="G1274" i="6"/>
  <c r="F1274" i="6"/>
  <c r="E1274" i="6"/>
  <c r="G1271" i="6"/>
  <c r="F1271" i="6"/>
  <c r="E1271" i="6"/>
  <c r="G1266" i="6"/>
  <c r="F1266" i="6"/>
  <c r="E1266" i="6"/>
  <c r="G1265" i="6"/>
  <c r="F1265" i="6"/>
  <c r="E1265" i="6"/>
  <c r="G1262" i="6"/>
  <c r="F1262" i="6"/>
  <c r="E1262" i="6"/>
  <c r="G1261" i="6"/>
  <c r="F1261" i="6"/>
  <c r="E1261" i="6"/>
  <c r="G1258" i="6"/>
  <c r="G1257" i="6" s="1"/>
  <c r="F1258" i="6"/>
  <c r="E1258" i="6"/>
  <c r="G1256" i="6"/>
  <c r="F1256" i="6"/>
  <c r="E1256" i="6"/>
  <c r="G1255" i="6"/>
  <c r="F1255" i="6"/>
  <c r="E1255" i="6"/>
  <c r="G1254" i="6"/>
  <c r="F1254" i="6"/>
  <c r="E1254" i="6"/>
  <c r="G1253" i="6"/>
  <c r="F1253" i="6"/>
  <c r="E1253" i="6"/>
  <c r="G1252" i="6"/>
  <c r="F1252" i="6"/>
  <c r="E1252" i="6"/>
  <c r="G1251" i="6"/>
  <c r="F1251" i="6"/>
  <c r="E1251" i="6"/>
  <c r="G1249" i="6"/>
  <c r="F1249" i="6"/>
  <c r="E1249" i="6"/>
  <c r="G1243" i="6"/>
  <c r="F1243" i="6"/>
  <c r="F1242" i="6" s="1"/>
  <c r="E1243" i="6"/>
  <c r="E1242" i="6" s="1"/>
  <c r="G1241" i="6"/>
  <c r="F1241" i="6"/>
  <c r="E1241" i="6"/>
  <c r="G1240" i="6"/>
  <c r="F1240" i="6"/>
  <c r="E1240" i="6"/>
  <c r="G1239" i="6"/>
  <c r="F1239" i="6"/>
  <c r="E1239" i="6"/>
  <c r="G1238" i="6"/>
  <c r="F1238" i="6"/>
  <c r="E1238" i="6"/>
  <c r="G1237" i="6"/>
  <c r="F1237" i="6"/>
  <c r="E1237" i="6"/>
  <c r="G1236" i="6"/>
  <c r="F1236" i="6"/>
  <c r="E1236" i="6"/>
  <c r="G1235" i="6"/>
  <c r="F1235" i="6"/>
  <c r="E1235" i="6"/>
  <c r="G1234" i="6"/>
  <c r="F1234" i="6"/>
  <c r="E1234" i="6"/>
  <c r="G1233" i="6"/>
  <c r="F1233" i="6"/>
  <c r="E1233" i="6"/>
  <c r="G1232" i="6"/>
  <c r="F1232" i="6"/>
  <c r="E1232" i="6"/>
  <c r="G1231" i="6"/>
  <c r="F1231" i="6"/>
  <c r="E1231" i="6"/>
  <c r="G1230" i="6"/>
  <c r="F1230" i="6"/>
  <c r="E1230" i="6"/>
  <c r="G1229" i="6"/>
  <c r="F1229" i="6"/>
  <c r="E1229" i="6"/>
  <c r="G1228" i="6"/>
  <c r="F1228" i="6"/>
  <c r="E1228" i="6"/>
  <c r="G1227" i="6"/>
  <c r="F1227" i="6"/>
  <c r="E1227" i="6"/>
  <c r="G1226" i="6"/>
  <c r="F1226" i="6"/>
  <c r="E1226" i="6"/>
  <c r="G1225" i="6"/>
  <c r="F1225" i="6"/>
  <c r="E1225" i="6"/>
  <c r="G1224" i="6"/>
  <c r="F1224" i="6"/>
  <c r="E1224" i="6"/>
  <c r="G1223" i="6"/>
  <c r="F1223" i="6"/>
  <c r="E1223" i="6"/>
  <c r="G1221" i="6"/>
  <c r="F1221" i="6"/>
  <c r="E1221" i="6"/>
  <c r="G1218" i="6"/>
  <c r="G1217" i="6" s="1"/>
  <c r="F1218" i="6"/>
  <c r="G1216" i="6"/>
  <c r="G1215" i="6" s="1"/>
  <c r="F1216" i="6"/>
  <c r="E1216" i="6"/>
  <c r="E1215" i="6" s="1"/>
  <c r="G1214" i="6"/>
  <c r="F1214" i="6"/>
  <c r="G1213" i="6"/>
  <c r="F1213" i="6"/>
  <c r="E1213" i="6"/>
  <c r="G1212" i="6"/>
  <c r="F1212" i="6"/>
  <c r="E1212" i="6"/>
  <c r="G1211" i="6"/>
  <c r="F1211" i="6"/>
  <c r="E1211" i="6"/>
  <c r="G1206" i="6"/>
  <c r="F1206" i="6"/>
  <c r="E1206" i="6"/>
  <c r="G1205" i="6"/>
  <c r="F1205" i="6"/>
  <c r="E1205" i="6"/>
  <c r="G1203" i="6"/>
  <c r="F1203" i="6"/>
  <c r="E1203" i="6"/>
  <c r="G1202" i="6"/>
  <c r="F1202" i="6"/>
  <c r="E1202" i="6"/>
  <c r="G1199" i="6"/>
  <c r="F1199" i="6"/>
  <c r="E1199" i="6"/>
  <c r="G1198" i="6"/>
  <c r="F1198" i="6"/>
  <c r="E1198" i="6"/>
  <c r="G1197" i="6"/>
  <c r="F1197" i="6"/>
  <c r="E1197" i="6"/>
  <c r="G1196" i="6"/>
  <c r="F1196" i="6"/>
  <c r="E1196" i="6"/>
  <c r="G1195" i="6"/>
  <c r="F1195" i="6"/>
  <c r="E1195" i="6"/>
  <c r="G1194" i="6"/>
  <c r="F1194" i="6"/>
  <c r="E1194" i="6"/>
  <c r="G1193" i="6"/>
  <c r="F1193" i="6"/>
  <c r="E1193" i="6"/>
  <c r="G1192" i="6"/>
  <c r="F1192" i="6"/>
  <c r="E1192" i="6"/>
  <c r="G1191" i="6"/>
  <c r="F1191" i="6"/>
  <c r="E1191" i="6"/>
  <c r="G1190" i="6"/>
  <c r="F1190" i="6"/>
  <c r="E1190" i="6"/>
  <c r="G1189" i="6"/>
  <c r="F1189" i="6"/>
  <c r="E1189" i="6"/>
  <c r="G1188" i="6"/>
  <c r="F1188" i="6"/>
  <c r="E1188" i="6"/>
  <c r="G1184" i="6"/>
  <c r="G1183" i="6" s="1"/>
  <c r="F1184" i="6"/>
  <c r="F1183" i="6" s="1"/>
  <c r="E1184" i="6"/>
  <c r="E1183" i="6" s="1"/>
  <c r="G1180" i="6"/>
  <c r="F1180" i="6"/>
  <c r="E1180" i="6"/>
  <c r="G1179" i="6"/>
  <c r="F1179" i="6"/>
  <c r="E1179" i="6"/>
  <c r="G1178" i="6"/>
  <c r="F1178" i="6"/>
  <c r="E1178" i="6"/>
  <c r="G1177" i="6"/>
  <c r="F1177" i="6"/>
  <c r="E1177" i="6"/>
  <c r="G1175" i="6"/>
  <c r="F1175" i="6"/>
  <c r="E1175" i="6"/>
  <c r="G1174" i="6"/>
  <c r="F1174" i="6"/>
  <c r="E1174" i="6"/>
  <c r="G1173" i="6"/>
  <c r="F1173" i="6"/>
  <c r="E1173" i="6"/>
  <c r="G1172" i="6"/>
  <c r="F1172" i="6"/>
  <c r="E1172" i="6"/>
  <c r="G1170" i="6"/>
  <c r="F1170" i="6"/>
  <c r="E1170" i="6"/>
  <c r="G1169" i="6"/>
  <c r="F1169" i="6"/>
  <c r="E1169" i="6"/>
  <c r="G1168" i="6"/>
  <c r="F1168" i="6"/>
  <c r="E1168" i="6"/>
  <c r="G1167" i="6"/>
  <c r="F1167" i="6"/>
  <c r="E1167" i="6"/>
  <c r="G1165" i="6"/>
  <c r="F1165" i="6"/>
  <c r="E1165" i="6"/>
  <c r="G1164" i="6"/>
  <c r="F1164" i="6"/>
  <c r="E1164" i="6"/>
  <c r="G1163" i="6"/>
  <c r="F1163" i="6"/>
  <c r="E1163" i="6"/>
  <c r="G1162" i="6"/>
  <c r="F1162" i="6"/>
  <c r="E1162" i="6"/>
  <c r="G1160" i="6"/>
  <c r="F1160" i="6"/>
  <c r="G1158" i="6"/>
  <c r="F1158" i="6"/>
  <c r="E1158" i="6"/>
  <c r="G1155" i="6"/>
  <c r="F1155" i="6"/>
  <c r="E1155" i="6"/>
  <c r="G1154" i="6"/>
  <c r="F1154" i="6"/>
  <c r="E1154" i="6"/>
  <c r="G1153" i="6"/>
  <c r="F1153" i="6"/>
  <c r="E1153" i="6"/>
  <c r="G1151" i="6"/>
  <c r="F1151" i="6"/>
  <c r="E1151" i="6"/>
  <c r="G1150" i="6"/>
  <c r="F1150" i="6"/>
  <c r="E1150" i="6"/>
  <c r="G1149" i="6"/>
  <c r="F1149" i="6"/>
  <c r="E1149" i="6"/>
  <c r="G1148" i="6"/>
  <c r="F1148" i="6"/>
  <c r="E1148" i="6"/>
  <c r="G1146" i="6"/>
  <c r="F1146" i="6"/>
  <c r="E1146" i="6"/>
  <c r="G1145" i="6"/>
  <c r="F1145" i="6"/>
  <c r="E1145" i="6"/>
  <c r="G1144" i="6"/>
  <c r="F1144" i="6"/>
  <c r="E1144" i="6"/>
  <c r="G1143" i="6"/>
  <c r="F1143" i="6"/>
  <c r="E1143" i="6"/>
  <c r="G1141" i="6"/>
  <c r="F1141" i="6"/>
  <c r="E1141" i="6"/>
  <c r="G1140" i="6"/>
  <c r="F1140" i="6"/>
  <c r="E1140" i="6"/>
  <c r="G1139" i="6"/>
  <c r="F1139" i="6"/>
  <c r="E1139" i="6"/>
  <c r="G1138" i="6"/>
  <c r="F1138" i="6"/>
  <c r="E1138" i="6"/>
  <c r="G1083" i="6"/>
  <c r="F1083" i="6"/>
  <c r="E1083" i="6"/>
  <c r="G1080" i="6"/>
  <c r="F7" i="15" s="1"/>
  <c r="F1080" i="6"/>
  <c r="E1080" i="6"/>
  <c r="E1079" i="6" s="1"/>
  <c r="G1078" i="6"/>
  <c r="F1078" i="6"/>
  <c r="E1078" i="6"/>
  <c r="G1077" i="6"/>
  <c r="F1077" i="6"/>
  <c r="E1077" i="6"/>
  <c r="G1075" i="6"/>
  <c r="G1074" i="6" s="1"/>
  <c r="F1075" i="6"/>
  <c r="F1074" i="6" s="1"/>
  <c r="E1075" i="6"/>
  <c r="E1074" i="6" s="1"/>
  <c r="G1072" i="6"/>
  <c r="F1072" i="6"/>
  <c r="E1072" i="6"/>
  <c r="G1067" i="6"/>
  <c r="G1066" i="6" s="1"/>
  <c r="F1067" i="6"/>
  <c r="E1067" i="6"/>
  <c r="E1066" i="6" s="1"/>
  <c r="G1065" i="6"/>
  <c r="F1065" i="6"/>
  <c r="E1065" i="6"/>
  <c r="G1062" i="6"/>
  <c r="F1062" i="6"/>
  <c r="E1062" i="6"/>
  <c r="G1061" i="6"/>
  <c r="F1061" i="6"/>
  <c r="E1061" i="6"/>
  <c r="G1060" i="6"/>
  <c r="F1060" i="6"/>
  <c r="E1060" i="6"/>
  <c r="G1059" i="6"/>
  <c r="F1059" i="6"/>
  <c r="E1059" i="6"/>
  <c r="G1058" i="6"/>
  <c r="F1058" i="6"/>
  <c r="E1058" i="6"/>
  <c r="G1057" i="6"/>
  <c r="F1057" i="6"/>
  <c r="E1057" i="6"/>
  <c r="G1056" i="6"/>
  <c r="F1056" i="6"/>
  <c r="E1056" i="6"/>
  <c r="G1055" i="6"/>
  <c r="F1055" i="6"/>
  <c r="E1055" i="6"/>
  <c r="G1054" i="6"/>
  <c r="F1054" i="6"/>
  <c r="E1054" i="6"/>
  <c r="G1053" i="6"/>
  <c r="F1053" i="6"/>
  <c r="E1053" i="6"/>
  <c r="G1052" i="6"/>
  <c r="F1052" i="6"/>
  <c r="E1052" i="6"/>
  <c r="G1051" i="6"/>
  <c r="F1051" i="6"/>
  <c r="E1051" i="6"/>
  <c r="G1050" i="6"/>
  <c r="F1050" i="6"/>
  <c r="E1050" i="6"/>
  <c r="G1049" i="6"/>
  <c r="F1049" i="6"/>
  <c r="E1049" i="6"/>
  <c r="G1046" i="6"/>
  <c r="F1046" i="6"/>
  <c r="E1046" i="6"/>
  <c r="G1045" i="6"/>
  <c r="F1045" i="6"/>
  <c r="E1045" i="6"/>
  <c r="G1044" i="6"/>
  <c r="F1044" i="6"/>
  <c r="E1044" i="6"/>
  <c r="G1041" i="6"/>
  <c r="F1041" i="6"/>
  <c r="E1041" i="6"/>
  <c r="G1035" i="6"/>
  <c r="F1035" i="6"/>
  <c r="E1035" i="6"/>
  <c r="G1034" i="6"/>
  <c r="F1034" i="6"/>
  <c r="E1034" i="6"/>
  <c r="G1032" i="6"/>
  <c r="F1032" i="6"/>
  <c r="E1032" i="6"/>
  <c r="G1031" i="6"/>
  <c r="F1031" i="6"/>
  <c r="E1031" i="6"/>
  <c r="G1028" i="6"/>
  <c r="F1028" i="6"/>
  <c r="E1028" i="6"/>
  <c r="G1027" i="6"/>
  <c r="F1027" i="6"/>
  <c r="E1027" i="6"/>
  <c r="G1025" i="6"/>
  <c r="F1025" i="6"/>
  <c r="E1025" i="6"/>
  <c r="G1024" i="6"/>
  <c r="F1024" i="6"/>
  <c r="E1024" i="6"/>
  <c r="G1022" i="6"/>
  <c r="F1022" i="6"/>
  <c r="E1022" i="6"/>
  <c r="G1021" i="6"/>
  <c r="F1021" i="6"/>
  <c r="E1021" i="6"/>
  <c r="G1018" i="6"/>
  <c r="G1017" i="6" s="1"/>
  <c r="F1018" i="6"/>
  <c r="E1018" i="6"/>
  <c r="E1017" i="6" s="1"/>
  <c r="G1016" i="6"/>
  <c r="G1015" i="6" s="1"/>
  <c r="F1016" i="6"/>
  <c r="F1015" i="6" s="1"/>
  <c r="E1016" i="6"/>
  <c r="E1015" i="6" s="1"/>
  <c r="G1013" i="6"/>
  <c r="G1012" i="6" s="1"/>
  <c r="F1013" i="6"/>
  <c r="E1013" i="6"/>
  <c r="E1012" i="6" s="1"/>
  <c r="G1011" i="6"/>
  <c r="G1010" i="6" s="1"/>
  <c r="F1011" i="6"/>
  <c r="E1011" i="6"/>
  <c r="E1010" i="6" s="1"/>
  <c r="G1006" i="6"/>
  <c r="F1006" i="6"/>
  <c r="E1006" i="6"/>
  <c r="G1005" i="6"/>
  <c r="F1005" i="6"/>
  <c r="E1005" i="6"/>
  <c r="G1002" i="6"/>
  <c r="F1002" i="6"/>
  <c r="E1002" i="6"/>
  <c r="G1001" i="6"/>
  <c r="F1001" i="6"/>
  <c r="E1001" i="6"/>
  <c r="G998" i="6"/>
  <c r="F998" i="6"/>
  <c r="E998" i="6"/>
  <c r="G992" i="6"/>
  <c r="F992" i="6"/>
  <c r="E992" i="6"/>
  <c r="G991" i="6"/>
  <c r="F991" i="6"/>
  <c r="E991" i="6"/>
  <c r="G990" i="6"/>
  <c r="F990" i="6"/>
  <c r="E990" i="6"/>
  <c r="G987" i="6"/>
  <c r="F987" i="6"/>
  <c r="E987" i="6"/>
  <c r="G986" i="6"/>
  <c r="F986" i="6"/>
  <c r="E986" i="6"/>
  <c r="G985" i="6"/>
  <c r="F985" i="6"/>
  <c r="E985" i="6"/>
  <c r="G984" i="6"/>
  <c r="F984" i="6"/>
  <c r="E984" i="6"/>
  <c r="G983" i="6"/>
  <c r="F983" i="6"/>
  <c r="E983" i="6"/>
  <c r="G982" i="6"/>
  <c r="F982" i="6"/>
  <c r="E982" i="6"/>
  <c r="G981" i="6"/>
  <c r="F981" i="6"/>
  <c r="E981" i="6"/>
  <c r="G980" i="6"/>
  <c r="F980" i="6"/>
  <c r="E980" i="6"/>
  <c r="G979" i="6"/>
  <c r="F979" i="6"/>
  <c r="E979" i="6"/>
  <c r="G978" i="6"/>
  <c r="F978" i="6"/>
  <c r="E978" i="6"/>
  <c r="G977" i="6"/>
  <c r="F977" i="6"/>
  <c r="E977" i="6"/>
  <c r="G976" i="6"/>
  <c r="F976" i="6"/>
  <c r="E976" i="6"/>
  <c r="G974" i="6"/>
  <c r="F974" i="6"/>
  <c r="E974" i="6"/>
  <c r="G973" i="6"/>
  <c r="F973" i="6"/>
  <c r="E973" i="6"/>
  <c r="G972" i="6"/>
  <c r="F972" i="6"/>
  <c r="E972" i="6"/>
  <c r="G971" i="6"/>
  <c r="F971" i="6"/>
  <c r="E971" i="6"/>
  <c r="G970" i="6"/>
  <c r="F970" i="6"/>
  <c r="E970" i="6"/>
  <c r="G969" i="6"/>
  <c r="F969" i="6"/>
  <c r="E969" i="6"/>
  <c r="G968" i="6"/>
  <c r="F968" i="6"/>
  <c r="E968" i="6"/>
  <c r="G967" i="6"/>
  <c r="F967" i="6"/>
  <c r="E967" i="6"/>
  <c r="G966" i="6"/>
  <c r="F966" i="6"/>
  <c r="E966" i="6"/>
  <c r="G965" i="6"/>
  <c r="F965" i="6"/>
  <c r="E965" i="6"/>
  <c r="G964" i="6"/>
  <c r="F964" i="6"/>
  <c r="E964" i="6"/>
  <c r="G963" i="6"/>
  <c r="F963" i="6"/>
  <c r="E963" i="6"/>
  <c r="G962" i="6"/>
  <c r="F962" i="6"/>
  <c r="E962" i="6"/>
  <c r="G961" i="6"/>
  <c r="F961" i="6"/>
  <c r="E961" i="6"/>
  <c r="G960" i="6"/>
  <c r="F960" i="6"/>
  <c r="E960" i="6"/>
  <c r="G959" i="6"/>
  <c r="F959" i="6"/>
  <c r="E959" i="6"/>
  <c r="G958" i="6"/>
  <c r="F958" i="6"/>
  <c r="E958" i="6"/>
  <c r="G957" i="6"/>
  <c r="F957" i="6"/>
  <c r="E957" i="6"/>
  <c r="G956" i="6"/>
  <c r="F956" i="6"/>
  <c r="E956" i="6"/>
  <c r="G951" i="6"/>
  <c r="F951" i="6"/>
  <c r="E951" i="6"/>
  <c r="G950" i="6"/>
  <c r="F950" i="6"/>
  <c r="E950" i="6"/>
  <c r="G948" i="6"/>
  <c r="F948" i="6"/>
  <c r="F946" i="6" s="1"/>
  <c r="E948" i="6"/>
  <c r="E947" i="6" s="1"/>
  <c r="G945" i="6"/>
  <c r="F945" i="6"/>
  <c r="E945" i="6"/>
  <c r="G944" i="6"/>
  <c r="F944" i="6"/>
  <c r="E944" i="6"/>
  <c r="G943" i="6"/>
  <c r="F943" i="6"/>
  <c r="E943" i="6"/>
  <c r="G942" i="6"/>
  <c r="F942" i="6"/>
  <c r="E942" i="6"/>
  <c r="G941" i="6"/>
  <c r="F941" i="6"/>
  <c r="E941" i="6"/>
  <c r="G940" i="6"/>
  <c r="F940" i="6"/>
  <c r="E940" i="6"/>
  <c r="G939" i="6"/>
  <c r="F939" i="6"/>
  <c r="E939" i="6"/>
  <c r="G938" i="6"/>
  <c r="F938" i="6"/>
  <c r="E938" i="6"/>
  <c r="G935" i="6"/>
  <c r="F935" i="6"/>
  <c r="F934" i="6" s="1"/>
  <c r="E935" i="6"/>
  <c r="E934" i="6" s="1"/>
  <c r="G933" i="6"/>
  <c r="G932" i="6" s="1"/>
  <c r="F933" i="6"/>
  <c r="F932" i="6" s="1"/>
  <c r="E933" i="6"/>
  <c r="E932" i="6" s="1"/>
  <c r="G931" i="6"/>
  <c r="F931" i="6"/>
  <c r="G930" i="6"/>
  <c r="G929" i="6" s="1"/>
  <c r="F930" i="6"/>
  <c r="E930" i="6"/>
  <c r="E929" i="6" s="1"/>
  <c r="G928" i="6"/>
  <c r="G927" i="6" s="1"/>
  <c r="F928" i="6"/>
  <c r="E928" i="6"/>
  <c r="E927" i="6" s="1"/>
  <c r="G924" i="6"/>
  <c r="F924" i="6"/>
  <c r="E924" i="6"/>
  <c r="G923" i="6"/>
  <c r="F923" i="6"/>
  <c r="E923" i="6"/>
  <c r="G922" i="6"/>
  <c r="F922" i="6"/>
  <c r="E922" i="6"/>
  <c r="G921" i="6"/>
  <c r="F921" i="6"/>
  <c r="E921" i="6"/>
  <c r="G920" i="6"/>
  <c r="F920" i="6"/>
  <c r="E920" i="6"/>
  <c r="G919" i="6"/>
  <c r="F919" i="6"/>
  <c r="E919" i="6"/>
  <c r="G918" i="6"/>
  <c r="F918" i="6"/>
  <c r="E918" i="6"/>
  <c r="G917" i="6"/>
  <c r="F917" i="6"/>
  <c r="E917" i="6"/>
  <c r="G916" i="6"/>
  <c r="F916" i="6"/>
  <c r="E916" i="6"/>
  <c r="G912" i="6"/>
  <c r="F912" i="6"/>
  <c r="G911" i="6"/>
  <c r="F911" i="6"/>
  <c r="E911" i="6"/>
  <c r="G910" i="6"/>
  <c r="F910" i="6"/>
  <c r="E910" i="6"/>
  <c r="G909" i="6"/>
  <c r="F909" i="6"/>
  <c r="E909" i="6"/>
  <c r="G907" i="6"/>
  <c r="F907" i="6"/>
  <c r="E907" i="6"/>
  <c r="G888" i="6"/>
  <c r="F888" i="6"/>
  <c r="G887" i="6"/>
  <c r="F887" i="6"/>
  <c r="E887" i="6"/>
  <c r="G886" i="6"/>
  <c r="F886" i="6"/>
  <c r="E886" i="6"/>
  <c r="G885" i="6"/>
  <c r="F885" i="6"/>
  <c r="E885" i="6"/>
  <c r="G884" i="6"/>
  <c r="F884" i="6"/>
  <c r="E884" i="6"/>
  <c r="G883" i="6"/>
  <c r="F883" i="6"/>
  <c r="E883" i="6"/>
  <c r="G882" i="6"/>
  <c r="F882" i="6"/>
  <c r="E882" i="6"/>
  <c r="G881" i="6"/>
  <c r="F881" i="6"/>
  <c r="G880" i="6"/>
  <c r="F880" i="6"/>
  <c r="E880" i="6"/>
  <c r="G879" i="6"/>
  <c r="F879" i="6"/>
  <c r="E879" i="6"/>
  <c r="G878" i="6"/>
  <c r="F878" i="6"/>
  <c r="E878" i="6"/>
  <c r="G877" i="6"/>
  <c r="F877" i="6"/>
  <c r="E877" i="6"/>
  <c r="G876" i="6"/>
  <c r="F876" i="6"/>
  <c r="E876" i="6"/>
  <c r="G875" i="6"/>
  <c r="F875" i="6"/>
  <c r="E875" i="6"/>
  <c r="G874" i="6"/>
  <c r="F874" i="6"/>
  <c r="E874" i="6"/>
  <c r="G873" i="6"/>
  <c r="F873" i="6"/>
  <c r="E873" i="6"/>
  <c r="G872" i="6"/>
  <c r="F872" i="6"/>
  <c r="E872" i="6"/>
  <c r="G871" i="6"/>
  <c r="F871" i="6"/>
  <c r="E871" i="6"/>
  <c r="G870" i="6"/>
  <c r="F870" i="6"/>
  <c r="E870" i="6"/>
  <c r="G869" i="6"/>
  <c r="F869" i="6"/>
  <c r="E869" i="6"/>
  <c r="G868" i="6"/>
  <c r="F868" i="6"/>
  <c r="E868" i="6"/>
  <c r="G867" i="6"/>
  <c r="F867" i="6"/>
  <c r="E867" i="6"/>
  <c r="G866" i="6"/>
  <c r="F866" i="6"/>
  <c r="E866" i="6"/>
  <c r="G865" i="6"/>
  <c r="F865" i="6"/>
  <c r="E865" i="6"/>
  <c r="G864" i="6"/>
  <c r="F864" i="6"/>
  <c r="E864" i="6"/>
  <c r="G863" i="6"/>
  <c r="F863" i="6"/>
  <c r="E863" i="6"/>
  <c r="G861" i="6"/>
  <c r="F861" i="6"/>
  <c r="E861" i="6"/>
  <c r="G859" i="6"/>
  <c r="F859" i="6"/>
  <c r="G857" i="6"/>
  <c r="F857" i="6"/>
  <c r="E857" i="6"/>
  <c r="G856" i="6"/>
  <c r="F856" i="6"/>
  <c r="E856" i="6"/>
  <c r="G855" i="6"/>
  <c r="F855" i="6"/>
  <c r="E855" i="6"/>
  <c r="G854" i="6"/>
  <c r="F854" i="6"/>
  <c r="E854" i="6"/>
  <c r="G853" i="6"/>
  <c r="F853" i="6"/>
  <c r="E853" i="6"/>
  <c r="G852" i="6"/>
  <c r="F852" i="6"/>
  <c r="E852" i="6"/>
  <c r="G850" i="6"/>
  <c r="F850" i="6"/>
  <c r="E850" i="6"/>
  <c r="G849" i="6"/>
  <c r="F849" i="6"/>
  <c r="E849" i="6"/>
  <c r="G848" i="6"/>
  <c r="F848" i="6"/>
  <c r="E848" i="6"/>
  <c r="G847" i="6"/>
  <c r="F847" i="6"/>
  <c r="E847" i="6"/>
  <c r="G846" i="6"/>
  <c r="F846" i="6"/>
  <c r="E846" i="6"/>
  <c r="G845" i="6"/>
  <c r="F845" i="6"/>
  <c r="E845" i="6"/>
  <c r="G844" i="6"/>
  <c r="F844" i="6"/>
  <c r="E844" i="6"/>
  <c r="G843" i="6"/>
  <c r="F843" i="6"/>
  <c r="E843" i="6"/>
  <c r="G842" i="6"/>
  <c r="F842" i="6"/>
  <c r="E842" i="6"/>
  <c r="G841" i="6"/>
  <c r="F841" i="6"/>
  <c r="E841" i="6"/>
  <c r="G839" i="6"/>
  <c r="F839" i="6"/>
  <c r="E839" i="6"/>
  <c r="G837" i="6"/>
  <c r="F837" i="6"/>
  <c r="E837" i="6"/>
  <c r="G836" i="6"/>
  <c r="F836" i="6"/>
  <c r="E836" i="6"/>
  <c r="G835" i="6"/>
  <c r="F835" i="6"/>
  <c r="E835" i="6"/>
  <c r="G834" i="6"/>
  <c r="F834" i="6"/>
  <c r="G833" i="6"/>
  <c r="F833" i="6"/>
  <c r="E833" i="6"/>
  <c r="G832" i="6"/>
  <c r="F832" i="6"/>
  <c r="E832" i="6"/>
  <c r="G831" i="6"/>
  <c r="F831" i="6"/>
  <c r="E831" i="6"/>
  <c r="G830" i="6"/>
  <c r="F830" i="6"/>
  <c r="E830" i="6"/>
  <c r="G828" i="6"/>
  <c r="F828" i="6"/>
  <c r="E828" i="6"/>
  <c r="G826" i="6"/>
  <c r="F826" i="6"/>
  <c r="E826" i="6"/>
  <c r="G825" i="6"/>
  <c r="F825" i="6"/>
  <c r="E825" i="6"/>
  <c r="G824" i="6"/>
  <c r="F824" i="6"/>
  <c r="E824" i="6"/>
  <c r="G823" i="6"/>
  <c r="F823" i="6"/>
  <c r="E823" i="6"/>
  <c r="G822" i="6"/>
  <c r="F822" i="6"/>
  <c r="E822" i="6"/>
  <c r="G821" i="6"/>
  <c r="F821" i="6"/>
  <c r="E821" i="6"/>
  <c r="G820" i="6"/>
  <c r="F820" i="6"/>
  <c r="E820" i="6"/>
  <c r="G819" i="6"/>
  <c r="F819" i="6"/>
  <c r="E819" i="6"/>
  <c r="G818" i="6"/>
  <c r="F818" i="6"/>
  <c r="E818" i="6"/>
  <c r="G817" i="6"/>
  <c r="F817" i="6"/>
  <c r="E817" i="6"/>
  <c r="G816" i="6"/>
  <c r="F816" i="6"/>
  <c r="E816" i="6"/>
  <c r="G814" i="6"/>
  <c r="F814" i="6"/>
  <c r="E814" i="6"/>
  <c r="G813" i="6"/>
  <c r="F813" i="6"/>
  <c r="E813" i="6"/>
  <c r="G812" i="6"/>
  <c r="F812" i="6"/>
  <c r="E812" i="6"/>
  <c r="G811" i="6"/>
  <c r="F811" i="6"/>
  <c r="E811" i="6"/>
  <c r="G810" i="6"/>
  <c r="F810" i="6"/>
  <c r="G809" i="6"/>
  <c r="F809" i="6"/>
  <c r="E809" i="6"/>
  <c r="G808" i="6"/>
  <c r="F808" i="6"/>
  <c r="E808" i="6"/>
  <c r="G807" i="6"/>
  <c r="F807" i="6"/>
  <c r="E807" i="6"/>
  <c r="G806" i="6"/>
  <c r="F806" i="6"/>
  <c r="E806" i="6"/>
  <c r="G805" i="6"/>
  <c r="F805" i="6"/>
  <c r="E805" i="6"/>
  <c r="G804" i="6"/>
  <c r="F804" i="6"/>
  <c r="E804" i="6"/>
  <c r="G803" i="6"/>
  <c r="F803" i="6"/>
  <c r="E803" i="6"/>
  <c r="G802" i="6"/>
  <c r="F802" i="6"/>
  <c r="E802" i="6"/>
  <c r="G801" i="6"/>
  <c r="F801" i="6"/>
  <c r="E801" i="6"/>
  <c r="G800" i="6"/>
  <c r="F800" i="6"/>
  <c r="E800" i="6"/>
  <c r="G799" i="6"/>
  <c r="F799" i="6"/>
  <c r="E799" i="6"/>
  <c r="G798" i="6"/>
  <c r="F798" i="6"/>
  <c r="E798" i="6"/>
  <c r="G797" i="6"/>
  <c r="F797" i="6"/>
  <c r="E797" i="6"/>
  <c r="G796" i="6"/>
  <c r="F796" i="6"/>
  <c r="E796" i="6"/>
  <c r="G795" i="6"/>
  <c r="F795" i="6"/>
  <c r="E795" i="6"/>
  <c r="G793" i="6"/>
  <c r="F793" i="6"/>
  <c r="E793" i="6"/>
  <c r="G790" i="6"/>
  <c r="F790" i="6"/>
  <c r="E790" i="6"/>
  <c r="G789" i="6"/>
  <c r="F789" i="6"/>
  <c r="E789" i="6"/>
  <c r="G788" i="6"/>
  <c r="F788" i="6"/>
  <c r="G787" i="6"/>
  <c r="F787" i="6"/>
  <c r="E787" i="6"/>
  <c r="G786" i="6"/>
  <c r="F786" i="6"/>
  <c r="G785" i="6"/>
  <c r="F785" i="6"/>
  <c r="E785" i="6"/>
  <c r="G784" i="6"/>
  <c r="F784" i="6"/>
  <c r="E784" i="6"/>
  <c r="G783" i="6"/>
  <c r="F783" i="6"/>
  <c r="E783" i="6"/>
  <c r="G782" i="6"/>
  <c r="F782" i="6"/>
  <c r="E782" i="6"/>
  <c r="G781" i="6"/>
  <c r="F781" i="6"/>
  <c r="E781" i="6"/>
  <c r="G780" i="6"/>
  <c r="F780" i="6"/>
  <c r="E780" i="6"/>
  <c r="G779" i="6"/>
  <c r="F779" i="6"/>
  <c r="E779" i="6"/>
  <c r="G778" i="6"/>
  <c r="F778" i="6"/>
  <c r="E778" i="6"/>
  <c r="G777" i="6"/>
  <c r="F777" i="6"/>
  <c r="E777" i="6"/>
  <c r="G776" i="6"/>
  <c r="F776" i="6"/>
  <c r="E776" i="6"/>
  <c r="G775" i="6"/>
  <c r="F775" i="6"/>
  <c r="E775" i="6"/>
  <c r="G774" i="6"/>
  <c r="F774" i="6"/>
  <c r="E774" i="6"/>
  <c r="G773" i="6"/>
  <c r="F773" i="6"/>
  <c r="E773" i="6"/>
  <c r="G771" i="6"/>
  <c r="F771" i="6"/>
  <c r="E771" i="6"/>
  <c r="G770" i="6"/>
  <c r="F770" i="6"/>
  <c r="E770" i="6"/>
  <c r="G769" i="6"/>
  <c r="F769" i="6"/>
  <c r="E769" i="6"/>
  <c r="G768" i="6"/>
  <c r="F768" i="6"/>
  <c r="E768" i="6"/>
  <c r="G766" i="6"/>
  <c r="F766" i="6"/>
  <c r="E766" i="6"/>
  <c r="G765" i="6"/>
  <c r="F765" i="6"/>
  <c r="E765" i="6"/>
  <c r="G764" i="6"/>
  <c r="F764" i="6"/>
  <c r="E764" i="6"/>
  <c r="G763" i="6"/>
  <c r="F763" i="6"/>
  <c r="E763" i="6"/>
  <c r="G762" i="6"/>
  <c r="F762" i="6"/>
  <c r="E762" i="6"/>
  <c r="G761" i="6"/>
  <c r="F761" i="6"/>
  <c r="E761" i="6"/>
  <c r="G760" i="6"/>
  <c r="F760" i="6"/>
  <c r="E760" i="6"/>
  <c r="G759" i="6"/>
  <c r="F759" i="6"/>
  <c r="E759" i="6"/>
  <c r="G758" i="6"/>
  <c r="F758" i="6"/>
  <c r="E758" i="6"/>
  <c r="G757" i="6"/>
  <c r="F757" i="6"/>
  <c r="E757" i="6"/>
  <c r="G756" i="6"/>
  <c r="F756" i="6"/>
  <c r="E756" i="6"/>
  <c r="G755" i="6"/>
  <c r="F755" i="6"/>
  <c r="E755" i="6"/>
  <c r="G754" i="6"/>
  <c r="F754" i="6"/>
  <c r="E754" i="6"/>
  <c r="G753" i="6"/>
  <c r="F753" i="6"/>
  <c r="E753" i="6"/>
  <c r="G752" i="6"/>
  <c r="F752" i="6"/>
  <c r="E752" i="6"/>
  <c r="G751" i="6"/>
  <c r="F751" i="6"/>
  <c r="E751" i="6"/>
  <c r="G750" i="6"/>
  <c r="F750" i="6"/>
  <c r="E750" i="6"/>
  <c r="G748" i="6"/>
  <c r="F748" i="6"/>
  <c r="E748" i="6"/>
  <c r="G747" i="6"/>
  <c r="F747" i="6"/>
  <c r="E747" i="6"/>
  <c r="G745" i="6"/>
  <c r="F745" i="6"/>
  <c r="E745" i="6"/>
  <c r="G744" i="6"/>
  <c r="F744" i="6"/>
  <c r="E744" i="6"/>
  <c r="G742" i="6"/>
  <c r="F742" i="6"/>
  <c r="E742" i="6"/>
  <c r="G741" i="6"/>
  <c r="F741" i="6"/>
  <c r="E741" i="6"/>
  <c r="G740" i="6"/>
  <c r="F740" i="6"/>
  <c r="E740" i="6"/>
  <c r="G739" i="6"/>
  <c r="F739" i="6"/>
  <c r="E739" i="6"/>
  <c r="G738" i="6"/>
  <c r="F738" i="6"/>
  <c r="E738" i="6"/>
  <c r="G737" i="6"/>
  <c r="F737" i="6"/>
  <c r="E737" i="6"/>
  <c r="G736" i="6"/>
  <c r="F736" i="6"/>
  <c r="E736" i="6"/>
  <c r="G735" i="6"/>
  <c r="F735" i="6"/>
  <c r="E735" i="6"/>
  <c r="G734" i="6"/>
  <c r="F734" i="6"/>
  <c r="E734" i="6"/>
  <c r="G733" i="6"/>
  <c r="F733" i="6"/>
  <c r="E733" i="6"/>
  <c r="G731" i="6"/>
  <c r="F731" i="6"/>
  <c r="E731" i="6"/>
  <c r="G730" i="6"/>
  <c r="F730" i="6"/>
  <c r="E730" i="6"/>
  <c r="G729" i="6"/>
  <c r="F729" i="6"/>
  <c r="E729" i="6"/>
  <c r="G728" i="6"/>
  <c r="F728" i="6"/>
  <c r="E728" i="6"/>
  <c r="G727" i="6"/>
  <c r="F727" i="6"/>
  <c r="G726" i="6"/>
  <c r="F726" i="6"/>
  <c r="E726" i="6"/>
  <c r="G725" i="6"/>
  <c r="F725" i="6"/>
  <c r="E725" i="6"/>
  <c r="G724" i="6"/>
  <c r="F724" i="6"/>
  <c r="E724" i="6"/>
  <c r="G723" i="6"/>
  <c r="F723" i="6"/>
  <c r="E723" i="6"/>
  <c r="G721" i="6"/>
  <c r="F721" i="6"/>
  <c r="E721" i="6"/>
  <c r="G720" i="6"/>
  <c r="F720" i="6"/>
  <c r="E720" i="6"/>
  <c r="G719" i="6"/>
  <c r="F719" i="6"/>
  <c r="E719" i="6"/>
  <c r="G718" i="6"/>
  <c r="F718" i="6"/>
  <c r="E718" i="6"/>
  <c r="G717" i="6"/>
  <c r="F717" i="6"/>
  <c r="E717" i="6"/>
  <c r="G714" i="6"/>
  <c r="F714" i="6"/>
  <c r="F713" i="6" s="1"/>
  <c r="E714" i="6"/>
  <c r="E713" i="6" s="1"/>
  <c r="G712" i="6"/>
  <c r="F712" i="6"/>
  <c r="E712" i="6"/>
  <c r="G711" i="6"/>
  <c r="F711" i="6"/>
  <c r="E711" i="6"/>
  <c r="G710" i="6"/>
  <c r="F710" i="6"/>
  <c r="E710" i="6"/>
  <c r="G709" i="6"/>
  <c r="F709" i="6"/>
  <c r="E709" i="6"/>
  <c r="G708" i="6"/>
  <c r="F708" i="6"/>
  <c r="E708" i="6"/>
  <c r="G705" i="6"/>
  <c r="G704" i="6" s="1"/>
  <c r="F705" i="6"/>
  <c r="E705" i="6"/>
  <c r="E704" i="6" s="1"/>
  <c r="G703" i="6"/>
  <c r="F703" i="6"/>
  <c r="E703" i="6"/>
  <c r="G702" i="6"/>
  <c r="F702" i="6"/>
  <c r="E702" i="6"/>
  <c r="G701" i="6"/>
  <c r="F701" i="6"/>
  <c r="E701" i="6"/>
  <c r="G700" i="6"/>
  <c r="F700" i="6"/>
  <c r="E700" i="6"/>
  <c r="G699" i="6"/>
  <c r="F699" i="6"/>
  <c r="E699" i="6"/>
  <c r="G693" i="6"/>
  <c r="F693" i="6"/>
  <c r="E693" i="6"/>
  <c r="G692" i="6"/>
  <c r="F692" i="6"/>
  <c r="E692" i="6"/>
  <c r="G689" i="6"/>
  <c r="F689" i="6"/>
  <c r="E689" i="6"/>
  <c r="G688" i="6"/>
  <c r="F688" i="6"/>
  <c r="E688" i="6"/>
  <c r="G685" i="6"/>
  <c r="F685" i="6"/>
  <c r="E685" i="6"/>
  <c r="G684" i="6"/>
  <c r="F684" i="6"/>
  <c r="E684" i="6"/>
  <c r="G682" i="6"/>
  <c r="F682" i="6"/>
  <c r="E682" i="6"/>
  <c r="G681" i="6"/>
  <c r="F681" i="6"/>
  <c r="E681" i="6"/>
  <c r="G680" i="6"/>
  <c r="F680" i="6"/>
  <c r="E680" i="6"/>
  <c r="G679" i="6"/>
  <c r="F679" i="6"/>
  <c r="E679" i="6"/>
  <c r="G678" i="6"/>
  <c r="F678" i="6"/>
  <c r="E678" i="6"/>
  <c r="G677" i="6"/>
  <c r="F677" i="6"/>
  <c r="E677" i="6"/>
  <c r="G676" i="6"/>
  <c r="F676" i="6"/>
  <c r="E676" i="6"/>
  <c r="G675" i="6"/>
  <c r="F675" i="6"/>
  <c r="E675" i="6"/>
  <c r="G674" i="6"/>
  <c r="F674" i="6"/>
  <c r="E674" i="6"/>
  <c r="G673" i="6"/>
  <c r="F673" i="6"/>
  <c r="E673" i="6"/>
  <c r="G672" i="6"/>
  <c r="F672" i="6"/>
  <c r="E672" i="6"/>
  <c r="G671" i="6"/>
  <c r="F671" i="6"/>
  <c r="E671" i="6"/>
  <c r="G670" i="6"/>
  <c r="F670" i="6"/>
  <c r="E670" i="6"/>
  <c r="G669" i="6"/>
  <c r="F669" i="6"/>
  <c r="E669" i="6"/>
  <c r="G668" i="6"/>
  <c r="F668" i="6"/>
  <c r="E668" i="6"/>
  <c r="G667" i="6"/>
  <c r="F667" i="6"/>
  <c r="E667" i="6"/>
  <c r="G666" i="6"/>
  <c r="F666" i="6"/>
  <c r="E666" i="6"/>
  <c r="G665" i="6"/>
  <c r="F665" i="6"/>
  <c r="E665" i="6"/>
  <c r="G664" i="6"/>
  <c r="F664" i="6"/>
  <c r="E664" i="6"/>
  <c r="G663" i="6"/>
  <c r="F663" i="6"/>
  <c r="E663" i="6"/>
  <c r="G662" i="6"/>
  <c r="F662" i="6"/>
  <c r="E662" i="6"/>
  <c r="G661" i="6"/>
  <c r="F661" i="6"/>
  <c r="E661" i="6"/>
  <c r="G660" i="6"/>
  <c r="F660" i="6"/>
  <c r="E660" i="6"/>
  <c r="G659" i="6"/>
  <c r="F659" i="6"/>
  <c r="E659" i="6"/>
  <c r="G658" i="6"/>
  <c r="F658" i="6"/>
  <c r="E658" i="6"/>
  <c r="G657" i="6"/>
  <c r="F657" i="6"/>
  <c r="E657" i="6"/>
  <c r="G656" i="6"/>
  <c r="F656" i="6"/>
  <c r="E656" i="6"/>
  <c r="G655" i="6"/>
  <c r="F655" i="6"/>
  <c r="E655" i="6"/>
  <c r="G654" i="6"/>
  <c r="F654" i="6"/>
  <c r="E654" i="6"/>
  <c r="G653" i="6"/>
  <c r="F653" i="6"/>
  <c r="E653" i="6"/>
  <c r="G652" i="6"/>
  <c r="F652" i="6"/>
  <c r="E652" i="6"/>
  <c r="G651" i="6"/>
  <c r="F651" i="6"/>
  <c r="E651" i="6"/>
  <c r="G650" i="6"/>
  <c r="F650" i="6"/>
  <c r="E650" i="6"/>
  <c r="G649" i="6"/>
  <c r="F649" i="6"/>
  <c r="E649" i="6"/>
  <c r="G648" i="6"/>
  <c r="F648" i="6"/>
  <c r="E648" i="6"/>
  <c r="G647" i="6"/>
  <c r="F647" i="6"/>
  <c r="E647" i="6"/>
  <c r="G646" i="6"/>
  <c r="F646" i="6"/>
  <c r="E646" i="6"/>
  <c r="G645" i="6"/>
  <c r="F645" i="6"/>
  <c r="E645" i="6"/>
  <c r="G644" i="6"/>
  <c r="F644" i="6"/>
  <c r="E644" i="6"/>
  <c r="G643" i="6"/>
  <c r="F643" i="6"/>
  <c r="E643" i="6"/>
  <c r="G642" i="6"/>
  <c r="F642" i="6"/>
  <c r="E642" i="6"/>
  <c r="G641" i="6"/>
  <c r="F641" i="6"/>
  <c r="E641" i="6"/>
  <c r="G640" i="6"/>
  <c r="F640" i="6"/>
  <c r="E640" i="6"/>
  <c r="G639" i="6"/>
  <c r="F639" i="6"/>
  <c r="E639" i="6"/>
  <c r="G638" i="6"/>
  <c r="F638" i="6"/>
  <c r="E638" i="6"/>
  <c r="G637" i="6"/>
  <c r="F637" i="6"/>
  <c r="E637" i="6"/>
  <c r="G636" i="6"/>
  <c r="F636" i="6"/>
  <c r="E636" i="6"/>
  <c r="G635" i="6"/>
  <c r="F635" i="6"/>
  <c r="E635" i="6"/>
  <c r="G634" i="6"/>
  <c r="F634" i="6"/>
  <c r="E634" i="6"/>
  <c r="G633" i="6"/>
  <c r="F633" i="6"/>
  <c r="E633" i="6"/>
  <c r="G632" i="6"/>
  <c r="F632" i="6"/>
  <c r="E632" i="6"/>
  <c r="G631" i="6"/>
  <c r="F631" i="6"/>
  <c r="E631" i="6"/>
  <c r="G630" i="6"/>
  <c r="F630" i="6"/>
  <c r="E630" i="6"/>
  <c r="G629" i="6"/>
  <c r="F629" i="6"/>
  <c r="E629" i="6"/>
  <c r="G628" i="6"/>
  <c r="F628" i="6"/>
  <c r="E628" i="6"/>
  <c r="G627" i="6"/>
  <c r="F627" i="6"/>
  <c r="E627" i="6"/>
  <c r="G626" i="6"/>
  <c r="F626" i="6"/>
  <c r="E626" i="6"/>
  <c r="G625" i="6"/>
  <c r="F625" i="6"/>
  <c r="E625" i="6"/>
  <c r="G624" i="6"/>
  <c r="F624" i="6"/>
  <c r="E624" i="6"/>
  <c r="G623" i="6"/>
  <c r="F623" i="6"/>
  <c r="E623" i="6"/>
  <c r="G622" i="6"/>
  <c r="F622" i="6"/>
  <c r="E622" i="6"/>
  <c r="G621" i="6"/>
  <c r="F621" i="6"/>
  <c r="E621" i="6"/>
  <c r="G620" i="6"/>
  <c r="F620" i="6"/>
  <c r="E620" i="6"/>
  <c r="G619" i="6"/>
  <c r="F619" i="6"/>
  <c r="E619" i="6"/>
  <c r="G618" i="6"/>
  <c r="F618" i="6"/>
  <c r="E618" i="6"/>
  <c r="G617" i="6"/>
  <c r="F617" i="6"/>
  <c r="E617" i="6"/>
  <c r="G616" i="6"/>
  <c r="F616" i="6"/>
  <c r="E616" i="6"/>
  <c r="G615" i="6"/>
  <c r="F615" i="6"/>
  <c r="E615" i="6"/>
  <c r="G614" i="6"/>
  <c r="F614" i="6"/>
  <c r="E614" i="6"/>
  <c r="G613" i="6"/>
  <c r="F613" i="6"/>
  <c r="E613" i="6"/>
  <c r="G612" i="6"/>
  <c r="F612" i="6"/>
  <c r="E612" i="6"/>
  <c r="G610" i="6"/>
  <c r="F610" i="6"/>
  <c r="E610" i="6"/>
  <c r="G609" i="6"/>
  <c r="F609" i="6"/>
  <c r="E609" i="6"/>
  <c r="G608" i="6"/>
  <c r="F608" i="6"/>
  <c r="E608" i="6"/>
  <c r="G607" i="6"/>
  <c r="F607" i="6"/>
  <c r="E607" i="6"/>
  <c r="G606" i="6"/>
  <c r="F606" i="6"/>
  <c r="E606" i="6"/>
  <c r="G605" i="6"/>
  <c r="F605" i="6"/>
  <c r="E605" i="6"/>
  <c r="G603" i="6"/>
  <c r="F603" i="6"/>
  <c r="E603" i="6"/>
  <c r="G602" i="6"/>
  <c r="F602" i="6"/>
  <c r="E602" i="6"/>
  <c r="G601" i="6"/>
  <c r="F601" i="6"/>
  <c r="E601" i="6"/>
  <c r="G600" i="6"/>
  <c r="F600" i="6"/>
  <c r="E600" i="6"/>
  <c r="G599" i="6"/>
  <c r="F599" i="6"/>
  <c r="E599" i="6"/>
  <c r="G598" i="6"/>
  <c r="F598" i="6"/>
  <c r="E598" i="6"/>
  <c r="G597" i="6"/>
  <c r="F597" i="6"/>
  <c r="E597" i="6"/>
  <c r="G596" i="6"/>
  <c r="F596" i="6"/>
  <c r="E596" i="6"/>
  <c r="G595" i="6"/>
  <c r="F595" i="6"/>
  <c r="E595" i="6"/>
  <c r="G594" i="6"/>
  <c r="F594" i="6"/>
  <c r="E594" i="6"/>
  <c r="G593" i="6"/>
  <c r="F593" i="6"/>
  <c r="E593" i="6"/>
  <c r="G592" i="6"/>
  <c r="F592" i="6"/>
  <c r="E592" i="6"/>
  <c r="G591" i="6"/>
  <c r="F591" i="6"/>
  <c r="E591" i="6"/>
  <c r="G590" i="6"/>
  <c r="F590" i="6"/>
  <c r="E590" i="6"/>
  <c r="G585" i="6"/>
  <c r="F585" i="6"/>
  <c r="E585" i="6"/>
  <c r="G584" i="6"/>
  <c r="F584" i="6"/>
  <c r="E584" i="6"/>
  <c r="G583" i="6"/>
  <c r="F583" i="6"/>
  <c r="E583" i="6"/>
  <c r="G580" i="6"/>
  <c r="F580" i="6"/>
  <c r="E580" i="6"/>
  <c r="G577" i="6"/>
  <c r="F577" i="6"/>
  <c r="E577" i="6"/>
  <c r="G573" i="6"/>
  <c r="F573" i="6"/>
  <c r="E573" i="6"/>
  <c r="G572" i="6"/>
  <c r="F572" i="6"/>
  <c r="E572" i="6"/>
  <c r="G569" i="6"/>
  <c r="F569" i="6"/>
  <c r="E569" i="6"/>
  <c r="G568" i="6"/>
  <c r="F568" i="6"/>
  <c r="E568" i="6"/>
  <c r="G566" i="6"/>
  <c r="F566" i="6"/>
  <c r="E566" i="6"/>
  <c r="G565" i="6"/>
  <c r="F565" i="6"/>
  <c r="E565" i="6"/>
  <c r="G564" i="6"/>
  <c r="F564" i="6"/>
  <c r="E564" i="6"/>
  <c r="G563" i="6"/>
  <c r="F563" i="6"/>
  <c r="E563" i="6"/>
  <c r="G562" i="6"/>
  <c r="F562" i="6"/>
  <c r="E562" i="6"/>
  <c r="G561" i="6"/>
  <c r="F561" i="6"/>
  <c r="E561" i="6"/>
  <c r="G560" i="6"/>
  <c r="F560" i="6"/>
  <c r="E560" i="6"/>
  <c r="G559" i="6"/>
  <c r="F559" i="6"/>
  <c r="E559" i="6"/>
  <c r="G558" i="6"/>
  <c r="F558" i="6"/>
  <c r="E558" i="6"/>
  <c r="G555" i="6"/>
  <c r="F555" i="6"/>
  <c r="E555" i="6"/>
  <c r="G554" i="6"/>
  <c r="F554" i="6"/>
  <c r="E554" i="6"/>
  <c r="G552" i="6"/>
  <c r="F552" i="6"/>
  <c r="E552" i="6"/>
  <c r="G551" i="6"/>
  <c r="F551" i="6"/>
  <c r="E551" i="6"/>
  <c r="G550" i="6"/>
  <c r="F550" i="6"/>
  <c r="E550" i="6"/>
  <c r="G548" i="6"/>
  <c r="F548" i="6"/>
  <c r="E548" i="6"/>
  <c r="G547" i="6"/>
  <c r="F547" i="6"/>
  <c r="E547" i="6"/>
  <c r="G545" i="6"/>
  <c r="F545" i="6"/>
  <c r="E545" i="6"/>
  <c r="G544" i="6"/>
  <c r="F544" i="6"/>
  <c r="E544" i="6"/>
  <c r="G540" i="6"/>
  <c r="F540" i="6"/>
  <c r="E540" i="6"/>
  <c r="G539" i="6"/>
  <c r="F539" i="6"/>
  <c r="E539" i="6"/>
  <c r="G537" i="6"/>
  <c r="F537" i="6"/>
  <c r="E537" i="6"/>
  <c r="G536" i="6"/>
  <c r="F536" i="6"/>
  <c r="E536" i="6"/>
  <c r="G534" i="6"/>
  <c r="F534" i="6"/>
  <c r="E534" i="6"/>
  <c r="G533" i="6"/>
  <c r="F533" i="6"/>
  <c r="E533" i="6"/>
  <c r="G531" i="6"/>
  <c r="F531" i="6"/>
  <c r="E531" i="6"/>
  <c r="G530" i="6"/>
  <c r="F530" i="6"/>
  <c r="E530" i="6"/>
  <c r="G529" i="6"/>
  <c r="F529" i="6"/>
  <c r="E529" i="6"/>
  <c r="G528" i="6"/>
  <c r="F528" i="6"/>
  <c r="E528" i="6"/>
  <c r="G527" i="6"/>
  <c r="F527" i="6"/>
  <c r="E527" i="6"/>
  <c r="G526" i="6"/>
  <c r="F526" i="6"/>
  <c r="E526" i="6"/>
  <c r="G521" i="6"/>
  <c r="G520" i="6" s="1"/>
  <c r="F521" i="6"/>
  <c r="E521" i="6"/>
  <c r="E520" i="6" s="1"/>
  <c r="G519" i="6"/>
  <c r="F519" i="6"/>
  <c r="E519" i="6"/>
  <c r="G508" i="6"/>
  <c r="F508" i="6"/>
  <c r="E508" i="6"/>
  <c r="G507" i="6"/>
  <c r="F507" i="6"/>
  <c r="E507" i="6"/>
  <c r="G506" i="6"/>
  <c r="F506" i="6"/>
  <c r="E506" i="6"/>
  <c r="G505" i="6"/>
  <c r="F505" i="6"/>
  <c r="E505" i="6"/>
  <c r="G504" i="6"/>
  <c r="F504" i="6"/>
  <c r="E504" i="6"/>
  <c r="G503" i="6"/>
  <c r="F503" i="6"/>
  <c r="E503" i="6"/>
  <c r="G502" i="6"/>
  <c r="F502" i="6"/>
  <c r="E502" i="6"/>
  <c r="G501" i="6"/>
  <c r="F501" i="6"/>
  <c r="E501" i="6"/>
  <c r="G500" i="6"/>
  <c r="F500" i="6"/>
  <c r="E500" i="6"/>
  <c r="G498" i="6"/>
  <c r="F498" i="6"/>
  <c r="E498" i="6"/>
  <c r="G497" i="6"/>
  <c r="F497" i="6"/>
  <c r="E497" i="6"/>
  <c r="G494" i="6"/>
  <c r="F494" i="6"/>
  <c r="E494" i="6"/>
  <c r="G493" i="6"/>
  <c r="F493" i="6"/>
  <c r="E493" i="6"/>
  <c r="G492" i="6"/>
  <c r="F492" i="6"/>
  <c r="E492" i="6"/>
  <c r="G491" i="6"/>
  <c r="F491" i="6"/>
  <c r="E491" i="6"/>
  <c r="G490" i="6"/>
  <c r="F490" i="6"/>
  <c r="E490" i="6"/>
  <c r="G489" i="6"/>
  <c r="F489" i="6"/>
  <c r="E489" i="6"/>
  <c r="G488" i="6"/>
  <c r="F488" i="6"/>
  <c r="E488" i="6"/>
  <c r="G487" i="6"/>
  <c r="F487" i="6"/>
  <c r="E487" i="6"/>
  <c r="G486" i="6"/>
  <c r="F486" i="6"/>
  <c r="E486" i="6"/>
  <c r="G485" i="6"/>
  <c r="F485" i="6"/>
  <c r="E485" i="6"/>
  <c r="G484" i="6"/>
  <c r="F484" i="6"/>
  <c r="E484" i="6"/>
  <c r="G483" i="6"/>
  <c r="F483" i="6"/>
  <c r="E483" i="6"/>
  <c r="G482" i="6"/>
  <c r="F482" i="6"/>
  <c r="E482" i="6"/>
  <c r="G481" i="6"/>
  <c r="F481" i="6"/>
  <c r="E481" i="6"/>
  <c r="G479" i="6"/>
  <c r="F479" i="6"/>
  <c r="E479" i="6"/>
  <c r="G478" i="6"/>
  <c r="F478" i="6"/>
  <c r="E478" i="6"/>
  <c r="G477" i="6"/>
  <c r="F477" i="6"/>
  <c r="E477" i="6"/>
  <c r="G476" i="6"/>
  <c r="F476" i="6"/>
  <c r="E476" i="6"/>
  <c r="G475" i="6"/>
  <c r="F475" i="6"/>
  <c r="E475" i="6"/>
  <c r="G473" i="6"/>
  <c r="F473" i="6"/>
  <c r="E473" i="6"/>
  <c r="G472" i="6"/>
  <c r="F472" i="6"/>
  <c r="E472" i="6"/>
  <c r="G471" i="6"/>
  <c r="F471" i="6"/>
  <c r="E471" i="6"/>
  <c r="G470" i="6"/>
  <c r="F470" i="6"/>
  <c r="E470" i="6"/>
  <c r="G469" i="6"/>
  <c r="F469" i="6"/>
  <c r="E469" i="6"/>
  <c r="G468" i="6"/>
  <c r="F468" i="6"/>
  <c r="E468" i="6"/>
  <c r="G466" i="6"/>
  <c r="F466" i="6"/>
  <c r="E466" i="6"/>
  <c r="G465" i="6"/>
  <c r="F465" i="6"/>
  <c r="E465" i="6"/>
  <c r="G464" i="6"/>
  <c r="F464" i="6"/>
  <c r="E464" i="6"/>
  <c r="G463" i="6"/>
  <c r="F463" i="6"/>
  <c r="E463" i="6"/>
  <c r="G462" i="6"/>
  <c r="F462" i="6"/>
  <c r="E462" i="6"/>
  <c r="G461" i="6"/>
  <c r="F461" i="6"/>
  <c r="E461" i="6"/>
  <c r="G460" i="6"/>
  <c r="F460" i="6"/>
  <c r="E460" i="6"/>
  <c r="G459" i="6"/>
  <c r="F459" i="6"/>
  <c r="E459" i="6"/>
  <c r="G458" i="6"/>
  <c r="F458" i="6"/>
  <c r="E458" i="6"/>
  <c r="G457" i="6"/>
  <c r="F457" i="6"/>
  <c r="E457" i="6"/>
  <c r="G456" i="6"/>
  <c r="F456" i="6"/>
  <c r="E456" i="6"/>
  <c r="G452" i="6"/>
  <c r="F452" i="6"/>
  <c r="E452" i="6"/>
  <c r="G451" i="6"/>
  <c r="F451" i="6"/>
  <c r="E451" i="6"/>
  <c r="G450" i="6"/>
  <c r="F450" i="6"/>
  <c r="E450" i="6"/>
  <c r="G449" i="6"/>
  <c r="F449" i="6"/>
  <c r="E449" i="6"/>
  <c r="G448" i="6"/>
  <c r="F448" i="6"/>
  <c r="E448" i="6"/>
  <c r="G447" i="6"/>
  <c r="F447" i="6"/>
  <c r="E447" i="6"/>
  <c r="G446" i="6"/>
  <c r="F446" i="6"/>
  <c r="E446" i="6"/>
  <c r="G445" i="6"/>
  <c r="F445" i="6"/>
  <c r="E445" i="6"/>
  <c r="G444" i="6"/>
  <c r="F444" i="6"/>
  <c r="E444" i="6"/>
  <c r="G443" i="6"/>
  <c r="F443" i="6"/>
  <c r="E443" i="6"/>
  <c r="G442" i="6"/>
  <c r="F442" i="6"/>
  <c r="E442" i="6"/>
  <c r="G441" i="6"/>
  <c r="F441" i="6"/>
  <c r="E441" i="6"/>
  <c r="G439" i="6"/>
  <c r="F439" i="6"/>
  <c r="E439" i="6"/>
  <c r="G438" i="6"/>
  <c r="F438" i="6"/>
  <c r="E438" i="6"/>
  <c r="G437" i="6"/>
  <c r="F437" i="6"/>
  <c r="E437" i="6"/>
  <c r="G436" i="6"/>
  <c r="F436" i="6"/>
  <c r="E436" i="6"/>
  <c r="G435" i="6"/>
  <c r="F435" i="6"/>
  <c r="E435" i="6"/>
  <c r="G434" i="6"/>
  <c r="F434" i="6"/>
  <c r="E434" i="6"/>
  <c r="G433" i="6"/>
  <c r="F433" i="6"/>
  <c r="E433" i="6"/>
  <c r="G432" i="6"/>
  <c r="F432" i="6"/>
  <c r="E432" i="6"/>
  <c r="G431" i="6"/>
  <c r="F431" i="6"/>
  <c r="E431" i="6"/>
  <c r="G430" i="6"/>
  <c r="F430" i="6"/>
  <c r="E430" i="6"/>
  <c r="G429" i="6"/>
  <c r="F429" i="6"/>
  <c r="E429" i="6"/>
  <c r="G427" i="6"/>
  <c r="F427" i="6"/>
  <c r="E427" i="6"/>
  <c r="G426" i="6"/>
  <c r="F426" i="6"/>
  <c r="E426" i="6"/>
  <c r="G425" i="6"/>
  <c r="F425" i="6"/>
  <c r="E425" i="6"/>
  <c r="G424" i="6"/>
  <c r="F424" i="6"/>
  <c r="E424" i="6"/>
  <c r="G422" i="6"/>
  <c r="F422" i="6"/>
  <c r="E422" i="6"/>
  <c r="G421" i="6"/>
  <c r="F421" i="6"/>
  <c r="E421" i="6"/>
  <c r="G420" i="6"/>
  <c r="F420" i="6"/>
  <c r="E420" i="6"/>
  <c r="G419" i="6"/>
  <c r="F419" i="6"/>
  <c r="E419" i="6"/>
  <c r="G418" i="6"/>
  <c r="F418" i="6"/>
  <c r="E418" i="6"/>
  <c r="G417" i="6"/>
  <c r="F417" i="6"/>
  <c r="E417" i="6"/>
  <c r="G415" i="6"/>
  <c r="F415" i="6"/>
  <c r="E415" i="6"/>
  <c r="G414" i="6"/>
  <c r="F414" i="6"/>
  <c r="E414" i="6"/>
  <c r="G412" i="6"/>
  <c r="F412" i="6"/>
  <c r="E412" i="6"/>
  <c r="G409" i="6"/>
  <c r="F409" i="6"/>
  <c r="E409" i="6"/>
  <c r="G408" i="6"/>
  <c r="F408" i="6"/>
  <c r="E408" i="6"/>
  <c r="G407" i="6"/>
  <c r="F407" i="6"/>
  <c r="E407" i="6"/>
  <c r="G406" i="6"/>
  <c r="F406" i="6"/>
  <c r="E406" i="6"/>
  <c r="G405" i="6"/>
  <c r="F405" i="6"/>
  <c r="E405" i="6"/>
  <c r="G404" i="6"/>
  <c r="F404" i="6"/>
  <c r="E404" i="6"/>
  <c r="G401" i="6"/>
  <c r="F401" i="6"/>
  <c r="E401" i="6"/>
  <c r="G400" i="6"/>
  <c r="F400" i="6"/>
  <c r="E400" i="6"/>
  <c r="G398" i="6"/>
  <c r="F398" i="6"/>
  <c r="E398" i="6"/>
  <c r="G397" i="6"/>
  <c r="F397" i="6"/>
  <c r="E397" i="6"/>
  <c r="G395" i="6"/>
  <c r="F395" i="6"/>
  <c r="E395" i="6"/>
  <c r="G394" i="6"/>
  <c r="F394" i="6"/>
  <c r="E394" i="6"/>
  <c r="G393" i="6"/>
  <c r="F393" i="6"/>
  <c r="E393" i="6"/>
  <c r="G386" i="6"/>
  <c r="G385" i="6" s="1"/>
  <c r="F386" i="6"/>
  <c r="E386" i="6"/>
  <c r="E385" i="6" s="1"/>
  <c r="G384" i="6"/>
  <c r="G383" i="6" s="1"/>
  <c r="J21" i="14" s="1"/>
  <c r="F384" i="6"/>
  <c r="E384" i="6"/>
  <c r="E383" i="6" s="1"/>
  <c r="F21" i="14" s="1"/>
  <c r="G382" i="6"/>
  <c r="G381" i="6" s="1"/>
  <c r="J20" i="14" s="1"/>
  <c r="F382" i="6"/>
  <c r="E382" i="6"/>
  <c r="E381" i="6" s="1"/>
  <c r="F20" i="14" s="1"/>
  <c r="G380" i="6"/>
  <c r="G379" i="6" s="1"/>
  <c r="J19" i="14" s="1"/>
  <c r="F380" i="6"/>
  <c r="E380" i="6"/>
  <c r="E379" i="6" s="1"/>
  <c r="F19" i="14" s="1"/>
  <c r="G378" i="6"/>
  <c r="G377" i="6" s="1"/>
  <c r="J18" i="14" s="1"/>
  <c r="F378" i="6"/>
  <c r="E378" i="6"/>
  <c r="E377" i="6" s="1"/>
  <c r="F18" i="14" s="1"/>
  <c r="G376" i="6"/>
  <c r="G375" i="6" s="1"/>
  <c r="F376" i="6"/>
  <c r="E376" i="6"/>
  <c r="E375" i="6" s="1"/>
  <c r="G374" i="6"/>
  <c r="F374" i="6"/>
  <c r="G373" i="6"/>
  <c r="F373" i="6"/>
  <c r="E373" i="6"/>
  <c r="G372" i="6"/>
  <c r="F372" i="6"/>
  <c r="E372" i="6"/>
  <c r="G371" i="6"/>
  <c r="F371" i="6"/>
  <c r="E371" i="6"/>
  <c r="G369" i="6"/>
  <c r="F369" i="6"/>
  <c r="E369" i="6"/>
  <c r="G368" i="6"/>
  <c r="F368" i="6"/>
  <c r="E368" i="6"/>
  <c r="G367" i="6"/>
  <c r="F367" i="6"/>
  <c r="E367" i="6"/>
  <c r="G363" i="6"/>
  <c r="F363" i="6"/>
  <c r="E363" i="6"/>
  <c r="G362" i="6"/>
  <c r="F362" i="6"/>
  <c r="E362" i="6"/>
  <c r="G360" i="6"/>
  <c r="F360" i="6"/>
  <c r="E360" i="6"/>
  <c r="G359" i="6"/>
  <c r="F359" i="6"/>
  <c r="E359" i="6"/>
  <c r="G358" i="6"/>
  <c r="F358" i="6"/>
  <c r="E358" i="6"/>
  <c r="G356" i="6"/>
  <c r="F356" i="6"/>
  <c r="E356" i="6"/>
  <c r="G355" i="6"/>
  <c r="F355" i="6"/>
  <c r="E355" i="6"/>
  <c r="G354" i="6"/>
  <c r="F354" i="6"/>
  <c r="E354" i="6"/>
  <c r="G351" i="6"/>
  <c r="G350" i="6" s="1"/>
  <c r="G349" i="6" s="1"/>
  <c r="F351" i="6"/>
  <c r="E351" i="6"/>
  <c r="E350" i="6" s="1"/>
  <c r="E349" i="6" s="1"/>
  <c r="G348" i="6"/>
  <c r="F348" i="6"/>
  <c r="E348" i="6"/>
  <c r="G347" i="6"/>
  <c r="F347" i="6"/>
  <c r="E347" i="6"/>
  <c r="G345" i="6"/>
  <c r="G344" i="6" s="1"/>
  <c r="F345" i="6"/>
  <c r="F344" i="6" s="1"/>
  <c r="E345" i="6"/>
  <c r="G343" i="6"/>
  <c r="F343" i="6"/>
  <c r="E343" i="6"/>
  <c r="G339" i="6"/>
  <c r="F339" i="6"/>
  <c r="F338" i="6" s="1"/>
  <c r="E339" i="6"/>
  <c r="G337" i="6"/>
  <c r="G336" i="6" s="1"/>
  <c r="F337" i="6"/>
  <c r="E337" i="6"/>
  <c r="G334" i="6"/>
  <c r="G333" i="6" s="1"/>
  <c r="F334" i="6"/>
  <c r="E334" i="6"/>
  <c r="E333" i="6" s="1"/>
  <c r="G332" i="6"/>
  <c r="G331" i="6" s="1"/>
  <c r="F332" i="6"/>
  <c r="E332" i="6"/>
  <c r="E331" i="6" s="1"/>
  <c r="G330" i="6"/>
  <c r="G329" i="6" s="1"/>
  <c r="F330" i="6"/>
  <c r="E330" i="6"/>
  <c r="E329" i="6" s="1"/>
  <c r="G327" i="6"/>
  <c r="F327" i="6"/>
  <c r="E327" i="6"/>
  <c r="G326" i="6"/>
  <c r="F326" i="6"/>
  <c r="E326" i="6"/>
  <c r="G324" i="6"/>
  <c r="G323" i="6" s="1"/>
  <c r="F324" i="6"/>
  <c r="E324" i="6"/>
  <c r="E323" i="6" s="1"/>
  <c r="G322" i="6"/>
  <c r="F322" i="6"/>
  <c r="E322" i="6"/>
  <c r="G321" i="6"/>
  <c r="F321" i="6"/>
  <c r="E321" i="6"/>
  <c r="G319" i="6"/>
  <c r="F319" i="6"/>
  <c r="E319" i="6"/>
  <c r="G318" i="6"/>
  <c r="F318" i="6"/>
  <c r="E318" i="6"/>
  <c r="G316" i="6"/>
  <c r="F316" i="6"/>
  <c r="E316" i="6"/>
  <c r="G315" i="6"/>
  <c r="F315" i="6"/>
  <c r="E315" i="6"/>
  <c r="G313" i="6"/>
  <c r="F313" i="6"/>
  <c r="E313" i="6"/>
  <c r="G312" i="6"/>
  <c r="F312" i="6"/>
  <c r="E312" i="6"/>
  <c r="G310" i="6"/>
  <c r="F310" i="6"/>
  <c r="E310" i="6"/>
  <c r="G309" i="6"/>
  <c r="F309" i="6"/>
  <c r="E309" i="6"/>
  <c r="G306" i="6"/>
  <c r="G305" i="6" s="1"/>
  <c r="F306" i="6"/>
  <c r="E306" i="6"/>
  <c r="E305" i="6" s="1"/>
  <c r="G304" i="6"/>
  <c r="F304" i="6"/>
  <c r="E304" i="6"/>
  <c r="G303" i="6"/>
  <c r="F303" i="6"/>
  <c r="E303" i="6"/>
  <c r="G301" i="6"/>
  <c r="F301" i="6"/>
  <c r="E301" i="6"/>
  <c r="G299" i="6"/>
  <c r="F299" i="6"/>
  <c r="E299" i="6"/>
  <c r="G298" i="6"/>
  <c r="F298" i="6"/>
  <c r="E298" i="6"/>
  <c r="G296" i="6"/>
  <c r="F296" i="6"/>
  <c r="E296" i="6"/>
  <c r="G294" i="6"/>
  <c r="F294" i="6"/>
  <c r="G293" i="6"/>
  <c r="F293" i="6"/>
  <c r="E293" i="6"/>
  <c r="G292" i="6"/>
  <c r="F292" i="6"/>
  <c r="E292" i="6"/>
  <c r="G290" i="6"/>
  <c r="F290" i="6"/>
  <c r="E290" i="6"/>
  <c r="G288" i="6"/>
  <c r="F288" i="6"/>
  <c r="E288" i="6"/>
  <c r="G287" i="6"/>
  <c r="F287" i="6"/>
  <c r="E287" i="6"/>
  <c r="G285" i="6"/>
  <c r="F285" i="6"/>
  <c r="E285" i="6"/>
  <c r="G283" i="6"/>
  <c r="F283" i="6"/>
  <c r="E283" i="6"/>
  <c r="G282" i="6"/>
  <c r="F282" i="6"/>
  <c r="E282" i="6"/>
  <c r="G280" i="6"/>
  <c r="F280" i="6"/>
  <c r="E280" i="6"/>
  <c r="G278" i="6"/>
  <c r="F278" i="6"/>
  <c r="E278" i="6"/>
  <c r="G277" i="6"/>
  <c r="F277" i="6"/>
  <c r="E277" i="6"/>
  <c r="G275" i="6"/>
  <c r="F275" i="6"/>
  <c r="E275" i="6"/>
  <c r="G273" i="6"/>
  <c r="F273" i="6"/>
  <c r="E273" i="6"/>
  <c r="G272" i="6"/>
  <c r="F272" i="6"/>
  <c r="E272" i="6"/>
  <c r="G271" i="6"/>
  <c r="F271" i="6"/>
  <c r="E271" i="6"/>
  <c r="G269" i="6"/>
  <c r="F269" i="6"/>
  <c r="G268" i="6"/>
  <c r="F268" i="6"/>
  <c r="G267" i="6"/>
  <c r="F267" i="6"/>
  <c r="E267" i="6"/>
  <c r="G266" i="6"/>
  <c r="F266" i="6"/>
  <c r="E266" i="6"/>
  <c r="G264" i="6"/>
  <c r="F264" i="6"/>
  <c r="E264" i="6"/>
  <c r="G262" i="6"/>
  <c r="F262" i="6"/>
  <c r="E262" i="6"/>
  <c r="G261" i="6"/>
  <c r="F261" i="6"/>
  <c r="E261" i="6"/>
  <c r="G259" i="6"/>
  <c r="F259" i="6"/>
  <c r="E259" i="6"/>
  <c r="G256" i="6"/>
  <c r="F256" i="6"/>
  <c r="E256" i="6"/>
  <c r="G255" i="6"/>
  <c r="F255" i="6"/>
  <c r="E255" i="6"/>
  <c r="G253" i="6"/>
  <c r="F253" i="6"/>
  <c r="E253" i="6"/>
  <c r="G251" i="6"/>
  <c r="F251" i="6"/>
  <c r="E251" i="6"/>
  <c r="G250" i="6"/>
  <c r="F250" i="6"/>
  <c r="E250" i="6"/>
  <c r="G248" i="6"/>
  <c r="F248" i="6"/>
  <c r="E248" i="6"/>
  <c r="G246" i="6"/>
  <c r="F246" i="6"/>
  <c r="E246" i="6"/>
  <c r="G245" i="6"/>
  <c r="F245" i="6"/>
  <c r="E245" i="6"/>
  <c r="G243" i="6"/>
  <c r="F243" i="6"/>
  <c r="E243" i="6"/>
  <c r="G241" i="6"/>
  <c r="F241" i="6"/>
  <c r="E241" i="6"/>
  <c r="G240" i="6"/>
  <c r="F240" i="6"/>
  <c r="E240" i="6"/>
  <c r="G238" i="6"/>
  <c r="F238" i="6"/>
  <c r="E238" i="6"/>
  <c r="G236" i="6"/>
  <c r="F236" i="6"/>
  <c r="E236" i="6"/>
  <c r="G235" i="6"/>
  <c r="F235" i="6"/>
  <c r="E235" i="6"/>
  <c r="G233" i="6"/>
  <c r="F233" i="6"/>
  <c r="E233" i="6"/>
  <c r="G229" i="6"/>
  <c r="F229" i="6"/>
  <c r="E229" i="6"/>
  <c r="G228" i="6"/>
  <c r="F228" i="6"/>
  <c r="E228" i="6"/>
  <c r="G226" i="6"/>
  <c r="F226" i="6"/>
  <c r="E226" i="6"/>
  <c r="G225" i="6"/>
  <c r="F225" i="6"/>
  <c r="E225" i="6"/>
  <c r="G222" i="6"/>
  <c r="F222" i="6"/>
  <c r="E222" i="6"/>
  <c r="G221" i="6"/>
  <c r="F221" i="6"/>
  <c r="E221" i="6"/>
  <c r="G218" i="6"/>
  <c r="F218" i="6"/>
  <c r="E218" i="6"/>
  <c r="G217" i="6"/>
  <c r="F217" i="6"/>
  <c r="E217" i="6"/>
  <c r="G215" i="6"/>
  <c r="F215" i="6"/>
  <c r="E215" i="6"/>
  <c r="G214" i="6"/>
  <c r="F214" i="6"/>
  <c r="E214" i="6"/>
  <c r="G211" i="6"/>
  <c r="F211" i="6"/>
  <c r="E211" i="6"/>
  <c r="G210" i="6"/>
  <c r="F210" i="6"/>
  <c r="E210" i="6"/>
  <c r="G209" i="6"/>
  <c r="F209" i="6"/>
  <c r="E209" i="6"/>
  <c r="G205" i="6"/>
  <c r="F205" i="6"/>
  <c r="E205" i="6"/>
  <c r="G204" i="6"/>
  <c r="F204" i="6"/>
  <c r="E204" i="6"/>
  <c r="G202" i="6"/>
  <c r="F202" i="6"/>
  <c r="E202" i="6"/>
  <c r="G201" i="6"/>
  <c r="F201" i="6"/>
  <c r="E201" i="6"/>
  <c r="G198" i="6"/>
  <c r="F198" i="6"/>
  <c r="E198" i="6"/>
  <c r="G197" i="6"/>
  <c r="F197" i="6"/>
  <c r="E197" i="6"/>
  <c r="G194" i="6"/>
  <c r="F194" i="6"/>
  <c r="E194" i="6"/>
  <c r="G193" i="6"/>
  <c r="F193" i="6"/>
  <c r="E193" i="6"/>
  <c r="G191" i="6"/>
  <c r="F191" i="6"/>
  <c r="E191" i="6"/>
  <c r="G190" i="6"/>
  <c r="F190" i="6"/>
  <c r="E190" i="6"/>
  <c r="G187" i="6"/>
  <c r="F187" i="6"/>
  <c r="E187" i="6"/>
  <c r="G186" i="6"/>
  <c r="F186" i="6"/>
  <c r="E186" i="6"/>
  <c r="G183" i="6"/>
  <c r="F183" i="6"/>
  <c r="E183" i="6"/>
  <c r="G182" i="6"/>
  <c r="F182" i="6"/>
  <c r="E182" i="6"/>
  <c r="G180" i="6"/>
  <c r="F180" i="6"/>
  <c r="E180" i="6"/>
  <c r="G179" i="6"/>
  <c r="F179" i="6"/>
  <c r="E179" i="6"/>
  <c r="G176" i="6"/>
  <c r="F176" i="6"/>
  <c r="E176" i="6"/>
  <c r="G175" i="6"/>
  <c r="F175" i="6"/>
  <c r="E175" i="6"/>
  <c r="G172" i="6"/>
  <c r="F172" i="6"/>
  <c r="E172" i="6"/>
  <c r="G171" i="6"/>
  <c r="F171" i="6"/>
  <c r="E171" i="6"/>
  <c r="G169" i="6"/>
  <c r="F169" i="6"/>
  <c r="E169" i="6"/>
  <c r="G168" i="6"/>
  <c r="F168" i="6"/>
  <c r="E168" i="6"/>
  <c r="G165" i="6"/>
  <c r="F165" i="6"/>
  <c r="E165" i="6"/>
  <c r="G164" i="6"/>
  <c r="F164" i="6"/>
  <c r="E164" i="6"/>
  <c r="G161" i="6"/>
  <c r="F161" i="6"/>
  <c r="E161" i="6"/>
  <c r="G160" i="6"/>
  <c r="F160" i="6"/>
  <c r="E160" i="6"/>
  <c r="G159" i="6"/>
  <c r="F159" i="6"/>
  <c r="E159" i="6"/>
  <c r="G157" i="6"/>
  <c r="F157" i="6"/>
  <c r="E157" i="6"/>
  <c r="G156" i="6"/>
  <c r="F156" i="6"/>
  <c r="E156" i="6"/>
  <c r="G153" i="6"/>
  <c r="F153" i="6"/>
  <c r="E153" i="6"/>
  <c r="G152" i="6"/>
  <c r="F152" i="6"/>
  <c r="E152" i="6"/>
  <c r="G146" i="6"/>
  <c r="F146" i="6"/>
  <c r="E146" i="6"/>
  <c r="G145" i="6"/>
  <c r="F145" i="6"/>
  <c r="E145" i="6"/>
  <c r="G144" i="6"/>
  <c r="F144" i="6"/>
  <c r="E144" i="6"/>
  <c r="G142" i="6"/>
  <c r="G141" i="6" s="1"/>
  <c r="F142" i="6"/>
  <c r="E142" i="6"/>
  <c r="G140" i="6"/>
  <c r="F140" i="6"/>
  <c r="E140" i="6"/>
  <c r="G139" i="6"/>
  <c r="F139" i="6"/>
  <c r="E139" i="6"/>
  <c r="G138" i="6"/>
  <c r="F138" i="6"/>
  <c r="E138" i="6"/>
  <c r="G136" i="6"/>
  <c r="F136" i="6"/>
  <c r="E136" i="6"/>
  <c r="G135" i="6"/>
  <c r="F135" i="6"/>
  <c r="E135" i="6"/>
  <c r="G134" i="6"/>
  <c r="F134" i="6"/>
  <c r="E134" i="6"/>
  <c r="G132" i="6"/>
  <c r="F132" i="6"/>
  <c r="E132" i="6"/>
  <c r="G131" i="6"/>
  <c r="F131" i="6"/>
  <c r="E131" i="6"/>
  <c r="G130" i="6"/>
  <c r="F130" i="6"/>
  <c r="E130" i="6"/>
  <c r="G127" i="6"/>
  <c r="F127" i="6"/>
  <c r="E127" i="6"/>
  <c r="G126" i="6"/>
  <c r="F126" i="6"/>
  <c r="E126" i="6"/>
  <c r="G125" i="6"/>
  <c r="F125" i="6"/>
  <c r="E125" i="6"/>
  <c r="G122" i="6"/>
  <c r="F122" i="6"/>
  <c r="E122" i="6"/>
  <c r="G121" i="6"/>
  <c r="F121" i="6"/>
  <c r="E121" i="6"/>
  <c r="G120" i="6"/>
  <c r="F120" i="6"/>
  <c r="E120" i="6"/>
  <c r="G119" i="6"/>
  <c r="F119" i="6"/>
  <c r="E119" i="6"/>
  <c r="G116" i="6"/>
  <c r="F116" i="6"/>
  <c r="E116" i="6"/>
  <c r="F40" i="12" s="1"/>
  <c r="G108" i="6"/>
  <c r="G107" i="6" s="1"/>
  <c r="F108" i="6"/>
  <c r="G104" i="6"/>
  <c r="F104" i="6"/>
  <c r="E104" i="6"/>
  <c r="G101" i="6"/>
  <c r="F101" i="6"/>
  <c r="E101" i="6"/>
  <c r="G100" i="6"/>
  <c r="F100" i="6"/>
  <c r="E100" i="6"/>
  <c r="G98" i="6"/>
  <c r="G97" i="6" s="1"/>
  <c r="F98" i="6"/>
  <c r="E98" i="6"/>
  <c r="E97" i="6" s="1"/>
  <c r="G96" i="6"/>
  <c r="F96" i="6"/>
  <c r="E96" i="6"/>
  <c r="G95" i="6"/>
  <c r="F95" i="6"/>
  <c r="E95" i="6"/>
  <c r="G93" i="6"/>
  <c r="F93" i="6"/>
  <c r="E93" i="6"/>
  <c r="G92" i="6"/>
  <c r="F92" i="6"/>
  <c r="E92" i="6"/>
  <c r="G90" i="6"/>
  <c r="F90" i="6"/>
  <c r="E90" i="6"/>
  <c r="G89" i="6"/>
  <c r="F89" i="6"/>
  <c r="E89" i="6"/>
  <c r="G88" i="6"/>
  <c r="F88" i="6"/>
  <c r="E88" i="6"/>
  <c r="G86" i="6"/>
  <c r="G85" i="6" s="1"/>
  <c r="F86" i="6"/>
  <c r="E86" i="6"/>
  <c r="E85" i="6" s="1"/>
  <c r="G84" i="6"/>
  <c r="G83" i="6" s="1"/>
  <c r="F84" i="6"/>
  <c r="E84" i="6"/>
  <c r="E83" i="6" s="1"/>
  <c r="G82" i="6"/>
  <c r="F82" i="6"/>
  <c r="E82" i="6"/>
  <c r="G81" i="6"/>
  <c r="F81" i="6"/>
  <c r="E81" i="6"/>
  <c r="G80" i="6"/>
  <c r="F80" i="6"/>
  <c r="E80" i="6"/>
  <c r="G78" i="6"/>
  <c r="F78" i="6"/>
  <c r="E78" i="6"/>
  <c r="G77" i="6"/>
  <c r="F77" i="6"/>
  <c r="E77" i="6"/>
  <c r="G76" i="6"/>
  <c r="F76" i="6"/>
  <c r="E76" i="6"/>
  <c r="G74" i="6"/>
  <c r="F74" i="6"/>
  <c r="E74" i="6"/>
  <c r="G73" i="6"/>
  <c r="F73" i="6"/>
  <c r="E73" i="6"/>
  <c r="G72" i="6"/>
  <c r="F72" i="6"/>
  <c r="E72" i="6"/>
  <c r="G66" i="6"/>
  <c r="J20" i="13" s="1"/>
  <c r="G65" i="6"/>
  <c r="G64" i="6" s="1"/>
  <c r="J19" i="13" s="1"/>
  <c r="F65" i="6"/>
  <c r="F64" i="6" s="1"/>
  <c r="H19" i="13" s="1"/>
  <c r="E65" i="6"/>
  <c r="G63" i="6"/>
  <c r="G62" i="6" s="1"/>
  <c r="J18" i="13" s="1"/>
  <c r="F63" i="6"/>
  <c r="F62" i="6" s="1"/>
  <c r="H18" i="13" s="1"/>
  <c r="E63" i="6"/>
  <c r="G61" i="6"/>
  <c r="G60" i="6" s="1"/>
  <c r="F61" i="6"/>
  <c r="F60" i="6" s="1"/>
  <c r="H17" i="13" s="1"/>
  <c r="E61" i="6"/>
  <c r="G59" i="6"/>
  <c r="F59" i="6"/>
  <c r="E59" i="6"/>
  <c r="G56" i="6"/>
  <c r="F56" i="6"/>
  <c r="E56" i="6"/>
  <c r="G54" i="6"/>
  <c r="F54" i="6"/>
  <c r="E54" i="6"/>
  <c r="G53" i="6"/>
  <c r="F53" i="6"/>
  <c r="E53" i="6"/>
  <c r="G43" i="6"/>
  <c r="F43" i="6"/>
  <c r="E43" i="6"/>
  <c r="G37" i="6"/>
  <c r="F37" i="6"/>
  <c r="E37" i="6"/>
  <c r="G32" i="6"/>
  <c r="F32" i="6"/>
  <c r="E32" i="6"/>
  <c r="G27" i="6"/>
  <c r="F27" i="6"/>
  <c r="E27" i="6"/>
  <c r="G22" i="6"/>
  <c r="F22" i="6"/>
  <c r="E22" i="6"/>
  <c r="G20" i="6"/>
  <c r="F20" i="6"/>
  <c r="E20" i="6"/>
  <c r="G19" i="6"/>
  <c r="F19" i="6"/>
  <c r="E19" i="6"/>
  <c r="G18" i="6"/>
  <c r="F18" i="6"/>
  <c r="E18" i="6"/>
  <c r="G17" i="6"/>
  <c r="F17" i="6"/>
  <c r="E17" i="6"/>
  <c r="G16" i="6"/>
  <c r="F16" i="6"/>
  <c r="E16" i="6"/>
  <c r="G14" i="6"/>
  <c r="F14" i="6"/>
  <c r="E14" i="6"/>
  <c r="G13" i="6"/>
  <c r="F13" i="6"/>
  <c r="E13" i="6"/>
  <c r="G12" i="6"/>
  <c r="F12" i="6"/>
  <c r="E12" i="6"/>
  <c r="G10" i="6"/>
  <c r="F10" i="6"/>
  <c r="E10" i="6"/>
  <c r="G9" i="6"/>
  <c r="F9" i="6"/>
  <c r="E9" i="6"/>
  <c r="G8" i="6"/>
  <c r="F8" i="6"/>
  <c r="D3043" i="5"/>
  <c r="D3042" i="5"/>
  <c r="D3041" i="5"/>
  <c r="D3040" i="5"/>
  <c r="D3039" i="5"/>
  <c r="D3038" i="5"/>
  <c r="D3037" i="5"/>
  <c r="D3036" i="5"/>
  <c r="D3035" i="5"/>
  <c r="D3034" i="5"/>
  <c r="D3033" i="5"/>
  <c r="D3032" i="5"/>
  <c r="D3031" i="5"/>
  <c r="D3030" i="5"/>
  <c r="D3029" i="5"/>
  <c r="D3028" i="5"/>
  <c r="D3027" i="5"/>
  <c r="D3026" i="5"/>
  <c r="D3025" i="5"/>
  <c r="D3024" i="5"/>
  <c r="D3023" i="5"/>
  <c r="D3022" i="5"/>
  <c r="D3021" i="5"/>
  <c r="D3020" i="5"/>
  <c r="D3019" i="5"/>
  <c r="D3018" i="5"/>
  <c r="D3017" i="5"/>
  <c r="D3016" i="5"/>
  <c r="D3015" i="5"/>
  <c r="D3014" i="5"/>
  <c r="D3013" i="5"/>
  <c r="D3012" i="5"/>
  <c r="D3011" i="5"/>
  <c r="D3010" i="5"/>
  <c r="D3009" i="5"/>
  <c r="D3008" i="5"/>
  <c r="D3007" i="5"/>
  <c r="D3006" i="5"/>
  <c r="D3005" i="5"/>
  <c r="D3004" i="5"/>
  <c r="D3003" i="5"/>
  <c r="D3002" i="5"/>
  <c r="D3001" i="5"/>
  <c r="D121" i="5"/>
  <c r="D120" i="5"/>
  <c r="B120" i="5"/>
  <c r="D119" i="5"/>
  <c r="F118" i="5"/>
  <c r="F2249" i="6" s="1"/>
  <c r="E118" i="5"/>
  <c r="D118" i="5"/>
  <c r="D117" i="5"/>
  <c r="A116" i="5"/>
  <c r="A117" i="5" s="1"/>
  <c r="A118" i="5" s="1"/>
  <c r="A119" i="5" s="1"/>
  <c r="A120" i="5" s="1"/>
  <c r="D114" i="5"/>
  <c r="E2258" i="6"/>
  <c r="E2216" i="6"/>
  <c r="E2214" i="6"/>
  <c r="E2208" i="6"/>
  <c r="E1556" i="6"/>
  <c r="F108" i="5"/>
  <c r="E1554" i="6" s="1"/>
  <c r="F107" i="5"/>
  <c r="E1542" i="6" s="1"/>
  <c r="F78" i="14" s="1"/>
  <c r="F106" i="5"/>
  <c r="E1540" i="6" s="1"/>
  <c r="F76" i="14" s="1"/>
  <c r="E1300" i="6"/>
  <c r="E1296" i="6"/>
  <c r="F85" i="5"/>
  <c r="E1250" i="6" s="1"/>
  <c r="E1210" i="6"/>
  <c r="E1209" i="6"/>
  <c r="E1208" i="6"/>
  <c r="E1207" i="6"/>
  <c r="E1204" i="6"/>
  <c r="E1201" i="6"/>
  <c r="E1200" i="6"/>
  <c r="F83" i="5"/>
  <c r="E1159" i="6" s="1"/>
  <c r="F82" i="5"/>
  <c r="E1157" i="6" s="1"/>
  <c r="E1069" i="6"/>
  <c r="E1071" i="6"/>
  <c r="E1064" i="6"/>
  <c r="E1038" i="6"/>
  <c r="E915" i="6"/>
  <c r="E914" i="6"/>
  <c r="E862" i="6"/>
  <c r="E860" i="6"/>
  <c r="E858" i="6"/>
  <c r="E913" i="6"/>
  <c r="E840" i="6"/>
  <c r="E838" i="6"/>
  <c r="E829" i="6"/>
  <c r="E815" i="6"/>
  <c r="E792" i="6"/>
  <c r="E791" i="6"/>
  <c r="E772" i="6"/>
  <c r="E767" i="6"/>
  <c r="E749" i="6"/>
  <c r="E746" i="6"/>
  <c r="F50" i="5"/>
  <c r="E743" i="6" s="1"/>
  <c r="F49" i="5"/>
  <c r="E722" i="6" s="1"/>
  <c r="E611" i="6"/>
  <c r="E604" i="6"/>
  <c r="F29" i="5"/>
  <c r="E123" i="6" s="1"/>
  <c r="F31" i="13" s="1"/>
  <c r="F28" i="5"/>
  <c r="E117" i="6" s="1"/>
  <c r="F41" i="12" s="1"/>
  <c r="E115" i="6"/>
  <c r="E114" i="6"/>
  <c r="E113" i="6"/>
  <c r="E112" i="6"/>
  <c r="E111" i="6"/>
  <c r="E110" i="6"/>
  <c r="F39" i="12" s="1"/>
  <c r="F26" i="5"/>
  <c r="E108" i="6" s="1"/>
  <c r="F25" i="5"/>
  <c r="E106" i="6" s="1"/>
  <c r="F37" i="12" s="1"/>
  <c r="E105" i="6"/>
  <c r="F36" i="12" s="1"/>
  <c r="H158" i="4"/>
  <c r="G158" i="4"/>
  <c r="F158" i="4"/>
  <c r="D158" i="4"/>
  <c r="A158" i="4"/>
  <c r="F157" i="4"/>
  <c r="C157" i="4"/>
  <c r="C158" i="4" s="1"/>
  <c r="F155" i="4"/>
  <c r="D155" i="4"/>
  <c r="A155" i="4"/>
  <c r="F154" i="4"/>
  <c r="C154" i="4"/>
  <c r="C155" i="4" s="1"/>
  <c r="F152" i="4"/>
  <c r="A152" i="4"/>
  <c r="F151" i="4"/>
  <c r="F149" i="4"/>
  <c r="F148" i="4"/>
  <c r="A148" i="4"/>
  <c r="A149" i="4" s="1"/>
  <c r="F147" i="4"/>
  <c r="G145" i="4"/>
  <c r="F145" i="4"/>
  <c r="D145" i="4"/>
  <c r="A145" i="4"/>
  <c r="F144" i="4"/>
  <c r="C144" i="4"/>
  <c r="C145" i="4" s="1"/>
  <c r="F143" i="4"/>
  <c r="F142" i="4"/>
  <c r="F141" i="4"/>
  <c r="F140" i="4"/>
  <c r="F139" i="4"/>
  <c r="F138" i="4"/>
  <c r="G137" i="4"/>
  <c r="G138" i="4" s="1"/>
  <c r="G139" i="4" s="1"/>
  <c r="G140" i="4" s="1"/>
  <c r="G141" i="4" s="1"/>
  <c r="G142" i="4" s="1"/>
  <c r="F137" i="4"/>
  <c r="G136" i="4"/>
  <c r="F136" i="4"/>
  <c r="D136" i="4"/>
  <c r="D137" i="4" s="1"/>
  <c r="D138" i="4" s="1"/>
  <c r="D139" i="4" s="1"/>
  <c r="D140" i="4" s="1"/>
  <c r="C136" i="4"/>
  <c r="C137" i="4" s="1"/>
  <c r="C138" i="4" s="1"/>
  <c r="C139" i="4" s="1"/>
  <c r="C140" i="4" s="1"/>
  <c r="A136" i="4"/>
  <c r="A137" i="4" s="1"/>
  <c r="A138" i="4" s="1"/>
  <c r="A139" i="4" s="1"/>
  <c r="A140" i="4" s="1"/>
  <c r="A141" i="4" s="1"/>
  <c r="A142" i="4" s="1"/>
  <c r="F135" i="4"/>
  <c r="C135" i="4"/>
  <c r="F134" i="4"/>
  <c r="H133" i="4"/>
  <c r="G133" i="4"/>
  <c r="F133" i="4"/>
  <c r="D133" i="4"/>
  <c r="A133" i="4"/>
  <c r="F132" i="4"/>
  <c r="C132" i="4"/>
  <c r="C133" i="4" s="1"/>
  <c r="H130" i="4"/>
  <c r="G130" i="4"/>
  <c r="F130" i="4"/>
  <c r="D130" i="4"/>
  <c r="A130" i="4"/>
  <c r="F129" i="4"/>
  <c r="C129" i="4"/>
  <c r="F128" i="4"/>
  <c r="F127" i="4"/>
  <c r="F126" i="4"/>
  <c r="H125" i="4"/>
  <c r="F125" i="4"/>
  <c r="I124" i="4"/>
  <c r="F124" i="4"/>
  <c r="F123" i="4"/>
  <c r="D123" i="4"/>
  <c r="D124" i="4" s="1"/>
  <c r="D125" i="4" s="1"/>
  <c r="D126" i="4" s="1"/>
  <c r="D127" i="4" s="1"/>
  <c r="A123" i="4"/>
  <c r="A124" i="4" s="1"/>
  <c r="A125" i="4" s="1"/>
  <c r="A126" i="4" s="1"/>
  <c r="A127" i="4" s="1"/>
  <c r="F122" i="4"/>
  <c r="C122" i="4"/>
  <c r="C123" i="4" s="1"/>
  <c r="C124" i="4" s="1"/>
  <c r="C125" i="4" s="1"/>
  <c r="C126" i="4" s="1"/>
  <c r="C127" i="4" s="1"/>
  <c r="F120" i="4"/>
  <c r="F119" i="4"/>
  <c r="F118" i="4"/>
  <c r="D118" i="4"/>
  <c r="D119" i="4" s="1"/>
  <c r="D120" i="4" s="1"/>
  <c r="A118" i="4"/>
  <c r="A119" i="4" s="1"/>
  <c r="A120" i="4" s="1"/>
  <c r="F117" i="4"/>
  <c r="C117" i="4"/>
  <c r="C118" i="4" s="1"/>
  <c r="C119" i="4" s="1"/>
  <c r="C120" i="4" s="1"/>
  <c r="F115" i="4"/>
  <c r="D115" i="4"/>
  <c r="A115" i="4"/>
  <c r="H114" i="4"/>
  <c r="F114" i="4"/>
  <c r="C114" i="4"/>
  <c r="C115" i="4" s="1"/>
  <c r="H112" i="4"/>
  <c r="F112" i="4"/>
  <c r="D112" i="4"/>
  <c r="A112" i="4"/>
  <c r="F111" i="4"/>
  <c r="C111" i="4"/>
  <c r="C112" i="4" s="1"/>
  <c r="H109" i="4"/>
  <c r="F109" i="4"/>
  <c r="D109" i="4"/>
  <c r="A109" i="4"/>
  <c r="F108" i="4"/>
  <c r="C108" i="4"/>
  <c r="C109" i="4" s="1"/>
  <c r="F106" i="4"/>
  <c r="A106" i="4"/>
  <c r="H105" i="4"/>
  <c r="F105" i="4"/>
  <c r="H103" i="4"/>
  <c r="F103" i="4"/>
  <c r="D103" i="4"/>
  <c r="A103" i="4"/>
  <c r="F102" i="4"/>
  <c r="C102" i="4"/>
  <c r="C103" i="4" s="1"/>
  <c r="H100" i="4"/>
  <c r="F100" i="4"/>
  <c r="A100" i="4"/>
  <c r="F99" i="4"/>
  <c r="C99" i="4"/>
  <c r="C105" i="4" s="1"/>
  <c r="C106" i="4" s="1"/>
  <c r="H97" i="4"/>
  <c r="F97" i="4"/>
  <c r="A97" i="4"/>
  <c r="F96" i="4"/>
  <c r="C96" i="4"/>
  <c r="C97" i="4" s="1"/>
  <c r="H94" i="4"/>
  <c r="F94" i="4"/>
  <c r="C94" i="4"/>
  <c r="A94" i="4"/>
  <c r="F93" i="4"/>
  <c r="C93" i="4"/>
  <c r="H91" i="4"/>
  <c r="F91" i="4"/>
  <c r="A91" i="4"/>
  <c r="F90" i="4"/>
  <c r="C90" i="4"/>
  <c r="C91" i="4" s="1"/>
  <c r="F89" i="4"/>
  <c r="F88" i="4"/>
  <c r="A88" i="4"/>
  <c r="F87" i="4"/>
  <c r="F86" i="4"/>
  <c r="I85" i="4"/>
  <c r="F85" i="4"/>
  <c r="D85" i="4"/>
  <c r="A85" i="4"/>
  <c r="F84" i="4"/>
  <c r="C84" i="4"/>
  <c r="C85" i="4" s="1"/>
  <c r="F82" i="4"/>
  <c r="F81" i="4"/>
  <c r="D81" i="4"/>
  <c r="A81" i="4"/>
  <c r="A82" i="4" s="1"/>
  <c r="I80" i="4"/>
  <c r="F80" i="4"/>
  <c r="C80" i="4"/>
  <c r="C81" i="4" s="1"/>
  <c r="C82" i="4" s="1"/>
  <c r="F78" i="4"/>
  <c r="D78" i="4"/>
  <c r="A78" i="4"/>
  <c r="F77" i="4"/>
  <c r="C77" i="4"/>
  <c r="C78" i="4" s="1"/>
  <c r="F76" i="4"/>
  <c r="F75" i="4"/>
  <c r="G74" i="4"/>
  <c r="G75" i="4" s="1"/>
  <c r="F74" i="4"/>
  <c r="G73" i="4"/>
  <c r="F73" i="4"/>
  <c r="D73" i="4"/>
  <c r="D74" i="4" s="1"/>
  <c r="D75" i="4" s="1"/>
  <c r="C73" i="4"/>
  <c r="C74" i="4" s="1"/>
  <c r="C75" i="4" s="1"/>
  <c r="A73" i="4"/>
  <c r="A74" i="4" s="1"/>
  <c r="A75" i="4" s="1"/>
  <c r="F72" i="4"/>
  <c r="C72" i="4"/>
  <c r="F71" i="4"/>
  <c r="H70" i="4"/>
  <c r="G70" i="4"/>
  <c r="F70" i="4"/>
  <c r="D70" i="4"/>
  <c r="A70" i="4"/>
  <c r="F69" i="4"/>
  <c r="C69" i="4"/>
  <c r="C70" i="4" s="1"/>
  <c r="G67" i="4"/>
  <c r="F67" i="4"/>
  <c r="C67" i="4"/>
  <c r="A67" i="4"/>
  <c r="I66" i="4"/>
  <c r="F66" i="4"/>
  <c r="F65" i="4"/>
  <c r="H64" i="4"/>
  <c r="F64" i="4"/>
  <c r="F63" i="4"/>
  <c r="D63" i="4"/>
  <c r="D64" i="4" s="1"/>
  <c r="G62" i="4"/>
  <c r="G63" i="4" s="1"/>
  <c r="G64" i="4" s="1"/>
  <c r="F62" i="4"/>
  <c r="A62" i="4"/>
  <c r="A63" i="4" s="1"/>
  <c r="A64" i="4" s="1"/>
  <c r="I61" i="4"/>
  <c r="F61" i="4"/>
  <c r="C61" i="4"/>
  <c r="C62" i="4" s="1"/>
  <c r="C63" i="4" s="1"/>
  <c r="C64" i="4" s="1"/>
  <c r="H59" i="4"/>
  <c r="I56" i="4" s="1"/>
  <c r="F59" i="4"/>
  <c r="G58" i="4"/>
  <c r="G59" i="4" s="1"/>
  <c r="F58" i="4"/>
  <c r="D58" i="4"/>
  <c r="D59" i="4" s="1"/>
  <c r="G57" i="4"/>
  <c r="F57" i="4"/>
  <c r="A57" i="4"/>
  <c r="A58" i="4" s="1"/>
  <c r="A59" i="4" s="1"/>
  <c r="F56" i="4"/>
  <c r="C56" i="4"/>
  <c r="C57" i="4" s="1"/>
  <c r="C58" i="4" s="1"/>
  <c r="F55" i="4"/>
  <c r="F54" i="4"/>
  <c r="D54" i="4"/>
  <c r="I53" i="4"/>
  <c r="H54" i="4" s="1"/>
  <c r="F53" i="4"/>
  <c r="D53" i="4"/>
  <c r="A53" i="4"/>
  <c r="A54" i="4" s="1"/>
  <c r="H52" i="4"/>
  <c r="G52" i="4"/>
  <c r="G53" i="4" s="1"/>
  <c r="G54" i="4" s="1"/>
  <c r="F52" i="4"/>
  <c r="A52" i="4"/>
  <c r="F51" i="4"/>
  <c r="C51" i="4"/>
  <c r="C52" i="4" s="1"/>
  <c r="C53" i="4" s="1"/>
  <c r="C54" i="4" s="1"/>
  <c r="C66" i="4" s="1"/>
  <c r="F50" i="4"/>
  <c r="F49" i="4"/>
  <c r="F48" i="4"/>
  <c r="G47" i="4"/>
  <c r="G48" i="4" s="1"/>
  <c r="G49" i="4" s="1"/>
  <c r="F47" i="4"/>
  <c r="D47" i="4"/>
  <c r="D48" i="4" s="1"/>
  <c r="D49" i="4" s="1"/>
  <c r="C47" i="4"/>
  <c r="C48" i="4" s="1"/>
  <c r="A47" i="4"/>
  <c r="A48" i="4" s="1"/>
  <c r="A49" i="4" s="1"/>
  <c r="I46" i="4"/>
  <c r="F46" i="4"/>
  <c r="C46" i="4"/>
  <c r="F44" i="4"/>
  <c r="F43" i="4"/>
  <c r="F42" i="4"/>
  <c r="D42" i="4"/>
  <c r="D44" i="4" s="1"/>
  <c r="G41" i="4"/>
  <c r="G42" i="4" s="1"/>
  <c r="F41" i="4"/>
  <c r="D41" i="4"/>
  <c r="A41" i="4"/>
  <c r="A42" i="4" s="1"/>
  <c r="I40" i="4"/>
  <c r="F40" i="4"/>
  <c r="C40" i="4"/>
  <c r="C41" i="4" s="1"/>
  <c r="C42" i="4" s="1"/>
  <c r="F39" i="4"/>
  <c r="F38" i="4"/>
  <c r="H37" i="4"/>
  <c r="F37" i="4"/>
  <c r="G36" i="4"/>
  <c r="G37" i="4" s="1"/>
  <c r="G38" i="4" s="1"/>
  <c r="F36" i="4"/>
  <c r="D36" i="4"/>
  <c r="D37" i="4" s="1"/>
  <c r="D38" i="4" s="1"/>
  <c r="A36" i="4"/>
  <c r="A37" i="4" s="1"/>
  <c r="A38" i="4" s="1"/>
  <c r="I35" i="4"/>
  <c r="F35" i="4"/>
  <c r="C35" i="4"/>
  <c r="C36" i="4" s="1"/>
  <c r="C37" i="4" s="1"/>
  <c r="C38" i="4" s="1"/>
  <c r="I33" i="4"/>
  <c r="G33" i="4"/>
  <c r="F33" i="4"/>
  <c r="D33" i="4"/>
  <c r="A33" i="4"/>
  <c r="F32" i="4"/>
  <c r="I30" i="4"/>
  <c r="G30" i="4"/>
  <c r="F30" i="4"/>
  <c r="D30" i="4"/>
  <c r="A30" i="4"/>
  <c r="F29" i="4"/>
  <c r="I27" i="4"/>
  <c r="G27" i="4"/>
  <c r="F27" i="4"/>
  <c r="D27" i="4"/>
  <c r="A27" i="4"/>
  <c r="F26" i="4"/>
  <c r="C26" i="4"/>
  <c r="C27" i="4" s="1"/>
  <c r="H24" i="4"/>
  <c r="G24" i="4"/>
  <c r="F24" i="4"/>
  <c r="A24" i="4"/>
  <c r="F23" i="4"/>
  <c r="C23" i="4"/>
  <c r="C24" i="4" s="1"/>
  <c r="H21" i="4"/>
  <c r="G21" i="4"/>
  <c r="F21" i="4"/>
  <c r="D21" i="4"/>
  <c r="A21" i="4"/>
  <c r="F20" i="4"/>
  <c r="C20" i="4"/>
  <c r="C21" i="4" s="1"/>
  <c r="H18" i="4"/>
  <c r="G18" i="4"/>
  <c r="F18" i="4"/>
  <c r="D18" i="4"/>
  <c r="A18" i="4"/>
  <c r="F17" i="4"/>
  <c r="F16" i="4"/>
  <c r="H15" i="4"/>
  <c r="G15" i="4"/>
  <c r="F15" i="4"/>
  <c r="D15" i="4"/>
  <c r="A15" i="4"/>
  <c r="F14" i="4"/>
  <c r="F13" i="4"/>
  <c r="H12" i="4"/>
  <c r="G12" i="4"/>
  <c r="F12" i="4"/>
  <c r="D12" i="4"/>
  <c r="A12" i="4"/>
  <c r="F11" i="4"/>
  <c r="F10" i="4"/>
  <c r="H9" i="4"/>
  <c r="G9" i="4"/>
  <c r="F9" i="4"/>
  <c r="D9" i="4"/>
  <c r="A9" i="4"/>
  <c r="F8" i="4"/>
  <c r="C8" i="4"/>
  <c r="C9" i="4" s="1"/>
  <c r="I6" i="4"/>
  <c r="G6" i="4"/>
  <c r="F6" i="4"/>
  <c r="D6" i="4"/>
  <c r="A6" i="4"/>
  <c r="F5" i="4"/>
  <c r="C5" i="4"/>
  <c r="C6" i="4" s="1"/>
  <c r="H3" i="4"/>
  <c r="G3" i="4"/>
  <c r="F3" i="4"/>
  <c r="D3" i="4"/>
  <c r="A3" i="4"/>
  <c r="F2" i="4"/>
  <c r="C2" i="4"/>
  <c r="C3" i="4" s="1"/>
  <c r="F190" i="3"/>
  <c r="A190" i="3"/>
  <c r="F189" i="3"/>
  <c r="F188" i="3"/>
  <c r="F187" i="3"/>
  <c r="D187" i="3"/>
  <c r="A187" i="3"/>
  <c r="F186" i="3"/>
  <c r="C186" i="3"/>
  <c r="C187" i="3" s="1"/>
  <c r="F184" i="3"/>
  <c r="A184" i="3"/>
  <c r="F183" i="3"/>
  <c r="F181" i="3"/>
  <c r="H180" i="3"/>
  <c r="F180" i="3"/>
  <c r="A180" i="3"/>
  <c r="A181" i="3" s="1"/>
  <c r="F179" i="3"/>
  <c r="H177" i="3"/>
  <c r="F177" i="3"/>
  <c r="I176" i="3"/>
  <c r="F176" i="3"/>
  <c r="F175" i="3"/>
  <c r="F174" i="3"/>
  <c r="H173" i="3"/>
  <c r="F173" i="3"/>
  <c r="I172" i="3"/>
  <c r="H169" i="3" s="1"/>
  <c r="F172" i="3"/>
  <c r="I171" i="3"/>
  <c r="H171" i="3"/>
  <c r="F171" i="3"/>
  <c r="C171" i="3"/>
  <c r="I170" i="3"/>
  <c r="F170" i="3"/>
  <c r="C170" i="3"/>
  <c r="F169" i="3"/>
  <c r="I168" i="3"/>
  <c r="H168" i="3"/>
  <c r="F168" i="3"/>
  <c r="C168" i="3"/>
  <c r="H167" i="3"/>
  <c r="F167" i="3"/>
  <c r="C167" i="3"/>
  <c r="I166" i="3"/>
  <c r="H166" i="3"/>
  <c r="F166" i="3"/>
  <c r="H165" i="3"/>
  <c r="F165" i="3"/>
  <c r="H164" i="3"/>
  <c r="F164" i="3"/>
  <c r="D164" i="3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A164" i="3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F163" i="3"/>
  <c r="C163" i="3"/>
  <c r="F162" i="3"/>
  <c r="F161" i="3"/>
  <c r="F160" i="3"/>
  <c r="F159" i="3"/>
  <c r="D159" i="3"/>
  <c r="D160" i="3" s="1"/>
  <c r="D161" i="3" s="1"/>
  <c r="C159" i="3"/>
  <c r="C160" i="3" s="1"/>
  <c r="C161" i="3" s="1"/>
  <c r="A159" i="3"/>
  <c r="A160" i="3" s="1"/>
  <c r="A161" i="3" s="1"/>
  <c r="F158" i="3"/>
  <c r="C158" i="3"/>
  <c r="F157" i="3"/>
  <c r="F156" i="3"/>
  <c r="F155" i="3"/>
  <c r="H154" i="3"/>
  <c r="F154" i="3"/>
  <c r="I153" i="3"/>
  <c r="F153" i="3"/>
  <c r="F152" i="3"/>
  <c r="D152" i="3"/>
  <c r="D153" i="3" s="1"/>
  <c r="D154" i="3" s="1"/>
  <c r="D155" i="3" s="1"/>
  <c r="D156" i="3" s="1"/>
  <c r="A152" i="3"/>
  <c r="A153" i="3" s="1"/>
  <c r="A154" i="3" s="1"/>
  <c r="A155" i="3" s="1"/>
  <c r="A156" i="3" s="1"/>
  <c r="F151" i="3"/>
  <c r="C151" i="3"/>
  <c r="C152" i="3" s="1"/>
  <c r="C153" i="3" s="1"/>
  <c r="C154" i="3" s="1"/>
  <c r="C155" i="3" s="1"/>
  <c r="C156" i="3" s="1"/>
  <c r="F149" i="3"/>
  <c r="F148" i="3"/>
  <c r="F147" i="3"/>
  <c r="F146" i="3"/>
  <c r="F145" i="3"/>
  <c r="F144" i="3"/>
  <c r="F143" i="3"/>
  <c r="F142" i="3"/>
  <c r="F141" i="3"/>
  <c r="F140" i="3"/>
  <c r="D140" i="3"/>
  <c r="D141" i="3" s="1"/>
  <c r="D142" i="3" s="1"/>
  <c r="D143" i="3" s="1"/>
  <c r="D144" i="3" s="1"/>
  <c r="D145" i="3" s="1"/>
  <c r="D146" i="3" s="1"/>
  <c r="D147" i="3" s="1"/>
  <c r="D148" i="3" s="1"/>
  <c r="D149" i="3" s="1"/>
  <c r="A140" i="3"/>
  <c r="A141" i="3" s="1"/>
  <c r="A142" i="3" s="1"/>
  <c r="A143" i="3" s="1"/>
  <c r="A144" i="3" s="1"/>
  <c r="A145" i="3" s="1"/>
  <c r="A146" i="3" s="1"/>
  <c r="A147" i="3" s="1"/>
  <c r="A148" i="3" s="1"/>
  <c r="A149" i="3" s="1"/>
  <c r="F139" i="3"/>
  <c r="C139" i="3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H137" i="3"/>
  <c r="F137" i="3"/>
  <c r="I136" i="3"/>
  <c r="F136" i="3"/>
  <c r="I135" i="3"/>
  <c r="H135" i="3"/>
  <c r="F135" i="3"/>
  <c r="F134" i="3"/>
  <c r="F133" i="3"/>
  <c r="H132" i="3"/>
  <c r="F132" i="3"/>
  <c r="I131" i="3"/>
  <c r="F131" i="3"/>
  <c r="F130" i="3"/>
  <c r="D130" i="3"/>
  <c r="D131" i="3" s="1"/>
  <c r="D132" i="3" s="1"/>
  <c r="D133" i="3" s="1"/>
  <c r="D134" i="3" s="1"/>
  <c r="D135" i="3" s="1"/>
  <c r="D136" i="3" s="1"/>
  <c r="D137" i="3" s="1"/>
  <c r="A130" i="3"/>
  <c r="A131" i="3" s="1"/>
  <c r="A132" i="3" s="1"/>
  <c r="A133" i="3" s="1"/>
  <c r="A134" i="3" s="1"/>
  <c r="A135" i="3" s="1"/>
  <c r="A136" i="3" s="1"/>
  <c r="A137" i="3" s="1"/>
  <c r="F129" i="3"/>
  <c r="C129" i="3"/>
  <c r="C130" i="3" s="1"/>
  <c r="C131" i="3" s="1"/>
  <c r="C132" i="3" s="1"/>
  <c r="C133" i="3" s="1"/>
  <c r="C134" i="3" s="1"/>
  <c r="C135" i="3" s="1"/>
  <c r="C136" i="3" s="1"/>
  <c r="C137" i="3" s="1"/>
  <c r="F127" i="3"/>
  <c r="D127" i="3"/>
  <c r="A127" i="3"/>
  <c r="F126" i="3"/>
  <c r="C126" i="3"/>
  <c r="C127" i="3" s="1"/>
  <c r="F124" i="3"/>
  <c r="D124" i="3"/>
  <c r="A124" i="3"/>
  <c r="F123" i="3"/>
  <c r="C123" i="3"/>
  <c r="C124" i="3" s="1"/>
  <c r="F121" i="3"/>
  <c r="D121" i="3"/>
  <c r="C121" i="3"/>
  <c r="A121" i="3"/>
  <c r="F120" i="3"/>
  <c r="C120" i="3"/>
  <c r="F118" i="3"/>
  <c r="F117" i="3"/>
  <c r="D117" i="3"/>
  <c r="D118" i="3" s="1"/>
  <c r="A117" i="3"/>
  <c r="A118" i="3" s="1"/>
  <c r="F116" i="3"/>
  <c r="C116" i="3"/>
  <c r="C117" i="3" s="1"/>
  <c r="C118" i="3" s="1"/>
  <c r="F114" i="3"/>
  <c r="D114" i="3"/>
  <c r="A114" i="3"/>
  <c r="F113" i="3"/>
  <c r="C113" i="3"/>
  <c r="C114" i="3" s="1"/>
  <c r="F111" i="3"/>
  <c r="D111" i="3"/>
  <c r="A111" i="3"/>
  <c r="F110" i="3"/>
  <c r="C110" i="3"/>
  <c r="C111" i="3" s="1"/>
  <c r="F108" i="3"/>
  <c r="D108" i="3"/>
  <c r="A108" i="3"/>
  <c r="F107" i="3"/>
  <c r="C107" i="3"/>
  <c r="C108" i="3" s="1"/>
  <c r="F105" i="3"/>
  <c r="D105" i="3"/>
  <c r="A105" i="3"/>
  <c r="F104" i="3"/>
  <c r="C104" i="3"/>
  <c r="C105" i="3" s="1"/>
  <c r="F102" i="3"/>
  <c r="D102" i="3"/>
  <c r="C102" i="3"/>
  <c r="A102" i="3"/>
  <c r="F101" i="3"/>
  <c r="C101" i="3"/>
  <c r="F99" i="3"/>
  <c r="A99" i="3"/>
  <c r="F98" i="3"/>
  <c r="C98" i="3"/>
  <c r="C99" i="3" s="1"/>
  <c r="F96" i="3"/>
  <c r="A96" i="3"/>
  <c r="F95" i="3"/>
  <c r="C95" i="3"/>
  <c r="C96" i="3" s="1"/>
  <c r="F93" i="3"/>
  <c r="A93" i="3"/>
  <c r="F92" i="3"/>
  <c r="C92" i="3"/>
  <c r="C93" i="3" s="1"/>
  <c r="F90" i="3"/>
  <c r="A90" i="3"/>
  <c r="F89" i="3"/>
  <c r="C89" i="3"/>
  <c r="C90" i="3" s="1"/>
  <c r="F88" i="3"/>
  <c r="F84" i="3"/>
  <c r="D84" i="3"/>
  <c r="C84" i="3"/>
  <c r="A84" i="3"/>
  <c r="F83" i="3"/>
  <c r="C83" i="3"/>
  <c r="F81" i="3"/>
  <c r="F80" i="3"/>
  <c r="D80" i="3"/>
  <c r="C80" i="3"/>
  <c r="C81" i="3" s="1"/>
  <c r="A80" i="3"/>
  <c r="A81" i="3" s="1"/>
  <c r="F79" i="3"/>
  <c r="C79" i="3"/>
  <c r="F77" i="3"/>
  <c r="D77" i="3"/>
  <c r="A77" i="3"/>
  <c r="F76" i="3"/>
  <c r="C76" i="3"/>
  <c r="C77" i="3" s="1"/>
  <c r="F75" i="3"/>
  <c r="F74" i="3"/>
  <c r="D74" i="3"/>
  <c r="A74" i="3"/>
  <c r="F73" i="3"/>
  <c r="C73" i="3"/>
  <c r="C74" i="3" s="1"/>
  <c r="F72" i="3"/>
  <c r="F71" i="3"/>
  <c r="C71" i="3"/>
  <c r="A71" i="3"/>
  <c r="F70" i="3"/>
  <c r="C70" i="3"/>
  <c r="F69" i="3"/>
  <c r="F68" i="3"/>
  <c r="A68" i="3"/>
  <c r="F67" i="3"/>
  <c r="C67" i="3"/>
  <c r="C68" i="3" s="1"/>
  <c r="F66" i="3"/>
  <c r="F65" i="3"/>
  <c r="A65" i="3"/>
  <c r="F64" i="3"/>
  <c r="C64" i="3"/>
  <c r="C65" i="3" s="1"/>
  <c r="F63" i="3"/>
  <c r="F62" i="3"/>
  <c r="A62" i="3"/>
  <c r="F61" i="3"/>
  <c r="C61" i="3"/>
  <c r="C62" i="3" s="1"/>
  <c r="H59" i="3"/>
  <c r="F59" i="3"/>
  <c r="C59" i="3"/>
  <c r="A59" i="3"/>
  <c r="F58" i="3"/>
  <c r="C58" i="3"/>
  <c r="F57" i="3"/>
  <c r="F56" i="3"/>
  <c r="A56" i="3"/>
  <c r="F55" i="3"/>
  <c r="C55" i="3"/>
  <c r="C56" i="3" s="1"/>
  <c r="F54" i="3"/>
  <c r="F53" i="3"/>
  <c r="A53" i="3"/>
  <c r="F52" i="3"/>
  <c r="C52" i="3"/>
  <c r="C53" i="3" s="1"/>
  <c r="F50" i="3"/>
  <c r="C50" i="3"/>
  <c r="A50" i="3"/>
  <c r="F49" i="3"/>
  <c r="C49" i="3"/>
  <c r="F48" i="3"/>
  <c r="F47" i="3"/>
  <c r="A47" i="3"/>
  <c r="F46" i="3"/>
  <c r="C46" i="3"/>
  <c r="C47" i="3" s="1"/>
  <c r="F45" i="3"/>
  <c r="F44" i="3"/>
  <c r="A44" i="3"/>
  <c r="F43" i="3"/>
  <c r="C43" i="3"/>
  <c r="C44" i="3" s="1"/>
  <c r="F41" i="3"/>
  <c r="A41" i="3"/>
  <c r="F40" i="3"/>
  <c r="C40" i="3"/>
  <c r="C41" i="3" s="1"/>
  <c r="F38" i="3"/>
  <c r="A38" i="3"/>
  <c r="F37" i="3"/>
  <c r="C37" i="3"/>
  <c r="C38" i="3" s="1"/>
  <c r="F35" i="3"/>
  <c r="C35" i="3"/>
  <c r="C169" i="3" s="1"/>
  <c r="A35" i="3"/>
  <c r="F34" i="3"/>
  <c r="C34" i="3"/>
  <c r="F33" i="3"/>
  <c r="F32" i="3"/>
  <c r="F31" i="3"/>
  <c r="F30" i="3"/>
  <c r="C30" i="3"/>
  <c r="C31" i="3" s="1"/>
  <c r="C32" i="3" s="1"/>
  <c r="C166" i="3" s="1"/>
  <c r="A30" i="3"/>
  <c r="A31" i="3" s="1"/>
  <c r="A32" i="3" s="1"/>
  <c r="F29" i="3"/>
  <c r="C29" i="3"/>
  <c r="F28" i="3"/>
  <c r="F27" i="3"/>
  <c r="F26" i="3"/>
  <c r="C26" i="3"/>
  <c r="C27" i="3" s="1"/>
  <c r="A26" i="3"/>
  <c r="A27" i="3" s="1"/>
  <c r="F25" i="3"/>
  <c r="C25" i="3"/>
  <c r="F24" i="3"/>
  <c r="F23" i="3"/>
  <c r="D23" i="3"/>
  <c r="F22" i="3"/>
  <c r="A22" i="3"/>
  <c r="A23" i="3" s="1"/>
  <c r="F21" i="3"/>
  <c r="C21" i="3"/>
  <c r="C22" i="3" s="1"/>
  <c r="F19" i="3"/>
  <c r="D19" i="3"/>
  <c r="F18" i="3"/>
  <c r="C18" i="3"/>
  <c r="C19" i="3" s="1"/>
  <c r="A18" i="3"/>
  <c r="A19" i="3" s="1"/>
  <c r="F17" i="3"/>
  <c r="C17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D3" i="3"/>
  <c r="D4" i="3" s="1"/>
  <c r="D6" i="3" s="1"/>
  <c r="D8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F2" i="3"/>
  <c r="C2" i="3"/>
  <c r="C3" i="3" s="1"/>
  <c r="B4" i="8"/>
  <c r="A28" i="1"/>
  <c r="G2013" i="6" l="1"/>
  <c r="F2013" i="6"/>
  <c r="E2013" i="6"/>
  <c r="H604" i="6"/>
  <c r="I604" i="6" s="1"/>
  <c r="A604" i="6" s="1"/>
  <c r="H175" i="3"/>
  <c r="I174" i="3"/>
  <c r="H1" i="3"/>
  <c r="C100" i="4"/>
  <c r="C164" i="3"/>
  <c r="I1" i="3"/>
  <c r="H1" i="4"/>
  <c r="I1" i="4"/>
  <c r="G18" i="16"/>
  <c r="G48" i="16"/>
  <c r="G50" i="16" s="1"/>
  <c r="H57" i="6"/>
  <c r="I57" i="6" s="1"/>
  <c r="A57" i="6" s="1"/>
  <c r="H455" i="6"/>
  <c r="I455" i="6" s="1"/>
  <c r="A455" i="6" s="1"/>
  <c r="F1819" i="6"/>
  <c r="H112" i="6"/>
  <c r="I112" i="6" s="1"/>
  <c r="A112" i="6" s="1"/>
  <c r="H428" i="6"/>
  <c r="I428" i="6" s="1"/>
  <c r="A428" i="6" s="1"/>
  <c r="H495" i="6"/>
  <c r="I495" i="6" s="1"/>
  <c r="A495" i="6" s="1"/>
  <c r="P41" i="12"/>
  <c r="E1295" i="6"/>
  <c r="E1294" i="6" s="1"/>
  <c r="H975" i="6"/>
  <c r="I975" i="6" s="1"/>
  <c r="A975" i="6" s="1"/>
  <c r="G1070" i="6"/>
  <c r="B4" i="7"/>
  <c r="H1319" i="6"/>
  <c r="I1319" i="6" s="1"/>
  <c r="A1319" i="6" s="1"/>
  <c r="H1038" i="6"/>
  <c r="I1038" i="6" s="1"/>
  <c r="A1038" i="6" s="1"/>
  <c r="H1300" i="6"/>
  <c r="I1300" i="6" s="1"/>
  <c r="A1300" i="6" s="1"/>
  <c r="H1478" i="6"/>
  <c r="I1478" i="6" s="1"/>
  <c r="A1478" i="6" s="1"/>
  <c r="H1483" i="6"/>
  <c r="I1483" i="6" s="1"/>
  <c r="A1483" i="6" s="1"/>
  <c r="H423" i="6"/>
  <c r="I423" i="6" s="1"/>
  <c r="A423" i="6" s="1"/>
  <c r="E1949" i="6"/>
  <c r="G1063" i="6"/>
  <c r="E109" i="6"/>
  <c r="F109" i="6"/>
  <c r="L39" i="12" s="1"/>
  <c r="P39" i="12" s="1"/>
  <c r="F35" i="12"/>
  <c r="H35" i="12"/>
  <c r="H42" i="12" s="1"/>
  <c r="G109" i="6"/>
  <c r="G103" i="6" s="1"/>
  <c r="F1949" i="6"/>
  <c r="F1946" i="6" s="1"/>
  <c r="G1949" i="6"/>
  <c r="G1946" i="6" s="1"/>
  <c r="E1398" i="6"/>
  <c r="F1398" i="6"/>
  <c r="G1398" i="6"/>
  <c r="E1186" i="6"/>
  <c r="F1186" i="6"/>
  <c r="G1186" i="6"/>
  <c r="G1185" i="6" s="1"/>
  <c r="G1182" i="6" s="1"/>
  <c r="E955" i="6"/>
  <c r="E954" i="6" s="1"/>
  <c r="E953" i="6" s="1"/>
  <c r="F955" i="6"/>
  <c r="G955" i="6"/>
  <c r="G954" i="6" s="1"/>
  <c r="G953" i="6" s="1"/>
  <c r="G2220" i="6"/>
  <c r="G2219" i="6" s="1"/>
  <c r="H2219" i="6" s="1"/>
  <c r="I2219" i="6" s="1"/>
  <c r="A2219" i="6" s="1"/>
  <c r="H454" i="6"/>
  <c r="I454" i="6" s="1"/>
  <c r="A454" i="6" s="1"/>
  <c r="H480" i="6"/>
  <c r="I480" i="6" s="1"/>
  <c r="A480" i="6" s="1"/>
  <c r="H1208" i="6"/>
  <c r="I1208" i="6" s="1"/>
  <c r="A1208" i="6" s="1"/>
  <c r="E786" i="6"/>
  <c r="E788" i="6"/>
  <c r="H749" i="6"/>
  <c r="I749" i="6" s="1"/>
  <c r="A749" i="6" s="1"/>
  <c r="H772" i="6"/>
  <c r="I772" i="6" s="1"/>
  <c r="A772" i="6" s="1"/>
  <c r="H815" i="6"/>
  <c r="I815" i="6" s="1"/>
  <c r="A815" i="6" s="1"/>
  <c r="H840" i="6"/>
  <c r="I840" i="6" s="1"/>
  <c r="A840" i="6" s="1"/>
  <c r="H862" i="6"/>
  <c r="I862" i="6" s="1"/>
  <c r="A862" i="6" s="1"/>
  <c r="H913" i="6"/>
  <c r="I913" i="6" s="1"/>
  <c r="A913" i="6" s="1"/>
  <c r="H915" i="6"/>
  <c r="I915" i="6" s="1"/>
  <c r="A915" i="6" s="1"/>
  <c r="H1200" i="6"/>
  <c r="I1200" i="6" s="1"/>
  <c r="A1200" i="6" s="1"/>
  <c r="H1290" i="6"/>
  <c r="I1290" i="6" s="1"/>
  <c r="A1290" i="6" s="1"/>
  <c r="H1469" i="6"/>
  <c r="I1469" i="6" s="1"/>
  <c r="A1469" i="6" s="1"/>
  <c r="E727" i="6"/>
  <c r="F1295" i="6"/>
  <c r="F1294" i="6" s="1"/>
  <c r="F1287" i="6"/>
  <c r="F1284" i="6" s="1"/>
  <c r="G1552" i="6"/>
  <c r="H69" i="14" s="1"/>
  <c r="E2061" i="6"/>
  <c r="F2061" i="6"/>
  <c r="G2061" i="6"/>
  <c r="E1935" i="6"/>
  <c r="G1935" i="6"/>
  <c r="F1935" i="6"/>
  <c r="E1879" i="6"/>
  <c r="E1877" i="6" s="1"/>
  <c r="F1879" i="6"/>
  <c r="G1879" i="6"/>
  <c r="G1877" i="6" s="1"/>
  <c r="E1955" i="6"/>
  <c r="E1995" i="6"/>
  <c r="E2033" i="6"/>
  <c r="E2051" i="6"/>
  <c r="E1987" i="6"/>
  <c r="G1995" i="6"/>
  <c r="F2016" i="6"/>
  <c r="G2033" i="6"/>
  <c r="G2051" i="6"/>
  <c r="F1955" i="6"/>
  <c r="G2016" i="6"/>
  <c r="G1955" i="6"/>
  <c r="F1987" i="6"/>
  <c r="F2041" i="6"/>
  <c r="G1987" i="6"/>
  <c r="F1995" i="6"/>
  <c r="F2033" i="6"/>
  <c r="G2041" i="6"/>
  <c r="F2051" i="6"/>
  <c r="H34" i="6"/>
  <c r="I34" i="6" s="1"/>
  <c r="A34" i="6" s="1"/>
  <c r="H40" i="6"/>
  <c r="I40" i="6" s="1"/>
  <c r="A40" i="6" s="1"/>
  <c r="G55" i="6"/>
  <c r="L27" i="12" s="1"/>
  <c r="H411" i="6"/>
  <c r="I411" i="6" s="1"/>
  <c r="A411" i="6" s="1"/>
  <c r="H38" i="6"/>
  <c r="I38" i="6" s="1"/>
  <c r="A38" i="6" s="1"/>
  <c r="H36" i="6"/>
  <c r="I36" i="6" s="1"/>
  <c r="A36" i="6" s="1"/>
  <c r="H746" i="6"/>
  <c r="I746" i="6" s="1"/>
  <c r="A746" i="6" s="1"/>
  <c r="H851" i="6"/>
  <c r="H1064" i="6"/>
  <c r="I1064" i="6" s="1"/>
  <c r="A1064" i="6" s="1"/>
  <c r="H1201" i="6"/>
  <c r="I1201" i="6" s="1"/>
  <c r="A1201" i="6" s="1"/>
  <c r="A1103" i="6"/>
  <c r="H1100" i="6"/>
  <c r="I1100" i="6" s="1"/>
  <c r="E553" i="6"/>
  <c r="G557" i="6"/>
  <c r="G556" i="6" s="1"/>
  <c r="F553" i="6"/>
  <c r="G553" i="6"/>
  <c r="E557" i="6"/>
  <c r="E556" i="6" s="1"/>
  <c r="F557" i="6"/>
  <c r="F556" i="6" s="1"/>
  <c r="H611" i="6"/>
  <c r="I611" i="6" s="1"/>
  <c r="A611" i="6" s="1"/>
  <c r="H113" i="6"/>
  <c r="I113" i="6" s="1"/>
  <c r="A113" i="6" s="1"/>
  <c r="H123" i="6"/>
  <c r="I123" i="6" s="1"/>
  <c r="A123" i="6" s="1"/>
  <c r="E2252" i="6"/>
  <c r="H28" i="6"/>
  <c r="I28" i="6" s="1"/>
  <c r="A28" i="6" s="1"/>
  <c r="H49" i="6"/>
  <c r="I49" i="6" s="1"/>
  <c r="A49" i="6" s="1"/>
  <c r="H67" i="6"/>
  <c r="I67" i="6" s="1"/>
  <c r="A67" i="6" s="1"/>
  <c r="H69" i="6"/>
  <c r="I69" i="6" s="1"/>
  <c r="A69" i="6" s="1"/>
  <c r="H410" i="6"/>
  <c r="I410" i="6" s="1"/>
  <c r="A410" i="6" s="1"/>
  <c r="H827" i="6"/>
  <c r="H838" i="6"/>
  <c r="I838" i="6" s="1"/>
  <c r="A838" i="6" s="1"/>
  <c r="H908" i="6"/>
  <c r="H1039" i="6"/>
  <c r="I1039" i="6" s="1"/>
  <c r="A1039" i="6" s="1"/>
  <c r="H1334" i="6"/>
  <c r="I1334" i="6" s="1"/>
  <c r="A1334" i="6" s="1"/>
  <c r="F66" i="6"/>
  <c r="H20" i="13" s="1"/>
  <c r="H22" i="13" s="1"/>
  <c r="H1317" i="6"/>
  <c r="I1317" i="6" s="1"/>
  <c r="A1317" i="6" s="1"/>
  <c r="G1287" i="6"/>
  <c r="G1284" i="6" s="1"/>
  <c r="H1209" i="6"/>
  <c r="I1209" i="6" s="1"/>
  <c r="A1209" i="6" s="1"/>
  <c r="H1250" i="6"/>
  <c r="I1250" i="6" s="1"/>
  <c r="A1250" i="6" s="1"/>
  <c r="H1288" i="6"/>
  <c r="I1288" i="6" s="1"/>
  <c r="A1288" i="6" s="1"/>
  <c r="H1314" i="6"/>
  <c r="I1314" i="6" s="1"/>
  <c r="A1314" i="6" s="1"/>
  <c r="H1323" i="6"/>
  <c r="I1323" i="6" s="1"/>
  <c r="A1323" i="6" s="1"/>
  <c r="H1371" i="6"/>
  <c r="I1371" i="6" s="1"/>
  <c r="A1371" i="6" s="1"/>
  <c r="H1479" i="6"/>
  <c r="I1479" i="6" s="1"/>
  <c r="A1479" i="6" s="1"/>
  <c r="H1484" i="6"/>
  <c r="I1484" i="6" s="1"/>
  <c r="A1484" i="6" s="1"/>
  <c r="H1526" i="6"/>
  <c r="I1526" i="6" s="1"/>
  <c r="A1526" i="6" s="1"/>
  <c r="H1507" i="6"/>
  <c r="I1507" i="6" s="1"/>
  <c r="A1507" i="6" s="1"/>
  <c r="F1539" i="6"/>
  <c r="F1538" i="6" s="1"/>
  <c r="J66" i="14" s="1"/>
  <c r="A2217" i="6"/>
  <c r="E1218" i="6"/>
  <c r="E1217" i="6" s="1"/>
  <c r="E1214" i="6" s="1"/>
  <c r="E1082" i="6"/>
  <c r="E1081" i="6" s="1"/>
  <c r="E827" i="6"/>
  <c r="E834" i="6"/>
  <c r="E794" i="6"/>
  <c r="E851" i="6"/>
  <c r="E908" i="6"/>
  <c r="E888" i="6"/>
  <c r="E859" i="6"/>
  <c r="E881" i="6"/>
  <c r="E55" i="6"/>
  <c r="F13" i="12" s="1"/>
  <c r="E810" i="6"/>
  <c r="E44" i="6"/>
  <c r="F25" i="12" s="1"/>
  <c r="H658" i="6"/>
  <c r="I658" i="6" s="1"/>
  <c r="A658" i="6" s="1"/>
  <c r="H666" i="6"/>
  <c r="I666" i="6" s="1"/>
  <c r="A666" i="6" s="1"/>
  <c r="H682" i="6"/>
  <c r="I682" i="6" s="1"/>
  <c r="A682" i="6" s="1"/>
  <c r="H753" i="6"/>
  <c r="I753" i="6" s="1"/>
  <c r="A753" i="6" s="1"/>
  <c r="H757" i="6"/>
  <c r="I757" i="6" s="1"/>
  <c r="A757" i="6" s="1"/>
  <c r="H770" i="6"/>
  <c r="I770" i="6" s="1"/>
  <c r="A770" i="6" s="1"/>
  <c r="H930" i="6"/>
  <c r="I930" i="6" s="1"/>
  <c r="A930" i="6" s="1"/>
  <c r="H945" i="6"/>
  <c r="I945" i="6" s="1"/>
  <c r="A945" i="6" s="1"/>
  <c r="H1473" i="6"/>
  <c r="I1473" i="6" s="1"/>
  <c r="A1473" i="6" s="1"/>
  <c r="H1519" i="6"/>
  <c r="H2187" i="6"/>
  <c r="I2187" i="6" s="1"/>
  <c r="A2187" i="6" s="1"/>
  <c r="G532" i="6"/>
  <c r="H923" i="6"/>
  <c r="I923" i="6" s="1"/>
  <c r="A923" i="6" s="1"/>
  <c r="F1735" i="6"/>
  <c r="H1183" i="6"/>
  <c r="I1183" i="6" s="1"/>
  <c r="A1183" i="6" s="1"/>
  <c r="H1283" i="6"/>
  <c r="I1283" i="6" s="1"/>
  <c r="A1283" i="6" s="1"/>
  <c r="H1454" i="6"/>
  <c r="G1459" i="6"/>
  <c r="G1477" i="6"/>
  <c r="H656" i="6"/>
  <c r="I656" i="6" s="1"/>
  <c r="A656" i="6" s="1"/>
  <c r="H830" i="6"/>
  <c r="I830" i="6" s="1"/>
  <c r="A830" i="6" s="1"/>
  <c r="H852" i="6"/>
  <c r="I852" i="6" s="1"/>
  <c r="A852" i="6" s="1"/>
  <c r="H856" i="6"/>
  <c r="I856" i="6" s="1"/>
  <c r="A856" i="6" s="1"/>
  <c r="H872" i="6"/>
  <c r="I872" i="6" s="1"/>
  <c r="A872" i="6" s="1"/>
  <c r="H888" i="6"/>
  <c r="H911" i="6"/>
  <c r="I911" i="6" s="1"/>
  <c r="A911" i="6" s="1"/>
  <c r="H916" i="6"/>
  <c r="I916" i="6" s="1"/>
  <c r="A916" i="6" s="1"/>
  <c r="H920" i="6"/>
  <c r="I920" i="6" s="1"/>
  <c r="A920" i="6" s="1"/>
  <c r="H943" i="6"/>
  <c r="I943" i="6" s="1"/>
  <c r="A943" i="6" s="1"/>
  <c r="H1034" i="6"/>
  <c r="I1034" i="6" s="1"/>
  <c r="A1034" i="6" s="1"/>
  <c r="H1041" i="6"/>
  <c r="I1041" i="6" s="1"/>
  <c r="A1041" i="6" s="1"/>
  <c r="H1053" i="6"/>
  <c r="I1053" i="6" s="1"/>
  <c r="A1053" i="6" s="1"/>
  <c r="H1144" i="6"/>
  <c r="I1144" i="6" s="1"/>
  <c r="A1144" i="6" s="1"/>
  <c r="H1810" i="6"/>
  <c r="I1810" i="6" s="1"/>
  <c r="A1810" i="6" s="1"/>
  <c r="H1863" i="6"/>
  <c r="I1863" i="6" s="1"/>
  <c r="A1863" i="6" s="1"/>
  <c r="H1976" i="6"/>
  <c r="I1976" i="6" s="1"/>
  <c r="A1976" i="6" s="1"/>
  <c r="H1984" i="6"/>
  <c r="I1984" i="6" s="1"/>
  <c r="A1984" i="6" s="1"/>
  <c r="H1993" i="6"/>
  <c r="I1993" i="6" s="1"/>
  <c r="A1993" i="6" s="1"/>
  <c r="H2009" i="6"/>
  <c r="I2009" i="6" s="1"/>
  <c r="A2009" i="6" s="1"/>
  <c r="H2036" i="6"/>
  <c r="I2036" i="6" s="1"/>
  <c r="A2036" i="6" s="1"/>
  <c r="H2058" i="6"/>
  <c r="I2058" i="6" s="1"/>
  <c r="H2074" i="6"/>
  <c r="I2074" i="6" s="1"/>
  <c r="A2074" i="6" s="1"/>
  <c r="H2112" i="6"/>
  <c r="I2112" i="6" s="1"/>
  <c r="A2112" i="6" s="1"/>
  <c r="H2198" i="6"/>
  <c r="I2198" i="6" s="1"/>
  <c r="A2198" i="6" s="1"/>
  <c r="H2211" i="6"/>
  <c r="I2211" i="6" s="1"/>
  <c r="A2211" i="6" s="1"/>
  <c r="G1497" i="6"/>
  <c r="H1518" i="6"/>
  <c r="I1518" i="6" s="1"/>
  <c r="A1518" i="6" s="1"/>
  <c r="H301" i="6"/>
  <c r="I301" i="6" s="1"/>
  <c r="A301" i="6" s="1"/>
  <c r="H602" i="6"/>
  <c r="I602" i="6" s="1"/>
  <c r="A602" i="6" s="1"/>
  <c r="H607" i="6"/>
  <c r="I607" i="6" s="1"/>
  <c r="A607" i="6" s="1"/>
  <c r="H613" i="6"/>
  <c r="I613" i="6" s="1"/>
  <c r="A613" i="6" s="1"/>
  <c r="H621" i="6"/>
  <c r="I621" i="6" s="1"/>
  <c r="A621" i="6" s="1"/>
  <c r="H629" i="6"/>
  <c r="I629" i="6" s="1"/>
  <c r="A629" i="6" s="1"/>
  <c r="H645" i="6"/>
  <c r="I645" i="6" s="1"/>
  <c r="A645" i="6" s="1"/>
  <c r="H653" i="6"/>
  <c r="I653" i="6" s="1"/>
  <c r="A653" i="6" s="1"/>
  <c r="H1080" i="6"/>
  <c r="I1080" i="6" s="1"/>
  <c r="A1080" i="6" s="1"/>
  <c r="H1363" i="6"/>
  <c r="I1363" i="6" s="1"/>
  <c r="A1363" i="6" s="1"/>
  <c r="H1378" i="6"/>
  <c r="I1378" i="6" s="1"/>
  <c r="A1378" i="6" s="1"/>
  <c r="H1383" i="6"/>
  <c r="I1383" i="6" s="1"/>
  <c r="A1383" i="6" s="1"/>
  <c r="H1387" i="6"/>
  <c r="I1387" i="6" s="1"/>
  <c r="A1387" i="6" s="1"/>
  <c r="H1411" i="6"/>
  <c r="I1411" i="6" s="1"/>
  <c r="A1411" i="6" s="1"/>
  <c r="H1472" i="6"/>
  <c r="I1472" i="6" s="1"/>
  <c r="A1472" i="6" s="1"/>
  <c r="F1561" i="6"/>
  <c r="F1623" i="6"/>
  <c r="H95" i="6"/>
  <c r="I95" i="6" s="1"/>
  <c r="A95" i="6" s="1"/>
  <c r="H101" i="6"/>
  <c r="I101" i="6" s="1"/>
  <c r="A101" i="6" s="1"/>
  <c r="H138" i="6"/>
  <c r="I138" i="6" s="1"/>
  <c r="A138" i="6" s="1"/>
  <c r="H144" i="6"/>
  <c r="I144" i="6" s="1"/>
  <c r="A144" i="6" s="1"/>
  <c r="F151" i="6"/>
  <c r="H160" i="6"/>
  <c r="I160" i="6" s="1"/>
  <c r="A160" i="6" s="1"/>
  <c r="G196" i="6"/>
  <c r="G227" i="6"/>
  <c r="H253" i="6"/>
  <c r="I253" i="6" s="1"/>
  <c r="A253" i="6" s="1"/>
  <c r="H259" i="6"/>
  <c r="I259" i="6" s="1"/>
  <c r="A259" i="6" s="1"/>
  <c r="H273" i="6"/>
  <c r="I273" i="6" s="1"/>
  <c r="A273" i="6" s="1"/>
  <c r="H287" i="6"/>
  <c r="I287" i="6" s="1"/>
  <c r="A287" i="6" s="1"/>
  <c r="H426" i="6"/>
  <c r="I426" i="6" s="1"/>
  <c r="A426" i="6" s="1"/>
  <c r="H432" i="6"/>
  <c r="I432" i="6" s="1"/>
  <c r="A432" i="6" s="1"/>
  <c r="H441" i="6"/>
  <c r="I441" i="6" s="1"/>
  <c r="A441" i="6" s="1"/>
  <c r="H445" i="6"/>
  <c r="I445" i="6" s="1"/>
  <c r="A445" i="6" s="1"/>
  <c r="H449" i="6"/>
  <c r="I449" i="6" s="1"/>
  <c r="A449" i="6" s="1"/>
  <c r="H486" i="6"/>
  <c r="I486" i="6" s="1"/>
  <c r="A486" i="6" s="1"/>
  <c r="F1531" i="6"/>
  <c r="F1530" i="6" s="1"/>
  <c r="F1874" i="6"/>
  <c r="F1871" i="6" s="1"/>
  <c r="G1979" i="6"/>
  <c r="H81" i="6"/>
  <c r="I81" i="6" s="1"/>
  <c r="A81" i="6" s="1"/>
  <c r="H93" i="6"/>
  <c r="I93" i="6" s="1"/>
  <c r="A93" i="6" s="1"/>
  <c r="H122" i="6"/>
  <c r="I122" i="6" s="1"/>
  <c r="A122" i="6" s="1"/>
  <c r="H131" i="6"/>
  <c r="I131" i="6" s="1"/>
  <c r="A131" i="6" s="1"/>
  <c r="H142" i="6"/>
  <c r="I142" i="6" s="1"/>
  <c r="A142" i="6" s="1"/>
  <c r="H172" i="6"/>
  <c r="I172" i="6" s="1"/>
  <c r="A172" i="6" s="1"/>
  <c r="H187" i="6"/>
  <c r="I187" i="6" s="1"/>
  <c r="A187" i="6" s="1"/>
  <c r="H1529" i="6"/>
  <c r="I1529" i="6" s="1"/>
  <c r="A1529" i="6" s="1"/>
  <c r="H1549" i="6"/>
  <c r="I1549" i="6" s="1"/>
  <c r="A1549" i="6" s="1"/>
  <c r="H1553" i="6"/>
  <c r="I1553" i="6" s="1"/>
  <c r="A1553" i="6" s="1"/>
  <c r="H1559" i="6"/>
  <c r="I1559" i="6" s="1"/>
  <c r="A1559" i="6" s="1"/>
  <c r="H1565" i="6"/>
  <c r="I1565" i="6" s="1"/>
  <c r="A1565" i="6" s="1"/>
  <c r="H1573" i="6"/>
  <c r="I1573" i="6" s="1"/>
  <c r="A1573" i="6" s="1"/>
  <c r="H1620" i="6"/>
  <c r="I1620" i="6" s="1"/>
  <c r="A1620" i="6" s="1"/>
  <c r="H401" i="6"/>
  <c r="I401" i="6" s="1"/>
  <c r="A401" i="6" s="1"/>
  <c r="H421" i="6"/>
  <c r="I421" i="6" s="1"/>
  <c r="A421" i="6" s="1"/>
  <c r="G549" i="6"/>
  <c r="H614" i="6"/>
  <c r="I614" i="6" s="1"/>
  <c r="A614" i="6" s="1"/>
  <c r="F1302" i="6"/>
  <c r="H1416" i="6"/>
  <c r="I1416" i="6" s="1"/>
  <c r="A1416" i="6" s="1"/>
  <c r="H1451" i="6"/>
  <c r="F1504" i="6"/>
  <c r="F1502" i="6" s="1"/>
  <c r="H1511" i="6"/>
  <c r="I1511" i="6" s="1"/>
  <c r="A1511" i="6" s="1"/>
  <c r="H1515" i="6"/>
  <c r="I1515" i="6" s="1"/>
  <c r="A1515" i="6" s="1"/>
  <c r="H1963" i="6"/>
  <c r="I1963" i="6" s="1"/>
  <c r="A1963" i="6" s="1"/>
  <c r="H2052" i="6"/>
  <c r="I2052" i="6" s="1"/>
  <c r="A2052" i="6" s="1"/>
  <c r="H2080" i="6"/>
  <c r="I2080" i="6" s="1"/>
  <c r="F87" i="15" s="1"/>
  <c r="H393" i="6"/>
  <c r="I393" i="6" s="1"/>
  <c r="A393" i="6" s="1"/>
  <c r="H409" i="6"/>
  <c r="I409" i="6" s="1"/>
  <c r="A409" i="6" s="1"/>
  <c r="H414" i="6"/>
  <c r="I414" i="6" s="1"/>
  <c r="A414" i="6" s="1"/>
  <c r="H1346" i="6"/>
  <c r="I1346" i="6" s="1"/>
  <c r="A1346" i="6" s="1"/>
  <c r="H1402" i="6"/>
  <c r="I1402" i="6" s="1"/>
  <c r="A1402" i="6" s="1"/>
  <c r="H1410" i="6"/>
  <c r="I1410" i="6" s="1"/>
  <c r="A1410" i="6" s="1"/>
  <c r="F1427" i="6"/>
  <c r="F1497" i="6"/>
  <c r="F1525" i="6"/>
  <c r="H1595" i="6"/>
  <c r="I1595" i="6" s="1"/>
  <c r="A1595" i="6" s="1"/>
  <c r="H1601" i="6"/>
  <c r="I1601" i="6" s="1"/>
  <c r="A1601" i="6" s="1"/>
  <c r="H1607" i="6"/>
  <c r="I1607" i="6" s="1"/>
  <c r="A1607" i="6" s="1"/>
  <c r="F1617" i="6"/>
  <c r="H1626" i="6"/>
  <c r="I1626" i="6" s="1"/>
  <c r="A1626" i="6" s="1"/>
  <c r="H1727" i="6"/>
  <c r="I1727" i="6" s="1"/>
  <c r="A1727" i="6" s="1"/>
  <c r="H1744" i="6"/>
  <c r="I1744" i="6" s="1"/>
  <c r="A1744" i="6" s="1"/>
  <c r="H1753" i="6"/>
  <c r="I1753" i="6" s="1"/>
  <c r="A1753" i="6" s="1"/>
  <c r="H1795" i="6"/>
  <c r="I1795" i="6" s="1"/>
  <c r="A1795" i="6" s="1"/>
  <c r="F1905" i="6"/>
  <c r="H319" i="6"/>
  <c r="I319" i="6" s="1"/>
  <c r="A319" i="6" s="1"/>
  <c r="H489" i="6"/>
  <c r="I489" i="6" s="1"/>
  <c r="A489" i="6" s="1"/>
  <c r="H508" i="6"/>
  <c r="I508" i="6" s="1"/>
  <c r="A508" i="6" s="1"/>
  <c r="H537" i="6"/>
  <c r="I537" i="6" s="1"/>
  <c r="A537" i="6" s="1"/>
  <c r="H545" i="6"/>
  <c r="I545" i="6" s="1"/>
  <c r="A545" i="6" s="1"/>
  <c r="H551" i="6"/>
  <c r="I551" i="6" s="1"/>
  <c r="A551" i="6" s="1"/>
  <c r="H565" i="6"/>
  <c r="I565" i="6" s="1"/>
  <c r="A565" i="6" s="1"/>
  <c r="H580" i="6"/>
  <c r="I580" i="6" s="1"/>
  <c r="A580" i="6" s="1"/>
  <c r="H590" i="6"/>
  <c r="I590" i="6" s="1"/>
  <c r="A590" i="6" s="1"/>
  <c r="H594" i="6"/>
  <c r="I594" i="6" s="1"/>
  <c r="A594" i="6" s="1"/>
  <c r="H598" i="6"/>
  <c r="I598" i="6" s="1"/>
  <c r="A598" i="6" s="1"/>
  <c r="H609" i="6"/>
  <c r="I609" i="6" s="1"/>
  <c r="A609" i="6" s="1"/>
  <c r="H1345" i="6"/>
  <c r="I1345" i="6" s="1"/>
  <c r="H1566" i="6"/>
  <c r="I1566" i="6" s="1"/>
  <c r="A1566" i="6" s="1"/>
  <c r="H1588" i="6"/>
  <c r="I1588" i="6" s="1"/>
  <c r="A1588" i="6" s="1"/>
  <c r="H1615" i="6"/>
  <c r="I1615" i="6" s="1"/>
  <c r="A1615" i="6" s="1"/>
  <c r="H1630" i="6"/>
  <c r="I1630" i="6" s="1"/>
  <c r="A1630" i="6" s="1"/>
  <c r="H1648" i="6"/>
  <c r="I1648" i="6" s="1"/>
  <c r="A1648" i="6" s="1"/>
  <c r="H1667" i="6"/>
  <c r="I1667" i="6" s="1"/>
  <c r="A1667" i="6" s="1"/>
  <c r="H1673" i="6"/>
  <c r="I1673" i="6" s="1"/>
  <c r="A1673" i="6" s="1"/>
  <c r="H1697" i="6"/>
  <c r="I1697" i="6" s="1"/>
  <c r="A1697" i="6" s="1"/>
  <c r="H1873" i="6"/>
  <c r="I1873" i="6" s="1"/>
  <c r="A1873" i="6" s="1"/>
  <c r="H1895" i="6"/>
  <c r="I1895" i="6" s="1"/>
  <c r="A1895" i="6" s="1"/>
  <c r="H2007" i="6"/>
  <c r="I2007" i="6" s="1"/>
  <c r="A2007" i="6" s="1"/>
  <c r="H27" i="6"/>
  <c r="I27" i="6" s="1"/>
  <c r="A27" i="6" s="1"/>
  <c r="H77" i="6"/>
  <c r="I77" i="6" s="1"/>
  <c r="A77" i="6" s="1"/>
  <c r="G174" i="6"/>
  <c r="G181" i="6"/>
  <c r="F216" i="6"/>
  <c r="H245" i="6"/>
  <c r="I245" i="6" s="1"/>
  <c r="A245" i="6" s="1"/>
  <c r="H251" i="6"/>
  <c r="I251" i="6" s="1"/>
  <c r="A251" i="6" s="1"/>
  <c r="H269" i="6"/>
  <c r="G281" i="6"/>
  <c r="G279" i="6" s="1"/>
  <c r="H433" i="6"/>
  <c r="I433" i="6" s="1"/>
  <c r="A433" i="6" s="1"/>
  <c r="H32" i="6"/>
  <c r="I32" i="6" s="1"/>
  <c r="A32" i="6" s="1"/>
  <c r="H17" i="6"/>
  <c r="I17" i="6" s="1"/>
  <c r="A17" i="6" s="1"/>
  <c r="H43" i="6"/>
  <c r="I43" i="6" s="1"/>
  <c r="A43" i="6" s="1"/>
  <c r="H59" i="6"/>
  <c r="I59" i="6" s="1"/>
  <c r="A59" i="6" s="1"/>
  <c r="H217" i="6"/>
  <c r="I217" i="6" s="1"/>
  <c r="A217" i="6" s="1"/>
  <c r="H222" i="6"/>
  <c r="I222" i="6" s="1"/>
  <c r="A222" i="6" s="1"/>
  <c r="H229" i="6"/>
  <c r="I229" i="6" s="1"/>
  <c r="A229" i="6" s="1"/>
  <c r="H285" i="6"/>
  <c r="I285" i="6" s="1"/>
  <c r="A285" i="6" s="1"/>
  <c r="G311" i="6"/>
  <c r="H316" i="6"/>
  <c r="I316" i="6" s="1"/>
  <c r="A316" i="6" s="1"/>
  <c r="G317" i="6"/>
  <c r="G325" i="6"/>
  <c r="H360" i="6"/>
  <c r="I360" i="6" s="1"/>
  <c r="A360" i="6" s="1"/>
  <c r="H373" i="6"/>
  <c r="I373" i="6" s="1"/>
  <c r="A373" i="6" s="1"/>
  <c r="H397" i="6"/>
  <c r="I397" i="6" s="1"/>
  <c r="A397" i="6" s="1"/>
  <c r="G396" i="6"/>
  <c r="H425" i="6"/>
  <c r="I425" i="6" s="1"/>
  <c r="A425" i="6" s="1"/>
  <c r="H431" i="6"/>
  <c r="I431" i="6" s="1"/>
  <c r="A431" i="6" s="1"/>
  <c r="H435" i="6"/>
  <c r="I435" i="6" s="1"/>
  <c r="A435" i="6" s="1"/>
  <c r="H439" i="6"/>
  <c r="I439" i="6" s="1"/>
  <c r="A439" i="6" s="1"/>
  <c r="G52" i="6"/>
  <c r="L26" i="12" s="1"/>
  <c r="H9" i="6"/>
  <c r="I9" i="6" s="1"/>
  <c r="A9" i="6" s="1"/>
  <c r="H14" i="6"/>
  <c r="I14" i="6" s="1"/>
  <c r="A14" i="6" s="1"/>
  <c r="H19" i="6"/>
  <c r="I19" i="6" s="1"/>
  <c r="A19" i="6" s="1"/>
  <c r="H120" i="6"/>
  <c r="I120" i="6" s="1"/>
  <c r="A120" i="6" s="1"/>
  <c r="G129" i="6"/>
  <c r="H134" i="6"/>
  <c r="I134" i="6" s="1"/>
  <c r="A134" i="6" s="1"/>
  <c r="G143" i="6"/>
  <c r="H205" i="6"/>
  <c r="I205" i="6" s="1"/>
  <c r="A205" i="6" s="1"/>
  <c r="H271" i="6"/>
  <c r="I271" i="6" s="1"/>
  <c r="A271" i="6" s="1"/>
  <c r="H277" i="6"/>
  <c r="I277" i="6" s="1"/>
  <c r="A277" i="6" s="1"/>
  <c r="H283" i="6"/>
  <c r="I283" i="6" s="1"/>
  <c r="A283" i="6" s="1"/>
  <c r="H1373" i="6"/>
  <c r="I1373" i="6" s="1"/>
  <c r="A1373" i="6" s="1"/>
  <c r="H1381" i="6"/>
  <c r="I1381" i="6" s="1"/>
  <c r="A1381" i="6" s="1"/>
  <c r="H1385" i="6"/>
  <c r="I1385" i="6" s="1"/>
  <c r="A1385" i="6" s="1"/>
  <c r="H1389" i="6"/>
  <c r="I1389" i="6" s="1"/>
  <c r="A1389" i="6" s="1"/>
  <c r="H1413" i="6"/>
  <c r="I1413" i="6" s="1"/>
  <c r="A1413" i="6" s="1"/>
  <c r="H1436" i="6"/>
  <c r="I1436" i="6" s="1"/>
  <c r="A1436" i="6" s="1"/>
  <c r="H1450" i="6"/>
  <c r="I1450" i="6" s="1"/>
  <c r="A1450" i="6" s="1"/>
  <c r="H1461" i="6"/>
  <c r="I1461" i="6" s="1"/>
  <c r="A1461" i="6" s="1"/>
  <c r="H1468" i="6"/>
  <c r="I1468" i="6" s="1"/>
  <c r="A1468" i="6" s="1"/>
  <c r="H1487" i="6"/>
  <c r="I1487" i="6" s="1"/>
  <c r="A1487" i="6" s="1"/>
  <c r="H1506" i="6"/>
  <c r="I1506" i="6" s="1"/>
  <c r="A1506" i="6" s="1"/>
  <c r="H1508" i="6"/>
  <c r="I1508" i="6" s="1"/>
  <c r="A1508" i="6" s="1"/>
  <c r="H1512" i="6"/>
  <c r="I1512" i="6" s="1"/>
  <c r="A1512" i="6" s="1"/>
  <c r="H1516" i="6"/>
  <c r="I1516" i="6" s="1"/>
  <c r="A1516" i="6" s="1"/>
  <c r="H1840" i="6"/>
  <c r="I1840" i="6" s="1"/>
  <c r="A1840" i="6" s="1"/>
  <c r="H1968" i="6"/>
  <c r="I1968" i="6" s="1"/>
  <c r="A1968" i="6" s="1"/>
  <c r="G1969" i="6"/>
  <c r="H1973" i="6"/>
  <c r="I1973" i="6" s="1"/>
  <c r="A1973" i="6" s="1"/>
  <c r="H2005" i="6"/>
  <c r="I2005" i="6" s="1"/>
  <c r="A2005" i="6" s="1"/>
  <c r="H2072" i="6"/>
  <c r="I2072" i="6" s="1"/>
  <c r="A2072" i="6" s="1"/>
  <c r="H2077" i="6"/>
  <c r="I2077" i="6" s="1"/>
  <c r="A2077" i="6" s="1"/>
  <c r="H2134" i="6"/>
  <c r="I2134" i="6" s="1"/>
  <c r="A2134" i="6" s="1"/>
  <c r="H2139" i="6"/>
  <c r="I2139" i="6" s="1"/>
  <c r="A2139" i="6" s="1"/>
  <c r="H2144" i="6"/>
  <c r="I2144" i="6" s="1"/>
  <c r="A2144" i="6" s="1"/>
  <c r="H2148" i="6"/>
  <c r="I2148" i="6" s="1"/>
  <c r="A2148" i="6" s="1"/>
  <c r="H2179" i="6"/>
  <c r="I2179" i="6" s="1"/>
  <c r="A2179" i="6" s="1"/>
  <c r="H461" i="6"/>
  <c r="I461" i="6" s="1"/>
  <c r="A461" i="6" s="1"/>
  <c r="H470" i="6"/>
  <c r="I470" i="6" s="1"/>
  <c r="A470" i="6" s="1"/>
  <c r="H572" i="6"/>
  <c r="I572" i="6" s="1"/>
  <c r="A572" i="6" s="1"/>
  <c r="H591" i="6"/>
  <c r="I591" i="6" s="1"/>
  <c r="A591" i="6" s="1"/>
  <c r="H592" i="6"/>
  <c r="I592" i="6" s="1"/>
  <c r="A592" i="6" s="1"/>
  <c r="H599" i="6"/>
  <c r="I599" i="6" s="1"/>
  <c r="A599" i="6" s="1"/>
  <c r="H606" i="6"/>
  <c r="I606" i="6" s="1"/>
  <c r="A606" i="6" s="1"/>
  <c r="H612" i="6"/>
  <c r="I612" i="6" s="1"/>
  <c r="A612" i="6" s="1"/>
  <c r="H616" i="6"/>
  <c r="I616" i="6" s="1"/>
  <c r="A616" i="6" s="1"/>
  <c r="H620" i="6"/>
  <c r="I620" i="6" s="1"/>
  <c r="A620" i="6" s="1"/>
  <c r="H624" i="6"/>
  <c r="I624" i="6" s="1"/>
  <c r="A624" i="6" s="1"/>
  <c r="H636" i="6"/>
  <c r="I636" i="6" s="1"/>
  <c r="A636" i="6" s="1"/>
  <c r="H640" i="6"/>
  <c r="I640" i="6" s="1"/>
  <c r="A640" i="6" s="1"/>
  <c r="H644" i="6"/>
  <c r="I644" i="6" s="1"/>
  <c r="A644" i="6" s="1"/>
  <c r="H648" i="6"/>
  <c r="I648" i="6" s="1"/>
  <c r="A648" i="6" s="1"/>
  <c r="H652" i="6"/>
  <c r="I652" i="6" s="1"/>
  <c r="A652" i="6" s="1"/>
  <c r="H661" i="6"/>
  <c r="I661" i="6" s="1"/>
  <c r="A661" i="6" s="1"/>
  <c r="H677" i="6"/>
  <c r="I677" i="6" s="1"/>
  <c r="A677" i="6" s="1"/>
  <c r="H730" i="6"/>
  <c r="I730" i="6" s="1"/>
  <c r="A730" i="6" s="1"/>
  <c r="H802" i="6"/>
  <c r="I802" i="6" s="1"/>
  <c r="A802" i="6" s="1"/>
  <c r="H806" i="6"/>
  <c r="I806" i="6" s="1"/>
  <c r="A806" i="6" s="1"/>
  <c r="H810" i="6"/>
  <c r="H814" i="6"/>
  <c r="I814" i="6" s="1"/>
  <c r="A814" i="6" s="1"/>
  <c r="H857" i="6"/>
  <c r="I857" i="6" s="1"/>
  <c r="A857" i="6" s="1"/>
  <c r="H869" i="6"/>
  <c r="I869" i="6" s="1"/>
  <c r="A869" i="6" s="1"/>
  <c r="H873" i="6"/>
  <c r="I873" i="6" s="1"/>
  <c r="A873" i="6" s="1"/>
  <c r="H877" i="6"/>
  <c r="I877" i="6" s="1"/>
  <c r="A877" i="6" s="1"/>
  <c r="H881" i="6"/>
  <c r="H909" i="6"/>
  <c r="I909" i="6" s="1"/>
  <c r="A909" i="6" s="1"/>
  <c r="H912" i="6"/>
  <c r="I912" i="6" s="1"/>
  <c r="A912" i="6" s="1"/>
  <c r="H917" i="6"/>
  <c r="I917" i="6" s="1"/>
  <c r="A917" i="6" s="1"/>
  <c r="H935" i="6"/>
  <c r="I935" i="6" s="1"/>
  <c r="A935" i="6" s="1"/>
  <c r="H940" i="6"/>
  <c r="I940" i="6" s="1"/>
  <c r="A940" i="6" s="1"/>
  <c r="H951" i="6"/>
  <c r="I951" i="6" s="1"/>
  <c r="A951" i="6" s="1"/>
  <c r="H959" i="6"/>
  <c r="I959" i="6" s="1"/>
  <c r="A959" i="6" s="1"/>
  <c r="H963" i="6"/>
  <c r="I963" i="6" s="1"/>
  <c r="A963" i="6" s="1"/>
  <c r="H971" i="6"/>
  <c r="I971" i="6" s="1"/>
  <c r="A971" i="6" s="1"/>
  <c r="H977" i="6"/>
  <c r="I977" i="6" s="1"/>
  <c r="A977" i="6" s="1"/>
  <c r="H981" i="6"/>
  <c r="I981" i="6" s="1"/>
  <c r="A981" i="6" s="1"/>
  <c r="H991" i="6"/>
  <c r="I991" i="6" s="1"/>
  <c r="A991" i="6" s="1"/>
  <c r="H1002" i="6"/>
  <c r="I1002" i="6" s="1"/>
  <c r="A1002" i="6" s="1"/>
  <c r="G1023" i="6"/>
  <c r="H1028" i="6"/>
  <c r="I1028" i="6" s="1"/>
  <c r="A1028" i="6" s="1"/>
  <c r="G1030" i="6"/>
  <c r="H1058" i="6"/>
  <c r="I1058" i="6" s="1"/>
  <c r="A1058" i="6" s="1"/>
  <c r="F1171" i="6"/>
  <c r="H1205" i="6"/>
  <c r="I1205" i="6" s="1"/>
  <c r="A1205" i="6" s="1"/>
  <c r="H1211" i="6"/>
  <c r="I1211" i="6" s="1"/>
  <c r="A1211" i="6" s="1"/>
  <c r="F1260" i="6"/>
  <c r="F1259" i="6" s="1"/>
  <c r="F1270" i="6"/>
  <c r="F1269" i="6" s="1"/>
  <c r="F1277" i="6"/>
  <c r="F1276" i="6" s="1"/>
  <c r="H1289" i="6"/>
  <c r="I1289" i="6" s="1"/>
  <c r="A1289" i="6" s="1"/>
  <c r="H1299" i="6"/>
  <c r="I1299" i="6" s="1"/>
  <c r="A1299" i="6" s="1"/>
  <c r="H1343" i="6"/>
  <c r="I1343" i="6" s="1"/>
  <c r="A1343" i="6" s="1"/>
  <c r="H1348" i="6"/>
  <c r="I1348" i="6" s="1"/>
  <c r="A1348" i="6" s="1"/>
  <c r="H1408" i="6"/>
  <c r="I1408" i="6" s="1"/>
  <c r="A1408" i="6" s="1"/>
  <c r="H1460" i="6"/>
  <c r="I1460" i="6" s="1"/>
  <c r="A1460" i="6" s="1"/>
  <c r="G1700" i="6"/>
  <c r="H1705" i="6"/>
  <c r="I1705" i="6" s="1"/>
  <c r="F59" i="15" s="1"/>
  <c r="H1717" i="6"/>
  <c r="I1717" i="6" s="1"/>
  <c r="A1717" i="6" s="1"/>
  <c r="H1834" i="6"/>
  <c r="I1834" i="6" s="1"/>
  <c r="A1834" i="6" s="1"/>
  <c r="H1838" i="6"/>
  <c r="I1838" i="6" s="1"/>
  <c r="A1838" i="6" s="1"/>
  <c r="H1842" i="6"/>
  <c r="I1842" i="6" s="1"/>
  <c r="A1842" i="6" s="1"/>
  <c r="H1847" i="6"/>
  <c r="I1847" i="6" s="1"/>
  <c r="A1847" i="6" s="1"/>
  <c r="H1851" i="6"/>
  <c r="I1851" i="6" s="1"/>
  <c r="A1851" i="6" s="1"/>
  <c r="H1855" i="6"/>
  <c r="I1855" i="6" s="1"/>
  <c r="A1855" i="6" s="1"/>
  <c r="H1860" i="6"/>
  <c r="I1860" i="6" s="1"/>
  <c r="A1860" i="6" s="1"/>
  <c r="H1908" i="6"/>
  <c r="I1908" i="6" s="1"/>
  <c r="A1908" i="6" s="1"/>
  <c r="H1948" i="6"/>
  <c r="I1948" i="6" s="1"/>
  <c r="A1948" i="6" s="1"/>
  <c r="H1967" i="6"/>
  <c r="I1967" i="6" s="1"/>
  <c r="A1967" i="6" s="1"/>
  <c r="H1980" i="6"/>
  <c r="I1980" i="6" s="1"/>
  <c r="A1980" i="6" s="1"/>
  <c r="H1989" i="6"/>
  <c r="I1989" i="6" s="1"/>
  <c r="A1989" i="6" s="1"/>
  <c r="H1994" i="6"/>
  <c r="I1994" i="6" s="1"/>
  <c r="A1994" i="6" s="1"/>
  <c r="H1999" i="6"/>
  <c r="I1999" i="6" s="1"/>
  <c r="A1999" i="6" s="1"/>
  <c r="H2003" i="6"/>
  <c r="I2003" i="6" s="1"/>
  <c r="A2003" i="6" s="1"/>
  <c r="H2055" i="6"/>
  <c r="I2055" i="6" s="1"/>
  <c r="A2055" i="6" s="1"/>
  <c r="H2064" i="6"/>
  <c r="I2064" i="6" s="1"/>
  <c r="A2064" i="6" s="1"/>
  <c r="H2100" i="6"/>
  <c r="I2100" i="6" s="1"/>
  <c r="A2100" i="6" s="1"/>
  <c r="G2110" i="6"/>
  <c r="G2106" i="6" s="1"/>
  <c r="H2115" i="6"/>
  <c r="I2115" i="6" s="1"/>
  <c r="A2115" i="6" s="1"/>
  <c r="H2123" i="6"/>
  <c r="I2123" i="6" s="1"/>
  <c r="A2123" i="6" s="1"/>
  <c r="H2212" i="6"/>
  <c r="I2212" i="6" s="1"/>
  <c r="A2212" i="6" s="1"/>
  <c r="G1152" i="6"/>
  <c r="H443" i="6"/>
  <c r="I443" i="6" s="1"/>
  <c r="A443" i="6" s="1"/>
  <c r="H477" i="6"/>
  <c r="I477" i="6" s="1"/>
  <c r="A477" i="6" s="1"/>
  <c r="H483" i="6"/>
  <c r="I483" i="6" s="1"/>
  <c r="A483" i="6" s="1"/>
  <c r="H487" i="6"/>
  <c r="I487" i="6" s="1"/>
  <c r="A487" i="6" s="1"/>
  <c r="H491" i="6"/>
  <c r="I491" i="6" s="1"/>
  <c r="A491" i="6" s="1"/>
  <c r="H498" i="6"/>
  <c r="I498" i="6" s="1"/>
  <c r="A498" i="6" s="1"/>
  <c r="H503" i="6"/>
  <c r="I503" i="6" s="1"/>
  <c r="A503" i="6" s="1"/>
  <c r="H626" i="6"/>
  <c r="I626" i="6" s="1"/>
  <c r="A626" i="6" s="1"/>
  <c r="H634" i="6"/>
  <c r="I634" i="6" s="1"/>
  <c r="A634" i="6" s="1"/>
  <c r="H650" i="6"/>
  <c r="I650" i="6" s="1"/>
  <c r="A650" i="6" s="1"/>
  <c r="H659" i="6"/>
  <c r="I659" i="6" s="1"/>
  <c r="A659" i="6" s="1"/>
  <c r="H664" i="6"/>
  <c r="I664" i="6" s="1"/>
  <c r="A664" i="6" s="1"/>
  <c r="H667" i="6"/>
  <c r="I667" i="6" s="1"/>
  <c r="A667" i="6" s="1"/>
  <c r="H675" i="6"/>
  <c r="I675" i="6" s="1"/>
  <c r="A675" i="6" s="1"/>
  <c r="F683" i="6"/>
  <c r="H701" i="6"/>
  <c r="I701" i="6" s="1"/>
  <c r="A701" i="6" s="1"/>
  <c r="H702" i="6"/>
  <c r="I702" i="6" s="1"/>
  <c r="A702" i="6" s="1"/>
  <c r="H708" i="6"/>
  <c r="I708" i="6" s="1"/>
  <c r="A708" i="6" s="1"/>
  <c r="H712" i="6"/>
  <c r="I712" i="6" s="1"/>
  <c r="A712" i="6" s="1"/>
  <c r="H758" i="6"/>
  <c r="I758" i="6" s="1"/>
  <c r="A758" i="6" s="1"/>
  <c r="H762" i="6"/>
  <c r="I762" i="6" s="1"/>
  <c r="A762" i="6" s="1"/>
  <c r="H766" i="6"/>
  <c r="I766" i="6" s="1"/>
  <c r="A766" i="6" s="1"/>
  <c r="H773" i="6"/>
  <c r="I773" i="6" s="1"/>
  <c r="A773" i="6" s="1"/>
  <c r="H777" i="6"/>
  <c r="I777" i="6" s="1"/>
  <c r="A777" i="6" s="1"/>
  <c r="H789" i="6"/>
  <c r="I789" i="6" s="1"/>
  <c r="A789" i="6" s="1"/>
  <c r="H818" i="6"/>
  <c r="I818" i="6" s="1"/>
  <c r="A818" i="6" s="1"/>
  <c r="H826" i="6"/>
  <c r="I826" i="6" s="1"/>
  <c r="A826" i="6" s="1"/>
  <c r="H828" i="6"/>
  <c r="I828" i="6" s="1"/>
  <c r="A828" i="6" s="1"/>
  <c r="H839" i="6"/>
  <c r="I839" i="6" s="1"/>
  <c r="A839" i="6" s="1"/>
  <c r="H841" i="6"/>
  <c r="I841" i="6" s="1"/>
  <c r="A841" i="6" s="1"/>
  <c r="H845" i="6"/>
  <c r="I845" i="6" s="1"/>
  <c r="A845" i="6" s="1"/>
  <c r="H849" i="6"/>
  <c r="I849" i="6" s="1"/>
  <c r="A849" i="6" s="1"/>
  <c r="H879" i="6"/>
  <c r="I879" i="6" s="1"/>
  <c r="A879" i="6" s="1"/>
  <c r="H883" i="6"/>
  <c r="I883" i="6" s="1"/>
  <c r="A883" i="6" s="1"/>
  <c r="H887" i="6"/>
  <c r="I887" i="6" s="1"/>
  <c r="A887" i="6" s="1"/>
  <c r="H931" i="6"/>
  <c r="H1018" i="6"/>
  <c r="I1018" i="6" s="1"/>
  <c r="A1018" i="6" s="1"/>
  <c r="H1025" i="6"/>
  <c r="I1025" i="6" s="1"/>
  <c r="A1025" i="6" s="1"/>
  <c r="H1032" i="6"/>
  <c r="I1032" i="6" s="1"/>
  <c r="A1032" i="6" s="1"/>
  <c r="H1052" i="6"/>
  <c r="I1052" i="6" s="1"/>
  <c r="A1052" i="6" s="1"/>
  <c r="H1060" i="6"/>
  <c r="I1060" i="6" s="1"/>
  <c r="A1060" i="6" s="1"/>
  <c r="H1179" i="6"/>
  <c r="I1179" i="6" s="1"/>
  <c r="A1179" i="6" s="1"/>
  <c r="H1224" i="6"/>
  <c r="I1224" i="6" s="1"/>
  <c r="A1224" i="6" s="1"/>
  <c r="H1228" i="6"/>
  <c r="I1228" i="6" s="1"/>
  <c r="A1228" i="6" s="1"/>
  <c r="H1232" i="6"/>
  <c r="I1232" i="6" s="1"/>
  <c r="A1232" i="6" s="1"/>
  <c r="H1236" i="6"/>
  <c r="I1236" i="6" s="1"/>
  <c r="A1236" i="6" s="1"/>
  <c r="H1240" i="6"/>
  <c r="I1240" i="6" s="1"/>
  <c r="A1240" i="6" s="1"/>
  <c r="H1252" i="6"/>
  <c r="I1252" i="6" s="1"/>
  <c r="A1252" i="6" s="1"/>
  <c r="H1256" i="6"/>
  <c r="I1256" i="6" s="1"/>
  <c r="A1256" i="6" s="1"/>
  <c r="H1351" i="6"/>
  <c r="I1351" i="6" s="1"/>
  <c r="A1351" i="6" s="1"/>
  <c r="H1391" i="6"/>
  <c r="I1391" i="6" s="1"/>
  <c r="A1391" i="6" s="1"/>
  <c r="F1435" i="6"/>
  <c r="H1464" i="6"/>
  <c r="I1464" i="6" s="1"/>
  <c r="A1464" i="6" s="1"/>
  <c r="H1498" i="6"/>
  <c r="I1498" i="6" s="1"/>
  <c r="A1498" i="6" s="1"/>
  <c r="G1517" i="6"/>
  <c r="H1517" i="6" s="1"/>
  <c r="H1520" i="6"/>
  <c r="I1520" i="6" s="1"/>
  <c r="A1520" i="6" s="1"/>
  <c r="G1589" i="6"/>
  <c r="G1587" i="6" s="1"/>
  <c r="H1869" i="6"/>
  <c r="I1869" i="6" s="1"/>
  <c r="A1869" i="6" s="1"/>
  <c r="G1874" i="6"/>
  <c r="G1871" i="6" s="1"/>
  <c r="G2008" i="6"/>
  <c r="G2079" i="6"/>
  <c r="H2108" i="6"/>
  <c r="I2108" i="6" s="1"/>
  <c r="A2108" i="6" s="1"/>
  <c r="H2126" i="6"/>
  <c r="I2126" i="6" s="1"/>
  <c r="A2126" i="6" s="1"/>
  <c r="E2079" i="6"/>
  <c r="E2152" i="6"/>
  <c r="G15" i="6"/>
  <c r="L22" i="12" s="1"/>
  <c r="G75" i="6"/>
  <c r="H89" i="6"/>
  <c r="I89" i="6" s="1"/>
  <c r="A89" i="6" s="1"/>
  <c r="G133" i="6"/>
  <c r="G155" i="6"/>
  <c r="F196" i="6"/>
  <c r="G216" i="6"/>
  <c r="G265" i="6"/>
  <c r="G263" i="6" s="1"/>
  <c r="G286" i="6"/>
  <c r="G284" i="6" s="1"/>
  <c r="H293" i="6"/>
  <c r="I293" i="6" s="1"/>
  <c r="A293" i="6" s="1"/>
  <c r="E52" i="6"/>
  <c r="F26" i="12" s="1"/>
  <c r="G94" i="6"/>
  <c r="G137" i="6"/>
  <c r="H53" i="6"/>
  <c r="I53" i="6" s="1"/>
  <c r="A53" i="6" s="1"/>
  <c r="H65" i="6"/>
  <c r="I65" i="6" s="1"/>
  <c r="A65" i="6" s="1"/>
  <c r="H84" i="6"/>
  <c r="I84" i="6" s="1"/>
  <c r="A84" i="6" s="1"/>
  <c r="F94" i="6"/>
  <c r="H116" i="6"/>
  <c r="I116" i="6" s="1"/>
  <c r="A116" i="6" s="1"/>
  <c r="H140" i="6"/>
  <c r="I140" i="6" s="1"/>
  <c r="A140" i="6" s="1"/>
  <c r="F163" i="6"/>
  <c r="H394" i="6"/>
  <c r="I394" i="6" s="1"/>
  <c r="A394" i="6" s="1"/>
  <c r="H437" i="6"/>
  <c r="I437" i="6" s="1"/>
  <c r="A437" i="6" s="1"/>
  <c r="H442" i="6"/>
  <c r="I442" i="6" s="1"/>
  <c r="A442" i="6" s="1"/>
  <c r="H450" i="6"/>
  <c r="I450" i="6" s="1"/>
  <c r="A450" i="6" s="1"/>
  <c r="H459" i="6"/>
  <c r="I459" i="6" s="1"/>
  <c r="A459" i="6" s="1"/>
  <c r="H463" i="6"/>
  <c r="I463" i="6" s="1"/>
  <c r="A463" i="6" s="1"/>
  <c r="H472" i="6"/>
  <c r="I472" i="6" s="1"/>
  <c r="A472" i="6" s="1"/>
  <c r="H488" i="6"/>
  <c r="I488" i="6" s="1"/>
  <c r="A488" i="6" s="1"/>
  <c r="H500" i="6"/>
  <c r="I500" i="6" s="1"/>
  <c r="A500" i="6" s="1"/>
  <c r="H505" i="6"/>
  <c r="I505" i="6" s="1"/>
  <c r="A505" i="6" s="1"/>
  <c r="H528" i="6"/>
  <c r="I528" i="6" s="1"/>
  <c r="A528" i="6" s="1"/>
  <c r="H539" i="6"/>
  <c r="I539" i="6" s="1"/>
  <c r="A539" i="6" s="1"/>
  <c r="H547" i="6"/>
  <c r="I547" i="6" s="1"/>
  <c r="A547" i="6" s="1"/>
  <c r="H596" i="6"/>
  <c r="I596" i="6" s="1"/>
  <c r="A596" i="6" s="1"/>
  <c r="H646" i="6"/>
  <c r="I646" i="6" s="1"/>
  <c r="A646" i="6" s="1"/>
  <c r="H748" i="6"/>
  <c r="I748" i="6" s="1"/>
  <c r="A748" i="6" s="1"/>
  <c r="H750" i="6"/>
  <c r="I750" i="6" s="1"/>
  <c r="A750" i="6" s="1"/>
  <c r="H812" i="6"/>
  <c r="I812" i="6" s="1"/>
  <c r="A812" i="6" s="1"/>
  <c r="G934" i="6"/>
  <c r="H934" i="6" s="1"/>
  <c r="I934" i="6" s="1"/>
  <c r="A934" i="6" s="1"/>
  <c r="G1004" i="6"/>
  <c r="G1003" i="6" s="1"/>
  <c r="H1050" i="6"/>
  <c r="I1050" i="6" s="1"/>
  <c r="A1050" i="6" s="1"/>
  <c r="H176" i="6"/>
  <c r="I176" i="6" s="1"/>
  <c r="A176" i="6" s="1"/>
  <c r="G178" i="6"/>
  <c r="G185" i="6"/>
  <c r="H193" i="6"/>
  <c r="I193" i="6" s="1"/>
  <c r="A193" i="6" s="1"/>
  <c r="H202" i="6"/>
  <c r="I202" i="6" s="1"/>
  <c r="A202" i="6" s="1"/>
  <c r="G203" i="6"/>
  <c r="H211" i="6"/>
  <c r="I211" i="6" s="1"/>
  <c r="A211" i="6" s="1"/>
  <c r="H233" i="6"/>
  <c r="I233" i="6" s="1"/>
  <c r="A233" i="6" s="1"/>
  <c r="H405" i="6"/>
  <c r="I405" i="6" s="1"/>
  <c r="A405" i="6" s="1"/>
  <c r="H531" i="6"/>
  <c r="I531" i="6" s="1"/>
  <c r="A531" i="6" s="1"/>
  <c r="H566" i="6"/>
  <c r="I566" i="6" s="1"/>
  <c r="A566" i="6" s="1"/>
  <c r="H678" i="6"/>
  <c r="I678" i="6" s="1"/>
  <c r="A678" i="6" s="1"/>
  <c r="E1023" i="6"/>
  <c r="F1076" i="6"/>
  <c r="F1073" i="6" s="1"/>
  <c r="H157" i="6"/>
  <c r="I157" i="6" s="1"/>
  <c r="A157" i="6" s="1"/>
  <c r="G158" i="6"/>
  <c r="F208" i="6"/>
  <c r="G260" i="6"/>
  <c r="G258" i="6" s="1"/>
  <c r="H267" i="6"/>
  <c r="I267" i="6" s="1"/>
  <c r="A267" i="6" s="1"/>
  <c r="H313" i="6"/>
  <c r="I313" i="6" s="1"/>
  <c r="A313" i="6" s="1"/>
  <c r="H327" i="6"/>
  <c r="I327" i="6" s="1"/>
  <c r="A327" i="6" s="1"/>
  <c r="H407" i="6"/>
  <c r="I407" i="6" s="1"/>
  <c r="A407" i="6" s="1"/>
  <c r="H417" i="6"/>
  <c r="I417" i="6" s="1"/>
  <c r="A417" i="6" s="1"/>
  <c r="H430" i="6"/>
  <c r="I430" i="6" s="1"/>
  <c r="A430" i="6" s="1"/>
  <c r="H447" i="6"/>
  <c r="I447" i="6" s="1"/>
  <c r="A447" i="6" s="1"/>
  <c r="H456" i="6"/>
  <c r="I456" i="6" s="1"/>
  <c r="A456" i="6" s="1"/>
  <c r="H457" i="6"/>
  <c r="I457" i="6" s="1"/>
  <c r="A457" i="6" s="1"/>
  <c r="H469" i="6"/>
  <c r="I469" i="6" s="1"/>
  <c r="A469" i="6" s="1"/>
  <c r="H479" i="6"/>
  <c r="I479" i="6" s="1"/>
  <c r="A479" i="6" s="1"/>
  <c r="H493" i="6"/>
  <c r="I493" i="6" s="1"/>
  <c r="A493" i="6" s="1"/>
  <c r="H506" i="6"/>
  <c r="I506" i="6" s="1"/>
  <c r="A506" i="6" s="1"/>
  <c r="H521" i="6"/>
  <c r="I521" i="6" s="1"/>
  <c r="A521" i="6" s="1"/>
  <c r="H534" i="6"/>
  <c r="I534" i="6" s="1"/>
  <c r="A534" i="6" s="1"/>
  <c r="H548" i="6"/>
  <c r="I548" i="6" s="1"/>
  <c r="A548" i="6" s="1"/>
  <c r="H555" i="6"/>
  <c r="I555" i="6" s="1"/>
  <c r="A555" i="6" s="1"/>
  <c r="H561" i="6"/>
  <c r="I561" i="6" s="1"/>
  <c r="A561" i="6" s="1"/>
  <c r="H564" i="6"/>
  <c r="I564" i="6" s="1"/>
  <c r="A564" i="6" s="1"/>
  <c r="H568" i="6"/>
  <c r="I568" i="6" s="1"/>
  <c r="A568" i="6" s="1"/>
  <c r="H585" i="6"/>
  <c r="I585" i="6" s="1"/>
  <c r="A585" i="6" s="1"/>
  <c r="H618" i="6"/>
  <c r="I618" i="6" s="1"/>
  <c r="A618" i="6" s="1"/>
  <c r="H627" i="6"/>
  <c r="I627" i="6" s="1"/>
  <c r="A627" i="6" s="1"/>
  <c r="H632" i="6"/>
  <c r="I632" i="6" s="1"/>
  <c r="A632" i="6" s="1"/>
  <c r="H635" i="6"/>
  <c r="I635" i="6" s="1"/>
  <c r="A635" i="6" s="1"/>
  <c r="H643" i="6"/>
  <c r="I643" i="6" s="1"/>
  <c r="A643" i="6" s="1"/>
  <c r="H668" i="6"/>
  <c r="I668" i="6" s="1"/>
  <c r="A668" i="6" s="1"/>
  <c r="H672" i="6"/>
  <c r="I672" i="6" s="1"/>
  <c r="A672" i="6" s="1"/>
  <c r="H676" i="6"/>
  <c r="I676" i="6" s="1"/>
  <c r="A676" i="6" s="1"/>
  <c r="H680" i="6"/>
  <c r="I680" i="6" s="1"/>
  <c r="A680" i="6" s="1"/>
  <c r="H725" i="6"/>
  <c r="I725" i="6" s="1"/>
  <c r="A725" i="6" s="1"/>
  <c r="H729" i="6"/>
  <c r="I729" i="6" s="1"/>
  <c r="A729" i="6" s="1"/>
  <c r="H734" i="6"/>
  <c r="I734" i="6" s="1"/>
  <c r="A734" i="6" s="1"/>
  <c r="H742" i="6"/>
  <c r="I742" i="6" s="1"/>
  <c r="A742" i="6" s="1"/>
  <c r="H778" i="6"/>
  <c r="I778" i="6" s="1"/>
  <c r="A778" i="6" s="1"/>
  <c r="H782" i="6"/>
  <c r="I782" i="6" s="1"/>
  <c r="A782" i="6" s="1"/>
  <c r="H786" i="6"/>
  <c r="H797" i="6"/>
  <c r="I797" i="6" s="1"/>
  <c r="A797" i="6" s="1"/>
  <c r="H824" i="6"/>
  <c r="I824" i="6" s="1"/>
  <c r="A824" i="6" s="1"/>
  <c r="H832" i="6"/>
  <c r="I832" i="6" s="1"/>
  <c r="A832" i="6" s="1"/>
  <c r="H836" i="6"/>
  <c r="I836" i="6" s="1"/>
  <c r="A836" i="6" s="1"/>
  <c r="H844" i="6"/>
  <c r="I844" i="6" s="1"/>
  <c r="A844" i="6" s="1"/>
  <c r="H848" i="6"/>
  <c r="I848" i="6" s="1"/>
  <c r="A848" i="6" s="1"/>
  <c r="H870" i="6"/>
  <c r="I870" i="6" s="1"/>
  <c r="A870" i="6" s="1"/>
  <c r="H874" i="6"/>
  <c r="I874" i="6" s="1"/>
  <c r="A874" i="6" s="1"/>
  <c r="H875" i="6"/>
  <c r="I875" i="6" s="1"/>
  <c r="A875" i="6" s="1"/>
  <c r="H878" i="6"/>
  <c r="I878" i="6" s="1"/>
  <c r="A878" i="6" s="1"/>
  <c r="H886" i="6"/>
  <c r="I886" i="6" s="1"/>
  <c r="A886" i="6" s="1"/>
  <c r="H907" i="6"/>
  <c r="I907" i="6" s="1"/>
  <c r="A907" i="6" s="1"/>
  <c r="H910" i="6"/>
  <c r="I910" i="6" s="1"/>
  <c r="A910" i="6" s="1"/>
  <c r="H919" i="6"/>
  <c r="I919" i="6" s="1"/>
  <c r="A919" i="6" s="1"/>
  <c r="H924" i="6"/>
  <c r="I924" i="6" s="1"/>
  <c r="H932" i="6"/>
  <c r="I932" i="6" s="1"/>
  <c r="A932" i="6" s="1"/>
  <c r="H938" i="6"/>
  <c r="I938" i="6" s="1"/>
  <c r="A938" i="6" s="1"/>
  <c r="H957" i="6"/>
  <c r="I957" i="6" s="1"/>
  <c r="A957" i="6" s="1"/>
  <c r="H961" i="6"/>
  <c r="I961" i="6" s="1"/>
  <c r="A961" i="6" s="1"/>
  <c r="H965" i="6"/>
  <c r="I965" i="6" s="1"/>
  <c r="A965" i="6" s="1"/>
  <c r="H969" i="6"/>
  <c r="I969" i="6" s="1"/>
  <c r="A969" i="6" s="1"/>
  <c r="H973" i="6"/>
  <c r="I973" i="6" s="1"/>
  <c r="A973" i="6" s="1"/>
  <c r="H979" i="6"/>
  <c r="I979" i="6" s="1"/>
  <c r="A979" i="6" s="1"/>
  <c r="H983" i="6"/>
  <c r="I983" i="6" s="1"/>
  <c r="A983" i="6" s="1"/>
  <c r="H987" i="6"/>
  <c r="I987" i="6" s="1"/>
  <c r="A987" i="6" s="1"/>
  <c r="H998" i="6"/>
  <c r="I998" i="6" s="1"/>
  <c r="H1006" i="6"/>
  <c r="I1006" i="6" s="1"/>
  <c r="A1006" i="6" s="1"/>
  <c r="H1016" i="6"/>
  <c r="I1016" i="6" s="1"/>
  <c r="A1016" i="6" s="1"/>
  <c r="H1022" i="6"/>
  <c r="I1022" i="6" s="1"/>
  <c r="A1022" i="6" s="1"/>
  <c r="F1023" i="6"/>
  <c r="H1045" i="6"/>
  <c r="I1045" i="6" s="1"/>
  <c r="A1045" i="6" s="1"/>
  <c r="H1077" i="6"/>
  <c r="I1077" i="6" s="1"/>
  <c r="A1077" i="6" s="1"/>
  <c r="G1079" i="6"/>
  <c r="H1150" i="6"/>
  <c r="I1150" i="6" s="1"/>
  <c r="A1150" i="6" s="1"/>
  <c r="H1303" i="6"/>
  <c r="I1303" i="6" s="1"/>
  <c r="A1303" i="6" s="1"/>
  <c r="H1306" i="6"/>
  <c r="I1306" i="6" s="1"/>
  <c r="A1306" i="6" s="1"/>
  <c r="H1307" i="6"/>
  <c r="I1307" i="6" s="1"/>
  <c r="A1307" i="6" s="1"/>
  <c r="H1312" i="6"/>
  <c r="I1312" i="6" s="1"/>
  <c r="A1312" i="6" s="1"/>
  <c r="H1313" i="6"/>
  <c r="I1313" i="6" s="1"/>
  <c r="A1313" i="6" s="1"/>
  <c r="H1315" i="6"/>
  <c r="I1315" i="6" s="1"/>
  <c r="A1315" i="6" s="1"/>
  <c r="H1337" i="6"/>
  <c r="I1337" i="6" s="1"/>
  <c r="A1337" i="6" s="1"/>
  <c r="H1355" i="6"/>
  <c r="I1355" i="6" s="1"/>
  <c r="A1355" i="6" s="1"/>
  <c r="H1359" i="6"/>
  <c r="I1359" i="6" s="1"/>
  <c r="A1359" i="6" s="1"/>
  <c r="H1369" i="6"/>
  <c r="I1369" i="6" s="1"/>
  <c r="A1369" i="6" s="1"/>
  <c r="H1375" i="6"/>
  <c r="I1375" i="6" s="1"/>
  <c r="A1375" i="6" s="1"/>
  <c r="H1393" i="6"/>
  <c r="I1393" i="6" s="1"/>
  <c r="A1393" i="6" s="1"/>
  <c r="H1405" i="6"/>
  <c r="I1405" i="6" s="1"/>
  <c r="A1405" i="6" s="1"/>
  <c r="H1423" i="6"/>
  <c r="I1423" i="6" s="1"/>
  <c r="A1423" i="6" s="1"/>
  <c r="G1435" i="6"/>
  <c r="G1463" i="6"/>
  <c r="H1463" i="6" s="1"/>
  <c r="F1137" i="6"/>
  <c r="H1253" i="6"/>
  <c r="I1253" i="6" s="1"/>
  <c r="A1253" i="6" s="1"/>
  <c r="F1264" i="6"/>
  <c r="F1263" i="6" s="1"/>
  <c r="F1273" i="6"/>
  <c r="F1272" i="6" s="1"/>
  <c r="H1298" i="6"/>
  <c r="I1298" i="6" s="1"/>
  <c r="A1298" i="6" s="1"/>
  <c r="G1488" i="6"/>
  <c r="G1642" i="6"/>
  <c r="G1640" i="6" s="1"/>
  <c r="F2233" i="6" s="1"/>
  <c r="G1689" i="6"/>
  <c r="G1688" i="6" s="1"/>
  <c r="H1694" i="6"/>
  <c r="I1694" i="6" s="1"/>
  <c r="F57" i="15" s="1"/>
  <c r="H1698" i="6"/>
  <c r="I1698" i="6" s="1"/>
  <c r="A1698" i="6" s="1"/>
  <c r="H1864" i="6"/>
  <c r="I1864" i="6" s="1"/>
  <c r="A1864" i="6" s="1"/>
  <c r="G1868" i="6"/>
  <c r="H1868" i="6" s="1"/>
  <c r="I1868" i="6" s="1"/>
  <c r="H1896" i="6"/>
  <c r="I1896" i="6" s="1"/>
  <c r="A1896" i="6" s="1"/>
  <c r="H1902" i="6"/>
  <c r="I1902" i="6" s="1"/>
  <c r="A1902" i="6" s="1"/>
  <c r="F2079" i="6"/>
  <c r="H2094" i="6"/>
  <c r="I2094" i="6" s="1"/>
  <c r="A2094" i="6" s="1"/>
  <c r="H2097" i="6"/>
  <c r="I2097" i="6" s="1"/>
  <c r="A2097" i="6" s="1"/>
  <c r="G2099" i="6"/>
  <c r="G2098" i="6" s="1"/>
  <c r="H2114" i="6"/>
  <c r="I2114" i="6" s="1"/>
  <c r="A2114" i="6" s="1"/>
  <c r="H2118" i="6"/>
  <c r="I2118" i="6" s="1"/>
  <c r="A2118" i="6" s="1"/>
  <c r="G2132" i="6"/>
  <c r="H2137" i="6"/>
  <c r="I2137" i="6" s="1"/>
  <c r="A2137" i="6" s="1"/>
  <c r="H2142" i="6"/>
  <c r="I2142" i="6" s="1"/>
  <c r="A2142" i="6" s="1"/>
  <c r="H2147" i="6"/>
  <c r="I2147" i="6" s="1"/>
  <c r="A2147" i="6" s="1"/>
  <c r="H2167" i="6"/>
  <c r="I2167" i="6" s="1"/>
  <c r="A2167" i="6" s="1"/>
  <c r="H2172" i="6"/>
  <c r="I2172" i="6" s="1"/>
  <c r="A2172" i="6" s="1"/>
  <c r="E2176" i="6"/>
  <c r="E2175" i="6" s="1"/>
  <c r="H416" i="6"/>
  <c r="I416" i="6" s="1"/>
  <c r="A416" i="6" s="1"/>
  <c r="H453" i="6"/>
  <c r="I453" i="6" s="1"/>
  <c r="A453" i="6" s="1"/>
  <c r="H474" i="6"/>
  <c r="I474" i="6" s="1"/>
  <c r="A474" i="6" s="1"/>
  <c r="H499" i="6"/>
  <c r="I499" i="6" s="1"/>
  <c r="A499" i="6" s="1"/>
  <c r="H989" i="6"/>
  <c r="I989" i="6" s="1"/>
  <c r="A989" i="6" s="1"/>
  <c r="G1142" i="6"/>
  <c r="H1151" i="6"/>
  <c r="I1151" i="6" s="1"/>
  <c r="A1151" i="6" s="1"/>
  <c r="H1164" i="6"/>
  <c r="I1164" i="6" s="1"/>
  <c r="A1164" i="6" s="1"/>
  <c r="H1168" i="6"/>
  <c r="I1168" i="6" s="1"/>
  <c r="A1168" i="6" s="1"/>
  <c r="H1335" i="6"/>
  <c r="I1335" i="6" s="1"/>
  <c r="A1335" i="6" s="1"/>
  <c r="H1339" i="6"/>
  <c r="I1339" i="6" s="1"/>
  <c r="A1339" i="6" s="1"/>
  <c r="H1400" i="6"/>
  <c r="I1400" i="6" s="1"/>
  <c r="A1400" i="6" s="1"/>
  <c r="G1421" i="6"/>
  <c r="H1434" i="6"/>
  <c r="I1434" i="6" s="1"/>
  <c r="A1434" i="6" s="1"/>
  <c r="H1437" i="6"/>
  <c r="I1437" i="6" s="1"/>
  <c r="A1437" i="6" s="1"/>
  <c r="H1440" i="6"/>
  <c r="I1440" i="6" s="1"/>
  <c r="A1440" i="6" s="1"/>
  <c r="G1448" i="6"/>
  <c r="G1441" i="6" s="1"/>
  <c r="H1474" i="6"/>
  <c r="I1474" i="6" s="1"/>
  <c r="A1474" i="6" s="1"/>
  <c r="H1486" i="6"/>
  <c r="I1486" i="6" s="1"/>
  <c r="A1486" i="6" s="1"/>
  <c r="H1492" i="6"/>
  <c r="I1492" i="6" s="1"/>
  <c r="A1492" i="6" s="1"/>
  <c r="H1496" i="6"/>
  <c r="I1496" i="6" s="1"/>
  <c r="A1496" i="6" s="1"/>
  <c r="H1536" i="6"/>
  <c r="I1536" i="6" s="1"/>
  <c r="A1536" i="6" s="1"/>
  <c r="H1551" i="6"/>
  <c r="I1551" i="6" s="1"/>
  <c r="A1551" i="6" s="1"/>
  <c r="F1584" i="6"/>
  <c r="F1582" i="6" s="1"/>
  <c r="H1593" i="6"/>
  <c r="I1593" i="6" s="1"/>
  <c r="A1593" i="6" s="1"/>
  <c r="H1597" i="6"/>
  <c r="I1597" i="6" s="1"/>
  <c r="A1597" i="6" s="1"/>
  <c r="H1603" i="6"/>
  <c r="I1603" i="6" s="1"/>
  <c r="A1603" i="6" s="1"/>
  <c r="H1609" i="6"/>
  <c r="I1609" i="6" s="1"/>
  <c r="A1609" i="6" s="1"/>
  <c r="H1614" i="6"/>
  <c r="I1614" i="6" s="1"/>
  <c r="A1614" i="6" s="1"/>
  <c r="H1621" i="6"/>
  <c r="I1621" i="6" s="1"/>
  <c r="A1621" i="6" s="1"/>
  <c r="H1709" i="6"/>
  <c r="I1709" i="6" s="1"/>
  <c r="A1709" i="6" s="1"/>
  <c r="H1715" i="6"/>
  <c r="I1715" i="6" s="1"/>
  <c r="A1715" i="6" s="1"/>
  <c r="H1726" i="6"/>
  <c r="I1726" i="6" s="1"/>
  <c r="A1726" i="6" s="1"/>
  <c r="H1731" i="6"/>
  <c r="I1731" i="6" s="1"/>
  <c r="A1731" i="6" s="1"/>
  <c r="H1743" i="6"/>
  <c r="I1743" i="6" s="1"/>
  <c r="A1743" i="6" s="1"/>
  <c r="H1747" i="6"/>
  <c r="I1747" i="6" s="1"/>
  <c r="A1747" i="6" s="1"/>
  <c r="H1757" i="6"/>
  <c r="I1757" i="6" s="1"/>
  <c r="A1757" i="6" s="1"/>
  <c r="H1761" i="6"/>
  <c r="I1761" i="6" s="1"/>
  <c r="A1761" i="6" s="1"/>
  <c r="H1773" i="6"/>
  <c r="I1773" i="6" s="1"/>
  <c r="A1773" i="6" s="1"/>
  <c r="H1783" i="6"/>
  <c r="I1783" i="6" s="1"/>
  <c r="A1783" i="6" s="1"/>
  <c r="H1787" i="6"/>
  <c r="I1787" i="6" s="1"/>
  <c r="A1787" i="6" s="1"/>
  <c r="H1793" i="6"/>
  <c r="I1793" i="6" s="1"/>
  <c r="A1793" i="6" s="1"/>
  <c r="H1801" i="6"/>
  <c r="I1801" i="6" s="1"/>
  <c r="A1801" i="6" s="1"/>
  <c r="H1844" i="6"/>
  <c r="I1844" i="6" s="1"/>
  <c r="A1844" i="6" s="1"/>
  <c r="H1862" i="6"/>
  <c r="I1862" i="6" s="1"/>
  <c r="A1862" i="6" s="1"/>
  <c r="F1885" i="6"/>
  <c r="F1883" i="6" s="1"/>
  <c r="F29" i="15" s="1"/>
  <c r="H1892" i="6"/>
  <c r="I1892" i="6" s="1"/>
  <c r="A1892" i="6" s="1"/>
  <c r="H1904" i="6"/>
  <c r="I1904" i="6" s="1"/>
  <c r="A1904" i="6" s="1"/>
  <c r="H1936" i="6"/>
  <c r="I1936" i="6" s="1"/>
  <c r="A1936" i="6" s="1"/>
  <c r="H1951" i="6"/>
  <c r="I1951" i="6" s="1"/>
  <c r="A1951" i="6" s="1"/>
  <c r="H1953" i="6"/>
  <c r="I1953" i="6" s="1"/>
  <c r="A1953" i="6" s="1"/>
  <c r="H1959" i="6"/>
  <c r="I1959" i="6" s="1"/>
  <c r="A1959" i="6" s="1"/>
  <c r="G1966" i="6"/>
  <c r="H1971" i="6"/>
  <c r="I1971" i="6" s="1"/>
  <c r="A1971" i="6" s="1"/>
  <c r="H1983" i="6"/>
  <c r="I1983" i="6" s="1"/>
  <c r="A1983" i="6" s="1"/>
  <c r="H2001" i="6"/>
  <c r="I2001" i="6" s="1"/>
  <c r="A2001" i="6" s="1"/>
  <c r="H2012" i="6"/>
  <c r="I2012" i="6" s="1"/>
  <c r="A2012" i="6" s="1"/>
  <c r="H2042" i="6"/>
  <c r="I2042" i="6" s="1"/>
  <c r="A2042" i="6" s="1"/>
  <c r="H2046" i="6"/>
  <c r="I2046" i="6" s="1"/>
  <c r="A2046" i="6" s="1"/>
  <c r="H2075" i="6"/>
  <c r="I2075" i="6" s="1"/>
  <c r="A2075" i="6" s="1"/>
  <c r="H2085" i="6"/>
  <c r="I2085" i="6" s="1"/>
  <c r="A2085" i="6" s="1"/>
  <c r="H2091" i="6"/>
  <c r="I2091" i="6" s="1"/>
  <c r="A2091" i="6" s="1"/>
  <c r="H2096" i="6"/>
  <c r="I2096" i="6" s="1"/>
  <c r="A2096" i="6" s="1"/>
  <c r="H2113" i="6"/>
  <c r="I2113" i="6" s="1"/>
  <c r="A2113" i="6" s="1"/>
  <c r="H2121" i="6"/>
  <c r="I2121" i="6" s="1"/>
  <c r="A2121" i="6" s="1"/>
  <c r="H2136" i="6"/>
  <c r="I2136" i="6" s="1"/>
  <c r="A2136" i="6" s="1"/>
  <c r="H2141" i="6"/>
  <c r="I2141" i="6" s="1"/>
  <c r="A2141" i="6" s="1"/>
  <c r="H2166" i="6"/>
  <c r="I2166" i="6" s="1"/>
  <c r="A2166" i="6" s="1"/>
  <c r="H2171" i="6"/>
  <c r="I2171" i="6" s="1"/>
  <c r="A2171" i="6" s="1"/>
  <c r="H2177" i="6"/>
  <c r="I2177" i="6" s="1"/>
  <c r="A2177" i="6" s="1"/>
  <c r="H2205" i="6"/>
  <c r="I2205" i="6" s="1"/>
  <c r="A2205" i="6" s="1"/>
  <c r="H1485" i="6"/>
  <c r="I1485" i="6" s="1"/>
  <c r="A1485" i="6" s="1"/>
  <c r="H1491" i="6"/>
  <c r="I1491" i="6" s="1"/>
  <c r="A1491" i="6" s="1"/>
  <c r="H1495" i="6"/>
  <c r="I1495" i="6" s="1"/>
  <c r="A1495" i="6" s="1"/>
  <c r="H1533" i="6"/>
  <c r="I1533" i="6" s="1"/>
  <c r="A1533" i="6" s="1"/>
  <c r="H1583" i="6"/>
  <c r="I1583" i="6" s="1"/>
  <c r="A1583" i="6" s="1"/>
  <c r="H1591" i="6"/>
  <c r="I1591" i="6" s="1"/>
  <c r="A1591" i="6" s="1"/>
  <c r="H1596" i="6"/>
  <c r="I1596" i="6" s="1"/>
  <c r="A1596" i="6" s="1"/>
  <c r="H1602" i="6"/>
  <c r="I1602" i="6" s="1"/>
  <c r="A1602" i="6" s="1"/>
  <c r="H1608" i="6"/>
  <c r="I1608" i="6" s="1"/>
  <c r="A1608" i="6" s="1"/>
  <c r="H1627" i="6"/>
  <c r="I1627" i="6" s="1"/>
  <c r="A1627" i="6" s="1"/>
  <c r="G1637" i="6"/>
  <c r="F15" i="15" s="1"/>
  <c r="F16" i="15" s="1"/>
  <c r="H1730" i="6"/>
  <c r="I1730" i="6" s="1"/>
  <c r="A1730" i="6" s="1"/>
  <c r="H1742" i="6"/>
  <c r="I1742" i="6" s="1"/>
  <c r="J21" i="15" s="1"/>
  <c r="H1777" i="6"/>
  <c r="I1777" i="6" s="1"/>
  <c r="A1777" i="6" s="1"/>
  <c r="G1821" i="6"/>
  <c r="H1835" i="6"/>
  <c r="I1835" i="6" s="1"/>
  <c r="A1835" i="6" s="1"/>
  <c r="H1839" i="6"/>
  <c r="I1839" i="6" s="1"/>
  <c r="A1839" i="6" s="1"/>
  <c r="H1843" i="6"/>
  <c r="I1843" i="6" s="1"/>
  <c r="A1843" i="6" s="1"/>
  <c r="H1884" i="6"/>
  <c r="I1884" i="6" s="1"/>
  <c r="A1884" i="6" s="1"/>
  <c r="H1899" i="6"/>
  <c r="I1899" i="6" s="1"/>
  <c r="A1899" i="6" s="1"/>
  <c r="H1915" i="6"/>
  <c r="I1915" i="6" s="1"/>
  <c r="A1915" i="6" s="1"/>
  <c r="H1958" i="6"/>
  <c r="I1958" i="6" s="1"/>
  <c r="A1958" i="6" s="1"/>
  <c r="H1964" i="6"/>
  <c r="I1964" i="6" s="1"/>
  <c r="A1964" i="6" s="1"/>
  <c r="H1970" i="6"/>
  <c r="I1970" i="6" s="1"/>
  <c r="A1970" i="6" s="1"/>
  <c r="H1996" i="6"/>
  <c r="I1996" i="6" s="1"/>
  <c r="A1996" i="6" s="1"/>
  <c r="H2000" i="6"/>
  <c r="I2000" i="6" s="1"/>
  <c r="A2000" i="6" s="1"/>
  <c r="H2017" i="6"/>
  <c r="I2017" i="6" s="1"/>
  <c r="A2017" i="6" s="1"/>
  <c r="H2021" i="6"/>
  <c r="I2021" i="6" s="1"/>
  <c r="A2021" i="6" s="1"/>
  <c r="G2069" i="6"/>
  <c r="G2068" i="6" s="1"/>
  <c r="G2067" i="6" s="1"/>
  <c r="H2078" i="6"/>
  <c r="I2078" i="6" s="1"/>
  <c r="A2078" i="6" s="1"/>
  <c r="H2083" i="6"/>
  <c r="I2083" i="6" s="1"/>
  <c r="A2083" i="6" s="1"/>
  <c r="H2090" i="6"/>
  <c r="I2090" i="6" s="1"/>
  <c r="A2090" i="6" s="1"/>
  <c r="H2120" i="6"/>
  <c r="I2120" i="6" s="1"/>
  <c r="A2120" i="6" s="1"/>
  <c r="H2124" i="6"/>
  <c r="I2124" i="6" s="1"/>
  <c r="A2124" i="6" s="1"/>
  <c r="H2149" i="6"/>
  <c r="I2149" i="6" s="1"/>
  <c r="A2149" i="6" s="1"/>
  <c r="H2154" i="6"/>
  <c r="I2154" i="6" s="1"/>
  <c r="A2154" i="6" s="1"/>
  <c r="H2159" i="6"/>
  <c r="I2159" i="6" s="1"/>
  <c r="A2159" i="6" s="1"/>
  <c r="H2165" i="6"/>
  <c r="I2165" i="6" s="1"/>
  <c r="A2165" i="6" s="1"/>
  <c r="H2169" i="6"/>
  <c r="I2169" i="6" s="1"/>
  <c r="A2169" i="6" s="1"/>
  <c r="H2191" i="6"/>
  <c r="I2191" i="6" s="1"/>
  <c r="A2191" i="6" s="1"/>
  <c r="H2197" i="6"/>
  <c r="I2197" i="6" s="1"/>
  <c r="A2197" i="6" s="1"/>
  <c r="H2203" i="6"/>
  <c r="I2203" i="6" s="1"/>
  <c r="A2203" i="6" s="1"/>
  <c r="H792" i="6"/>
  <c r="I792" i="6" s="1"/>
  <c r="A792" i="6" s="1"/>
  <c r="H858" i="6"/>
  <c r="I858" i="6" s="1"/>
  <c r="A858" i="6" s="1"/>
  <c r="H1204" i="6"/>
  <c r="I1204" i="6" s="1"/>
  <c r="A1204" i="6" s="1"/>
  <c r="H1210" i="6"/>
  <c r="I1210" i="6" s="1"/>
  <c r="A1210" i="6" s="1"/>
  <c r="H1540" i="6"/>
  <c r="I1540" i="6" s="1"/>
  <c r="A1540" i="6" s="1"/>
  <c r="F11" i="6"/>
  <c r="F7" i="6" s="1"/>
  <c r="F137" i="6"/>
  <c r="H197" i="6"/>
  <c r="I197" i="6" s="1"/>
  <c r="A197" i="6" s="1"/>
  <c r="G11" i="6"/>
  <c r="G7" i="6" s="1"/>
  <c r="H63" i="6"/>
  <c r="I63" i="6" s="1"/>
  <c r="A63" i="6" s="1"/>
  <c r="H100" i="6"/>
  <c r="I100" i="6" s="1"/>
  <c r="A100" i="6" s="1"/>
  <c r="H119" i="6"/>
  <c r="I119" i="6" s="1"/>
  <c r="A119" i="6" s="1"/>
  <c r="H146" i="6"/>
  <c r="I146" i="6" s="1"/>
  <c r="A146" i="6" s="1"/>
  <c r="H169" i="6"/>
  <c r="I169" i="6" s="1"/>
  <c r="A169" i="6" s="1"/>
  <c r="G170" i="6"/>
  <c r="H179" i="6"/>
  <c r="I179" i="6" s="1"/>
  <c r="A179" i="6" s="1"/>
  <c r="G189" i="6"/>
  <c r="H255" i="6"/>
  <c r="I255" i="6" s="1"/>
  <c r="A255" i="6" s="1"/>
  <c r="G308" i="6"/>
  <c r="H309" i="6"/>
  <c r="I309" i="6" s="1"/>
  <c r="A309" i="6" s="1"/>
  <c r="H8" i="6"/>
  <c r="H54" i="6"/>
  <c r="I54" i="6" s="1"/>
  <c r="A54" i="6" s="1"/>
  <c r="H61" i="6"/>
  <c r="I61" i="6" s="1"/>
  <c r="A61" i="6" s="1"/>
  <c r="H73" i="6"/>
  <c r="I73" i="6" s="1"/>
  <c r="A73" i="6" s="1"/>
  <c r="H86" i="6"/>
  <c r="I86" i="6" s="1"/>
  <c r="A86" i="6" s="1"/>
  <c r="H125" i="6"/>
  <c r="I125" i="6" s="1"/>
  <c r="A125" i="6" s="1"/>
  <c r="H132" i="6"/>
  <c r="I132" i="6" s="1"/>
  <c r="A132" i="6" s="1"/>
  <c r="G167" i="6"/>
  <c r="H183" i="6"/>
  <c r="I183" i="6" s="1"/>
  <c r="A183" i="6" s="1"/>
  <c r="G192" i="6"/>
  <c r="H215" i="6"/>
  <c r="I215" i="6" s="1"/>
  <c r="A215" i="6" s="1"/>
  <c r="H243" i="6"/>
  <c r="I243" i="6" s="1"/>
  <c r="A243" i="6" s="1"/>
  <c r="H256" i="6"/>
  <c r="I256" i="6" s="1"/>
  <c r="A256" i="6" s="1"/>
  <c r="H261" i="6"/>
  <c r="I261" i="6" s="1"/>
  <c r="A261" i="6" s="1"/>
  <c r="H275" i="6"/>
  <c r="I275" i="6" s="1"/>
  <c r="A275" i="6" s="1"/>
  <c r="G276" i="6"/>
  <c r="G274" i="6" s="1"/>
  <c r="H339" i="6"/>
  <c r="I339" i="6" s="1"/>
  <c r="A339" i="6" s="1"/>
  <c r="G338" i="6"/>
  <c r="G335" i="6" s="1"/>
  <c r="H299" i="6"/>
  <c r="I299" i="6" s="1"/>
  <c r="A299" i="6" s="1"/>
  <c r="G357" i="6"/>
  <c r="H363" i="6"/>
  <c r="I363" i="6" s="1"/>
  <c r="A363" i="6" s="1"/>
  <c r="H371" i="6"/>
  <c r="I371" i="6" s="1"/>
  <c r="A371" i="6" s="1"/>
  <c r="H395" i="6"/>
  <c r="I395" i="6" s="1"/>
  <c r="A395" i="6" s="1"/>
  <c r="H408" i="6"/>
  <c r="I408" i="6" s="1"/>
  <c r="A408" i="6" s="1"/>
  <c r="H418" i="6"/>
  <c r="I418" i="6" s="1"/>
  <c r="A418" i="6" s="1"/>
  <c r="H419" i="6"/>
  <c r="I419" i="6" s="1"/>
  <c r="A419" i="6" s="1"/>
  <c r="H451" i="6"/>
  <c r="I451" i="6" s="1"/>
  <c r="A451" i="6" s="1"/>
  <c r="H464" i="6"/>
  <c r="I464" i="6" s="1"/>
  <c r="A464" i="6" s="1"/>
  <c r="H465" i="6"/>
  <c r="I465" i="6" s="1"/>
  <c r="A465" i="6" s="1"/>
  <c r="H475" i="6"/>
  <c r="I475" i="6" s="1"/>
  <c r="A475" i="6" s="1"/>
  <c r="H501" i="6"/>
  <c r="I501" i="6" s="1"/>
  <c r="A501" i="6" s="1"/>
  <c r="G538" i="6"/>
  <c r="H600" i="6"/>
  <c r="I600" i="6" s="1"/>
  <c r="A600" i="6" s="1"/>
  <c r="H622" i="6"/>
  <c r="I622" i="6" s="1"/>
  <c r="A622" i="6" s="1"/>
  <c r="H654" i="6"/>
  <c r="I654" i="6" s="1"/>
  <c r="A654" i="6" s="1"/>
  <c r="H684" i="6"/>
  <c r="I684" i="6" s="1"/>
  <c r="A684" i="6" s="1"/>
  <c r="G691" i="6"/>
  <c r="G690" i="6" s="1"/>
  <c r="H726" i="6"/>
  <c r="I726" i="6" s="1"/>
  <c r="A726" i="6" s="1"/>
  <c r="H740" i="6"/>
  <c r="I740" i="6" s="1"/>
  <c r="A740" i="6" s="1"/>
  <c r="H754" i="6"/>
  <c r="I754" i="6" s="1"/>
  <c r="A754" i="6" s="1"/>
  <c r="H768" i="6"/>
  <c r="I768" i="6" s="1"/>
  <c r="A768" i="6" s="1"/>
  <c r="H774" i="6"/>
  <c r="I774" i="6" s="1"/>
  <c r="A774" i="6" s="1"/>
  <c r="H798" i="6"/>
  <c r="I798" i="6" s="1"/>
  <c r="A798" i="6" s="1"/>
  <c r="H842" i="6"/>
  <c r="I842" i="6" s="1"/>
  <c r="A842" i="6" s="1"/>
  <c r="H850" i="6"/>
  <c r="I850" i="6" s="1"/>
  <c r="A850" i="6" s="1"/>
  <c r="H921" i="6"/>
  <c r="I921" i="6" s="1"/>
  <c r="A921" i="6" s="1"/>
  <c r="H369" i="6"/>
  <c r="I369" i="6" s="1"/>
  <c r="A369" i="6" s="1"/>
  <c r="H473" i="6"/>
  <c r="I473" i="6" s="1"/>
  <c r="A473" i="6" s="1"/>
  <c r="H519" i="6"/>
  <c r="I519" i="6" s="1"/>
  <c r="A519" i="6" s="1"/>
  <c r="H529" i="6"/>
  <c r="I529" i="6" s="1"/>
  <c r="A529" i="6" s="1"/>
  <c r="E532" i="6"/>
  <c r="G535" i="6"/>
  <c r="G546" i="6"/>
  <c r="G589" i="6"/>
  <c r="H610" i="6"/>
  <c r="I610" i="6" s="1"/>
  <c r="A610" i="6" s="1"/>
  <c r="H630" i="6"/>
  <c r="I630" i="6" s="1"/>
  <c r="A630" i="6" s="1"/>
  <c r="H662" i="6"/>
  <c r="I662" i="6" s="1"/>
  <c r="A662" i="6" s="1"/>
  <c r="H790" i="6"/>
  <c r="I790" i="6" s="1"/>
  <c r="A790" i="6" s="1"/>
  <c r="H822" i="6"/>
  <c r="I822" i="6" s="1"/>
  <c r="A822" i="6" s="1"/>
  <c r="F260" i="6"/>
  <c r="F258" i="6" s="1"/>
  <c r="G270" i="6"/>
  <c r="G320" i="6"/>
  <c r="H355" i="6"/>
  <c r="I355" i="6" s="1"/>
  <c r="A355" i="6" s="1"/>
  <c r="H359" i="6"/>
  <c r="I359" i="6" s="1"/>
  <c r="A359" i="6" s="1"/>
  <c r="H367" i="6"/>
  <c r="I367" i="6" s="1"/>
  <c r="A367" i="6" s="1"/>
  <c r="G392" i="6"/>
  <c r="H398" i="6"/>
  <c r="I398" i="6" s="1"/>
  <c r="A398" i="6" s="1"/>
  <c r="H415" i="6"/>
  <c r="I415" i="6" s="1"/>
  <c r="A415" i="6" s="1"/>
  <c r="H427" i="6"/>
  <c r="I427" i="6" s="1"/>
  <c r="A427" i="6" s="1"/>
  <c r="H429" i="6"/>
  <c r="I429" i="6" s="1"/>
  <c r="A429" i="6" s="1"/>
  <c r="H438" i="6"/>
  <c r="I438" i="6" s="1"/>
  <c r="A438" i="6" s="1"/>
  <c r="H448" i="6"/>
  <c r="I448" i="6" s="1"/>
  <c r="A448" i="6" s="1"/>
  <c r="H462" i="6"/>
  <c r="I462" i="6" s="1"/>
  <c r="A462" i="6" s="1"/>
  <c r="H471" i="6"/>
  <c r="I471" i="6" s="1"/>
  <c r="A471" i="6" s="1"/>
  <c r="H481" i="6"/>
  <c r="I481" i="6" s="1"/>
  <c r="A481" i="6" s="1"/>
  <c r="H485" i="6"/>
  <c r="I485" i="6" s="1"/>
  <c r="A485" i="6" s="1"/>
  <c r="H494" i="6"/>
  <c r="I494" i="6" s="1"/>
  <c r="A494" i="6" s="1"/>
  <c r="H497" i="6"/>
  <c r="I497" i="6" s="1"/>
  <c r="A497" i="6" s="1"/>
  <c r="H507" i="6"/>
  <c r="I507" i="6" s="1"/>
  <c r="A507" i="6" s="1"/>
  <c r="H527" i="6"/>
  <c r="I527" i="6" s="1"/>
  <c r="A527" i="6" s="1"/>
  <c r="H533" i="6"/>
  <c r="I533" i="6" s="1"/>
  <c r="A533" i="6" s="1"/>
  <c r="H540" i="6"/>
  <c r="I540" i="6" s="1"/>
  <c r="A540" i="6" s="1"/>
  <c r="G543" i="6"/>
  <c r="H559" i="6"/>
  <c r="I559" i="6" s="1"/>
  <c r="A559" i="6" s="1"/>
  <c r="H563" i="6"/>
  <c r="I563" i="6" s="1"/>
  <c r="A563" i="6" s="1"/>
  <c r="H573" i="6"/>
  <c r="I573" i="6" s="1"/>
  <c r="A573" i="6" s="1"/>
  <c r="H584" i="6"/>
  <c r="I584" i="6" s="1"/>
  <c r="A584" i="6" s="1"/>
  <c r="H597" i="6"/>
  <c r="I597" i="6" s="1"/>
  <c r="A597" i="6" s="1"/>
  <c r="H608" i="6"/>
  <c r="I608" i="6" s="1"/>
  <c r="A608" i="6" s="1"/>
  <c r="H619" i="6"/>
  <c r="I619" i="6" s="1"/>
  <c r="A619" i="6" s="1"/>
  <c r="H628" i="6"/>
  <c r="I628" i="6" s="1"/>
  <c r="A628" i="6" s="1"/>
  <c r="H637" i="6"/>
  <c r="I637" i="6" s="1"/>
  <c r="A637" i="6" s="1"/>
  <c r="H638" i="6"/>
  <c r="I638" i="6" s="1"/>
  <c r="A638" i="6" s="1"/>
  <c r="H642" i="6"/>
  <c r="I642" i="6" s="1"/>
  <c r="A642" i="6" s="1"/>
  <c r="H651" i="6"/>
  <c r="I651" i="6" s="1"/>
  <c r="A651" i="6" s="1"/>
  <c r="H660" i="6"/>
  <c r="I660" i="6" s="1"/>
  <c r="A660" i="6" s="1"/>
  <c r="H669" i="6"/>
  <c r="I669" i="6" s="1"/>
  <c r="A669" i="6" s="1"/>
  <c r="H670" i="6"/>
  <c r="I670" i="6" s="1"/>
  <c r="A670" i="6" s="1"/>
  <c r="H674" i="6"/>
  <c r="I674" i="6" s="1"/>
  <c r="A674" i="6" s="1"/>
  <c r="H718" i="6"/>
  <c r="I718" i="6" s="1"/>
  <c r="A718" i="6" s="1"/>
  <c r="H728" i="6"/>
  <c r="I728" i="6" s="1"/>
  <c r="A728" i="6" s="1"/>
  <c r="H737" i="6"/>
  <c r="I737" i="6" s="1"/>
  <c r="A737" i="6" s="1"/>
  <c r="H738" i="6"/>
  <c r="I738" i="6" s="1"/>
  <c r="A738" i="6" s="1"/>
  <c r="H741" i="6"/>
  <c r="I741" i="6" s="1"/>
  <c r="A741" i="6" s="1"/>
  <c r="H756" i="6"/>
  <c r="I756" i="6" s="1"/>
  <c r="A756" i="6" s="1"/>
  <c r="H760" i="6"/>
  <c r="I760" i="6" s="1"/>
  <c r="A760" i="6" s="1"/>
  <c r="H769" i="6"/>
  <c r="I769" i="6" s="1"/>
  <c r="A769" i="6" s="1"/>
  <c r="H776" i="6"/>
  <c r="I776" i="6" s="1"/>
  <c r="A776" i="6" s="1"/>
  <c r="H780" i="6"/>
  <c r="I780" i="6" s="1"/>
  <c r="A780" i="6" s="1"/>
  <c r="H800" i="6"/>
  <c r="I800" i="6" s="1"/>
  <c r="A800" i="6" s="1"/>
  <c r="H804" i="6"/>
  <c r="I804" i="6" s="1"/>
  <c r="A804" i="6" s="1"/>
  <c r="H808" i="6"/>
  <c r="I808" i="6" s="1"/>
  <c r="A808" i="6" s="1"/>
  <c r="H816" i="6"/>
  <c r="I816" i="6" s="1"/>
  <c r="A816" i="6" s="1"/>
  <c r="H820" i="6"/>
  <c r="I820" i="6" s="1"/>
  <c r="A820" i="6" s="1"/>
  <c r="H834" i="6"/>
  <c r="H853" i="6"/>
  <c r="I853" i="6" s="1"/>
  <c r="A853" i="6" s="1"/>
  <c r="H854" i="6"/>
  <c r="I854" i="6" s="1"/>
  <c r="A854" i="6" s="1"/>
  <c r="H880" i="6"/>
  <c r="I880" i="6" s="1"/>
  <c r="A880" i="6" s="1"/>
  <c r="H885" i="6"/>
  <c r="I885" i="6" s="1"/>
  <c r="A885" i="6" s="1"/>
  <c r="H918" i="6"/>
  <c r="I918" i="6" s="1"/>
  <c r="A918" i="6" s="1"/>
  <c r="H928" i="6"/>
  <c r="I928" i="6" s="1"/>
  <c r="A928" i="6" s="1"/>
  <c r="H939" i="6"/>
  <c r="I939" i="6" s="1"/>
  <c r="A939" i="6" s="1"/>
  <c r="G949" i="6"/>
  <c r="H958" i="6"/>
  <c r="I958" i="6" s="1"/>
  <c r="A958" i="6" s="1"/>
  <c r="H964" i="6"/>
  <c r="I964" i="6" s="1"/>
  <c r="A964" i="6" s="1"/>
  <c r="H974" i="6"/>
  <c r="I974" i="6" s="1"/>
  <c r="A974" i="6" s="1"/>
  <c r="H976" i="6"/>
  <c r="I976" i="6" s="1"/>
  <c r="A976" i="6" s="1"/>
  <c r="H982" i="6"/>
  <c r="I982" i="6" s="1"/>
  <c r="A982" i="6" s="1"/>
  <c r="H1001" i="6"/>
  <c r="I1001" i="6" s="1"/>
  <c r="A1001" i="6" s="1"/>
  <c r="H1013" i="6"/>
  <c r="I1013" i="6" s="1"/>
  <c r="A1013" i="6" s="1"/>
  <c r="H1021" i="6"/>
  <c r="I1021" i="6" s="1"/>
  <c r="A1021" i="6" s="1"/>
  <c r="G1033" i="6"/>
  <c r="H1046" i="6"/>
  <c r="I1046" i="6" s="1"/>
  <c r="A1046" i="6" s="1"/>
  <c r="G1048" i="6"/>
  <c r="G1047" i="6" s="1"/>
  <c r="H1054" i="6"/>
  <c r="I1054" i="6" s="1"/>
  <c r="A1054" i="6" s="1"/>
  <c r="H1140" i="6"/>
  <c r="I1140" i="6" s="1"/>
  <c r="A1140" i="6" s="1"/>
  <c r="H1145" i="6"/>
  <c r="I1145" i="6" s="1"/>
  <c r="A1145" i="6" s="1"/>
  <c r="F1161" i="6"/>
  <c r="H1167" i="6"/>
  <c r="I1167" i="6" s="1"/>
  <c r="A1167" i="6" s="1"/>
  <c r="H1173" i="6"/>
  <c r="I1173" i="6" s="1"/>
  <c r="A1173" i="6" s="1"/>
  <c r="H1189" i="6"/>
  <c r="I1189" i="6" s="1"/>
  <c r="A1189" i="6" s="1"/>
  <c r="H1193" i="6"/>
  <c r="I1193" i="6" s="1"/>
  <c r="A1193" i="6" s="1"/>
  <c r="H1197" i="6"/>
  <c r="I1197" i="6" s="1"/>
  <c r="A1197" i="6" s="1"/>
  <c r="H1223" i="6"/>
  <c r="I1223" i="6" s="1"/>
  <c r="A1223" i="6" s="1"/>
  <c r="H1227" i="6"/>
  <c r="I1227" i="6" s="1"/>
  <c r="A1227" i="6" s="1"/>
  <c r="H1231" i="6"/>
  <c r="I1231" i="6" s="1"/>
  <c r="A1231" i="6" s="1"/>
  <c r="H1235" i="6"/>
  <c r="I1235" i="6" s="1"/>
  <c r="A1235" i="6" s="1"/>
  <c r="H1239" i="6"/>
  <c r="I1239" i="6" s="1"/>
  <c r="A1239" i="6" s="1"/>
  <c r="F1248" i="6"/>
  <c r="F1247" i="6" s="1"/>
  <c r="G1280" i="6"/>
  <c r="H1310" i="6"/>
  <c r="I1310" i="6" s="1"/>
  <c r="A1310" i="6" s="1"/>
  <c r="H1326" i="6"/>
  <c r="I1326" i="6" s="1"/>
  <c r="A1326" i="6" s="1"/>
  <c r="H1330" i="6"/>
  <c r="I1330" i="6" s="1"/>
  <c r="A1330" i="6" s="1"/>
  <c r="H1338" i="6"/>
  <c r="I1338" i="6" s="1"/>
  <c r="A1338" i="6" s="1"/>
  <c r="H1349" i="6"/>
  <c r="I1349" i="6" s="1"/>
  <c r="A1349" i="6" s="1"/>
  <c r="H1354" i="6"/>
  <c r="I1354" i="6" s="1"/>
  <c r="A1354" i="6" s="1"/>
  <c r="H1358" i="6"/>
  <c r="I1358" i="6" s="1"/>
  <c r="A1358" i="6" s="1"/>
  <c r="H1367" i="6"/>
  <c r="I1367" i="6" s="1"/>
  <c r="A1367" i="6" s="1"/>
  <c r="H1377" i="6"/>
  <c r="I1377" i="6" s="1"/>
  <c r="A1377" i="6" s="1"/>
  <c r="H1397" i="6"/>
  <c r="I1397" i="6" s="1"/>
  <c r="A1397" i="6" s="1"/>
  <c r="H1404" i="6"/>
  <c r="I1404" i="6" s="1"/>
  <c r="A1404" i="6" s="1"/>
  <c r="H1414" i="6"/>
  <c r="I1414" i="6" s="1"/>
  <c r="A1414" i="6" s="1"/>
  <c r="H1428" i="6"/>
  <c r="I1428" i="6" s="1"/>
  <c r="A1428" i="6" s="1"/>
  <c r="H1457" i="6"/>
  <c r="I1457" i="6" s="1"/>
  <c r="A1457" i="6" s="1"/>
  <c r="G1470" i="6"/>
  <c r="H1475" i="6"/>
  <c r="I1475" i="6" s="1"/>
  <c r="A1475" i="6" s="1"/>
  <c r="H1490" i="6"/>
  <c r="I1490" i="6" s="1"/>
  <c r="A1490" i="6" s="1"/>
  <c r="H1505" i="6"/>
  <c r="I1505" i="6" s="1"/>
  <c r="A1505" i="6" s="1"/>
  <c r="H1527" i="6"/>
  <c r="I1527" i="6" s="1"/>
  <c r="A1527" i="6" s="1"/>
  <c r="H1545" i="6"/>
  <c r="I1545" i="6" s="1"/>
  <c r="A1545" i="6" s="1"/>
  <c r="H1569" i="6"/>
  <c r="I1569" i="6" s="1"/>
  <c r="A1569" i="6" s="1"/>
  <c r="H1586" i="6"/>
  <c r="I1586" i="6" s="1"/>
  <c r="A1586" i="6" s="1"/>
  <c r="H1629" i="6"/>
  <c r="I1629" i="6" s="1"/>
  <c r="A1629" i="6" s="1"/>
  <c r="H1663" i="6"/>
  <c r="I1663" i="6" s="1"/>
  <c r="A1663" i="6" s="1"/>
  <c r="H1669" i="6"/>
  <c r="I1669" i="6" s="1"/>
  <c r="A1669" i="6" s="1"/>
  <c r="G1670" i="6"/>
  <c r="G1665" i="6" s="1"/>
  <c r="F1677" i="6" s="1"/>
  <c r="H1683" i="6"/>
  <c r="I1683" i="6" s="1"/>
  <c r="A1683" i="6" s="1"/>
  <c r="G1707" i="6"/>
  <c r="H1024" i="6"/>
  <c r="I1024" i="6" s="1"/>
  <c r="A1024" i="6" s="1"/>
  <c r="H1567" i="6"/>
  <c r="H941" i="6"/>
  <c r="I941" i="6" s="1"/>
  <c r="A941" i="6" s="1"/>
  <c r="H956" i="6"/>
  <c r="I956" i="6" s="1"/>
  <c r="A956" i="6" s="1"/>
  <c r="H966" i="6"/>
  <c r="I966" i="6" s="1"/>
  <c r="A966" i="6" s="1"/>
  <c r="H972" i="6"/>
  <c r="I972" i="6" s="1"/>
  <c r="A972" i="6" s="1"/>
  <c r="H984" i="6"/>
  <c r="I984" i="6" s="1"/>
  <c r="A984" i="6" s="1"/>
  <c r="H992" i="6"/>
  <c r="I992" i="6" s="1"/>
  <c r="A992" i="6" s="1"/>
  <c r="G1009" i="6"/>
  <c r="H1027" i="6"/>
  <c r="I1027" i="6" s="1"/>
  <c r="A1027" i="6" s="1"/>
  <c r="H1035" i="6"/>
  <c r="I1035" i="6" s="1"/>
  <c r="A1035" i="6" s="1"/>
  <c r="H1044" i="6"/>
  <c r="I1044" i="6" s="1"/>
  <c r="A1044" i="6" s="1"/>
  <c r="H1056" i="6"/>
  <c r="I1056" i="6" s="1"/>
  <c r="A1056" i="6" s="1"/>
  <c r="H1062" i="6"/>
  <c r="I1062" i="6" s="1"/>
  <c r="A1062" i="6" s="1"/>
  <c r="G1076" i="6"/>
  <c r="G1073" i="6" s="1"/>
  <c r="F1147" i="6"/>
  <c r="G1176" i="6"/>
  <c r="H1180" i="6"/>
  <c r="I1180" i="6" s="1"/>
  <c r="A1180" i="6" s="1"/>
  <c r="H1190" i="6"/>
  <c r="I1190" i="6" s="1"/>
  <c r="A1190" i="6" s="1"/>
  <c r="H1194" i="6"/>
  <c r="I1194" i="6" s="1"/>
  <c r="A1194" i="6" s="1"/>
  <c r="H1198" i="6"/>
  <c r="I1198" i="6" s="1"/>
  <c r="A1198" i="6" s="1"/>
  <c r="H1202" i="6"/>
  <c r="I1202" i="6" s="1"/>
  <c r="A1202" i="6" s="1"/>
  <c r="H1325" i="6"/>
  <c r="I1325" i="6" s="1"/>
  <c r="A1325" i="6" s="1"/>
  <c r="H1329" i="6"/>
  <c r="I1329" i="6" s="1"/>
  <c r="A1329" i="6" s="1"/>
  <c r="H1333" i="6"/>
  <c r="I1333" i="6" s="1"/>
  <c r="A1333" i="6" s="1"/>
  <c r="H1340" i="6"/>
  <c r="I1340" i="6" s="1"/>
  <c r="A1340" i="6" s="1"/>
  <c r="H1347" i="6"/>
  <c r="I1347" i="6" s="1"/>
  <c r="A1347" i="6" s="1"/>
  <c r="H1357" i="6"/>
  <c r="I1357" i="6" s="1"/>
  <c r="A1357" i="6" s="1"/>
  <c r="H1361" i="6"/>
  <c r="I1361" i="6" s="1"/>
  <c r="A1361" i="6" s="1"/>
  <c r="H1365" i="6"/>
  <c r="I1365" i="6" s="1"/>
  <c r="A1365" i="6" s="1"/>
  <c r="H1386" i="6"/>
  <c r="I1386" i="6" s="1"/>
  <c r="A1386" i="6" s="1"/>
  <c r="H1406" i="6"/>
  <c r="I1406" i="6" s="1"/>
  <c r="A1406" i="6" s="1"/>
  <c r="H1412" i="6"/>
  <c r="I1412" i="6" s="1"/>
  <c r="A1412" i="6" s="1"/>
  <c r="H1422" i="6"/>
  <c r="I1422" i="6" s="1"/>
  <c r="A1422" i="6" s="1"/>
  <c r="H1462" i="6"/>
  <c r="I1462" i="6" s="1"/>
  <c r="A1462" i="6" s="1"/>
  <c r="H1481" i="6"/>
  <c r="I1481" i="6" s="1"/>
  <c r="A1481" i="6" s="1"/>
  <c r="G1535" i="6"/>
  <c r="H1535" i="6" s="1"/>
  <c r="H1544" i="6"/>
  <c r="F1574" i="6"/>
  <c r="F1572" i="6" s="1"/>
  <c r="F1637" i="6"/>
  <c r="F1635" i="6" s="1"/>
  <c r="G1647" i="6"/>
  <c r="F1579" i="6"/>
  <c r="F1577" i="6" s="1"/>
  <c r="F1589" i="6"/>
  <c r="F1587" i="6" s="1"/>
  <c r="F1611" i="6"/>
  <c r="F1679" i="6"/>
  <c r="H1685" i="6"/>
  <c r="I1685" i="6" s="1"/>
  <c r="A1685" i="6" s="1"/>
  <c r="H1691" i="6"/>
  <c r="I1691" i="6" s="1"/>
  <c r="A1691" i="6" s="1"/>
  <c r="H1695" i="6"/>
  <c r="I1695" i="6" s="1"/>
  <c r="A1695" i="6" s="1"/>
  <c r="H1699" i="6"/>
  <c r="I1699" i="6" s="1"/>
  <c r="A1699" i="6" s="1"/>
  <c r="H1701" i="6"/>
  <c r="H1718" i="6"/>
  <c r="I1718" i="6" s="1"/>
  <c r="H1752" i="6"/>
  <c r="I1752" i="6" s="1"/>
  <c r="A1752" i="6" s="1"/>
  <c r="G1756" i="6"/>
  <c r="F1765" i="6"/>
  <c r="F1771" i="6"/>
  <c r="H1797" i="6"/>
  <c r="I1797" i="6" s="1"/>
  <c r="A1797" i="6" s="1"/>
  <c r="H1848" i="6"/>
  <c r="I1848" i="6" s="1"/>
  <c r="A1848" i="6" s="1"/>
  <c r="H1856" i="6"/>
  <c r="I1856" i="6" s="1"/>
  <c r="A1856" i="6" s="1"/>
  <c r="G1890" i="6"/>
  <c r="G1888" i="6" s="1"/>
  <c r="H1900" i="6"/>
  <c r="I1900" i="6" s="1"/>
  <c r="A1900" i="6" s="1"/>
  <c r="H1931" i="6"/>
  <c r="I1931" i="6" s="1"/>
  <c r="A1931" i="6" s="1"/>
  <c r="H1981" i="6"/>
  <c r="I1981" i="6" s="1"/>
  <c r="A1981" i="6" s="1"/>
  <c r="H2010" i="6"/>
  <c r="I2010" i="6" s="1"/>
  <c r="A2010" i="6" s="1"/>
  <c r="H2018" i="6"/>
  <c r="I2018" i="6" s="1"/>
  <c r="A2018" i="6" s="1"/>
  <c r="G2087" i="6"/>
  <c r="H1702" i="6"/>
  <c r="I1702" i="6" s="1"/>
  <c r="H1716" i="6"/>
  <c r="I1716" i="6" s="1"/>
  <c r="A1716" i="6" s="1"/>
  <c r="H1723" i="6"/>
  <c r="I1723" i="6" s="1"/>
  <c r="A1723" i="6" s="1"/>
  <c r="H1724" i="6"/>
  <c r="I1724" i="6" s="1"/>
  <c r="A1724" i="6" s="1"/>
  <c r="H1729" i="6"/>
  <c r="I1729" i="6" s="1"/>
  <c r="A1729" i="6" s="1"/>
  <c r="H1746" i="6"/>
  <c r="I1746" i="6" s="1"/>
  <c r="H1750" i="6"/>
  <c r="I1750" i="6" s="1"/>
  <c r="A1750" i="6" s="1"/>
  <c r="H1754" i="6"/>
  <c r="I1754" i="6" s="1"/>
  <c r="A1754" i="6" s="1"/>
  <c r="H1775" i="6"/>
  <c r="I1775" i="6" s="1"/>
  <c r="A1775" i="6" s="1"/>
  <c r="H1785" i="6"/>
  <c r="I1785" i="6" s="1"/>
  <c r="A1785" i="6" s="1"/>
  <c r="H1786" i="6"/>
  <c r="I1786" i="6" s="1"/>
  <c r="A1786" i="6" s="1"/>
  <c r="F1800" i="6"/>
  <c r="H1800" i="6" s="1"/>
  <c r="H1814" i="6"/>
  <c r="I1814" i="6" s="1"/>
  <c r="A1814" i="6" s="1"/>
  <c r="H1850" i="6"/>
  <c r="I1850" i="6" s="1"/>
  <c r="A1850" i="6" s="1"/>
  <c r="H1854" i="6"/>
  <c r="I1854" i="6" s="1"/>
  <c r="A1854" i="6" s="1"/>
  <c r="F1858" i="6"/>
  <c r="H1903" i="6"/>
  <c r="I1903" i="6" s="1"/>
  <c r="A1903" i="6" s="1"/>
  <c r="H1911" i="6"/>
  <c r="I1911" i="6" s="1"/>
  <c r="A1911" i="6" s="1"/>
  <c r="F1912" i="6"/>
  <c r="H1925" i="6"/>
  <c r="I1925" i="6" s="1"/>
  <c r="A1925" i="6" s="1"/>
  <c r="H1943" i="6"/>
  <c r="I1943" i="6" s="1"/>
  <c r="A1943" i="6" s="1"/>
  <c r="H1944" i="6"/>
  <c r="I1944" i="6" s="1"/>
  <c r="A1944" i="6" s="1"/>
  <c r="H1956" i="6"/>
  <c r="I1956" i="6" s="1"/>
  <c r="A1956" i="6" s="1"/>
  <c r="F1966" i="6"/>
  <c r="F1982" i="6"/>
  <c r="H1990" i="6"/>
  <c r="I1990" i="6" s="1"/>
  <c r="A1990" i="6" s="1"/>
  <c r="H2020" i="6"/>
  <c r="I2020" i="6" s="1"/>
  <c r="A2020" i="6" s="1"/>
  <c r="H2045" i="6"/>
  <c r="I2045" i="6" s="1"/>
  <c r="A2045" i="6" s="1"/>
  <c r="H2056" i="6"/>
  <c r="I2056" i="6" s="1"/>
  <c r="A2056" i="6" s="1"/>
  <c r="G2093" i="6"/>
  <c r="G2160" i="6"/>
  <c r="G2190" i="6"/>
  <c r="H2190" i="6" s="1"/>
  <c r="I2190" i="6" s="1"/>
  <c r="A2190" i="6" s="1"/>
  <c r="H39" i="6"/>
  <c r="I39" i="6" s="1"/>
  <c r="A39" i="6" s="1"/>
  <c r="H51" i="6"/>
  <c r="I51" i="6" s="1"/>
  <c r="A51" i="6" s="1"/>
  <c r="H732" i="6"/>
  <c r="I732" i="6" s="1"/>
  <c r="A732" i="6" s="1"/>
  <c r="H794" i="6"/>
  <c r="H860" i="6"/>
  <c r="I860" i="6" s="1"/>
  <c r="A860" i="6" s="1"/>
  <c r="H914" i="6"/>
  <c r="I914" i="6" s="1"/>
  <c r="A914" i="6" s="1"/>
  <c r="H1207" i="6"/>
  <c r="I1207" i="6" s="1"/>
  <c r="A1207" i="6" s="1"/>
  <c r="H1542" i="6"/>
  <c r="I1542" i="6" s="1"/>
  <c r="A1542" i="6" s="1"/>
  <c r="H2089" i="6"/>
  <c r="I2089" i="6" s="1"/>
  <c r="A2089" i="6" s="1"/>
  <c r="G2152" i="6"/>
  <c r="G2176" i="6"/>
  <c r="G2175" i="6" s="1"/>
  <c r="F2186" i="6"/>
  <c r="H2186" i="6" s="1"/>
  <c r="I2186" i="6" s="1"/>
  <c r="A2186" i="6" s="1"/>
  <c r="G2207" i="6"/>
  <c r="H2216" i="6"/>
  <c r="I2216" i="6" s="1"/>
  <c r="A2216" i="6" s="1"/>
  <c r="H1732" i="6"/>
  <c r="I1732" i="6" s="1"/>
  <c r="A1732" i="6" s="1"/>
  <c r="G1762" i="6"/>
  <c r="H1768" i="6"/>
  <c r="I1768" i="6" s="1"/>
  <c r="A1768" i="6" s="1"/>
  <c r="H1774" i="6"/>
  <c r="I1774" i="6" s="1"/>
  <c r="A1774" i="6" s="1"/>
  <c r="H1784" i="6"/>
  <c r="I1784" i="6" s="1"/>
  <c r="A1784" i="6" s="1"/>
  <c r="F1821" i="6"/>
  <c r="H1881" i="6"/>
  <c r="I1881" i="6" s="1"/>
  <c r="A1881" i="6" s="1"/>
  <c r="G1926" i="6"/>
  <c r="H1927" i="6"/>
  <c r="I1927" i="6" s="1"/>
  <c r="A1927" i="6" s="1"/>
  <c r="H1961" i="6"/>
  <c r="I1961" i="6" s="1"/>
  <c r="A1961" i="6" s="1"/>
  <c r="H1985" i="6"/>
  <c r="I1985" i="6" s="1"/>
  <c r="A1985" i="6" s="1"/>
  <c r="H1997" i="6"/>
  <c r="I1997" i="6" s="1"/>
  <c r="A1997" i="6" s="1"/>
  <c r="G2028" i="6"/>
  <c r="G2026" i="6" s="1"/>
  <c r="H2032" i="6"/>
  <c r="I2032" i="6" s="1"/>
  <c r="A2032" i="6" s="1"/>
  <c r="H2044" i="6"/>
  <c r="I2044" i="6" s="1"/>
  <c r="A2044" i="6" s="1"/>
  <c r="H2054" i="6"/>
  <c r="I2054" i="6" s="1"/>
  <c r="A2054" i="6" s="1"/>
  <c r="H2059" i="6"/>
  <c r="I2059" i="6" s="1"/>
  <c r="H2060" i="6"/>
  <c r="I2060" i="6" s="1"/>
  <c r="H2070" i="6"/>
  <c r="I2070" i="6" s="1"/>
  <c r="A2070" i="6" s="1"/>
  <c r="H2076" i="6"/>
  <c r="I2076" i="6" s="1"/>
  <c r="A2076" i="6" s="1"/>
  <c r="H2088" i="6"/>
  <c r="I2088" i="6" s="1"/>
  <c r="A2088" i="6" s="1"/>
  <c r="H2092" i="6"/>
  <c r="I2092" i="6" s="1"/>
  <c r="A2092" i="6" s="1"/>
  <c r="H2095" i="6"/>
  <c r="I2095" i="6" s="1"/>
  <c r="A2095" i="6" s="1"/>
  <c r="H2103" i="6"/>
  <c r="I2103" i="6" s="1"/>
  <c r="A2103" i="6" s="1"/>
  <c r="H2116" i="6"/>
  <c r="I2116" i="6" s="1"/>
  <c r="A2116" i="6" s="1"/>
  <c r="H2122" i="6"/>
  <c r="I2122" i="6" s="1"/>
  <c r="A2122" i="6" s="1"/>
  <c r="H2140" i="6"/>
  <c r="I2140" i="6" s="1"/>
  <c r="A2140" i="6" s="1"/>
  <c r="G2155" i="6"/>
  <c r="G2163" i="6"/>
  <c r="H2168" i="6"/>
  <c r="I2168" i="6" s="1"/>
  <c r="A2168" i="6" s="1"/>
  <c r="H2173" i="6"/>
  <c r="I2173" i="6" s="1"/>
  <c r="A2173" i="6" s="1"/>
  <c r="H2181" i="6"/>
  <c r="I2181" i="6" s="1"/>
  <c r="A2181" i="6" s="1"/>
  <c r="H2199" i="6"/>
  <c r="I2199" i="6" s="1"/>
  <c r="A2199" i="6" s="1"/>
  <c r="H2206" i="6"/>
  <c r="I2206" i="6" s="1"/>
  <c r="A2206" i="6" s="1"/>
  <c r="H1042" i="6"/>
  <c r="I1042" i="6" s="1"/>
  <c r="A1042" i="6" s="1"/>
  <c r="H1379" i="6"/>
  <c r="I1379" i="6" s="1"/>
  <c r="A1379" i="6" s="1"/>
  <c r="H1489" i="6"/>
  <c r="I1489" i="6" s="1"/>
  <c r="A1489" i="6" s="1"/>
  <c r="E11" i="6"/>
  <c r="E576" i="6"/>
  <c r="E575" i="6" s="1"/>
  <c r="E8" i="6"/>
  <c r="E396" i="6"/>
  <c r="E538" i="6"/>
  <c r="E582" i="6"/>
  <c r="E581" i="6" s="1"/>
  <c r="E1033" i="6"/>
  <c r="E1874" i="6"/>
  <c r="E1871" i="6" s="1"/>
  <c r="E124" i="6"/>
  <c r="E546" i="6"/>
  <c r="J17" i="13"/>
  <c r="J22" i="13" s="1"/>
  <c r="G58" i="6"/>
  <c r="H74" i="6"/>
  <c r="I74" i="6" s="1"/>
  <c r="A74" i="6" s="1"/>
  <c r="H121" i="6"/>
  <c r="I121" i="6" s="1"/>
  <c r="A121" i="6" s="1"/>
  <c r="H126" i="6"/>
  <c r="I126" i="6" s="1"/>
  <c r="A126" i="6" s="1"/>
  <c r="H136" i="6"/>
  <c r="I136" i="6" s="1"/>
  <c r="A136" i="6" s="1"/>
  <c r="F133" i="6"/>
  <c r="H164" i="6"/>
  <c r="I164" i="6" s="1"/>
  <c r="A164" i="6" s="1"/>
  <c r="G163" i="6"/>
  <c r="E276" i="6"/>
  <c r="E274" i="6" s="1"/>
  <c r="G302" i="6"/>
  <c r="G300" i="6" s="1"/>
  <c r="H303" i="6"/>
  <c r="I303" i="6" s="1"/>
  <c r="A303" i="6" s="1"/>
  <c r="H347" i="6"/>
  <c r="I347" i="6" s="1"/>
  <c r="A347" i="6" s="1"/>
  <c r="G346" i="6"/>
  <c r="H152" i="6"/>
  <c r="I152" i="6" s="1"/>
  <c r="A152" i="6" s="1"/>
  <c r="G151" i="6"/>
  <c r="H168" i="6"/>
  <c r="I168" i="6" s="1"/>
  <c r="A168" i="6" s="1"/>
  <c r="F167" i="6"/>
  <c r="G224" i="6"/>
  <c r="H225" i="6"/>
  <c r="I225" i="6" s="1"/>
  <c r="A225" i="6" s="1"/>
  <c r="H343" i="6"/>
  <c r="I343" i="6" s="1"/>
  <c r="A343" i="6" s="1"/>
  <c r="G341" i="6"/>
  <c r="H351" i="6"/>
  <c r="I351" i="6" s="1"/>
  <c r="A351" i="6" s="1"/>
  <c r="F350" i="6"/>
  <c r="H350" i="6" s="1"/>
  <c r="I350" i="6" s="1"/>
  <c r="G71" i="6"/>
  <c r="G79" i="6"/>
  <c r="G87" i="6"/>
  <c r="G99" i="6"/>
  <c r="H12" i="12"/>
  <c r="L40" i="12"/>
  <c r="H156" i="6"/>
  <c r="I156" i="6" s="1"/>
  <c r="A156" i="6" s="1"/>
  <c r="F155" i="6"/>
  <c r="H13" i="6"/>
  <c r="I13" i="6" s="1"/>
  <c r="A13" i="6" s="1"/>
  <c r="H127" i="6"/>
  <c r="I127" i="6" s="1"/>
  <c r="A127" i="6" s="1"/>
  <c r="H130" i="6"/>
  <c r="I130" i="6" s="1"/>
  <c r="A130" i="6" s="1"/>
  <c r="F129" i="6"/>
  <c r="F141" i="6"/>
  <c r="H141" i="6" s="1"/>
  <c r="G208" i="6"/>
  <c r="H209" i="6"/>
  <c r="I209" i="6" s="1"/>
  <c r="A209" i="6" s="1"/>
  <c r="H321" i="6"/>
  <c r="I321" i="6" s="1"/>
  <c r="A321" i="6" s="1"/>
  <c r="F320" i="6"/>
  <c r="H337" i="6"/>
  <c r="I337" i="6" s="1"/>
  <c r="A337" i="6" s="1"/>
  <c r="F336" i="6"/>
  <c r="H336" i="6" s="1"/>
  <c r="G370" i="6"/>
  <c r="E174" i="6"/>
  <c r="H235" i="6"/>
  <c r="I235" i="6" s="1"/>
  <c r="A235" i="6" s="1"/>
  <c r="H241" i="6"/>
  <c r="I241" i="6" s="1"/>
  <c r="A241" i="6" s="1"/>
  <c r="G249" i="6"/>
  <c r="G247" i="6" s="1"/>
  <c r="G291" i="6"/>
  <c r="G289" i="6" s="1"/>
  <c r="G297" i="6"/>
  <c r="G295" i="6" s="1"/>
  <c r="G353" i="6"/>
  <c r="G366" i="6"/>
  <c r="F392" i="6"/>
  <c r="G399" i="6"/>
  <c r="F532" i="6"/>
  <c r="F538" i="6"/>
  <c r="F546" i="6"/>
  <c r="G683" i="6"/>
  <c r="H692" i="6"/>
  <c r="I692" i="6" s="1"/>
  <c r="A692" i="6" s="1"/>
  <c r="H720" i="6"/>
  <c r="I720" i="6" s="1"/>
  <c r="A720" i="6" s="1"/>
  <c r="H744" i="6"/>
  <c r="I744" i="6" s="1"/>
  <c r="A744" i="6" s="1"/>
  <c r="H764" i="6"/>
  <c r="I764" i="6" s="1"/>
  <c r="A764" i="6" s="1"/>
  <c r="H784" i="6"/>
  <c r="I784" i="6" s="1"/>
  <c r="A784" i="6" s="1"/>
  <c r="G118" i="6"/>
  <c r="G124" i="6"/>
  <c r="H135" i="6"/>
  <c r="I135" i="6" s="1"/>
  <c r="A135" i="6" s="1"/>
  <c r="H145" i="6"/>
  <c r="I145" i="6" s="1"/>
  <c r="A145" i="6" s="1"/>
  <c r="E158" i="6"/>
  <c r="H161" i="6"/>
  <c r="I161" i="6" s="1"/>
  <c r="A161" i="6" s="1"/>
  <c r="E170" i="6"/>
  <c r="H175" i="6"/>
  <c r="I175" i="6" s="1"/>
  <c r="A175" i="6" s="1"/>
  <c r="H191" i="6"/>
  <c r="I191" i="6" s="1"/>
  <c r="A191" i="6" s="1"/>
  <c r="H201" i="6"/>
  <c r="I201" i="6" s="1"/>
  <c r="A201" i="6" s="1"/>
  <c r="E203" i="6"/>
  <c r="G213" i="6"/>
  <c r="H221" i="6"/>
  <c r="I221" i="6" s="1"/>
  <c r="A221" i="6" s="1"/>
  <c r="G239" i="6"/>
  <c r="G237" i="6" s="1"/>
  <c r="H246" i="6"/>
  <c r="I246" i="6" s="1"/>
  <c r="A246" i="6" s="1"/>
  <c r="F270" i="6"/>
  <c r="E281" i="6"/>
  <c r="E279" i="6" s="1"/>
  <c r="H315" i="6"/>
  <c r="I315" i="6" s="1"/>
  <c r="A315" i="6" s="1"/>
  <c r="E317" i="6"/>
  <c r="G328" i="6"/>
  <c r="F366" i="6"/>
  <c r="F396" i="6"/>
  <c r="H406" i="6"/>
  <c r="I406" i="6" s="1"/>
  <c r="A406" i="6" s="1"/>
  <c r="H412" i="6"/>
  <c r="I412" i="6" s="1"/>
  <c r="A412" i="6" s="1"/>
  <c r="H422" i="6"/>
  <c r="I422" i="6" s="1"/>
  <c r="A422" i="6" s="1"/>
  <c r="H424" i="6"/>
  <c r="I424" i="6" s="1"/>
  <c r="A424" i="6" s="1"/>
  <c r="H436" i="6"/>
  <c r="I436" i="6" s="1"/>
  <c r="A436" i="6" s="1"/>
  <c r="H446" i="6"/>
  <c r="I446" i="6" s="1"/>
  <c r="A446" i="6" s="1"/>
  <c r="H460" i="6"/>
  <c r="I460" i="6" s="1"/>
  <c r="A460" i="6" s="1"/>
  <c r="H468" i="6"/>
  <c r="I468" i="6" s="1"/>
  <c r="A468" i="6" s="1"/>
  <c r="H478" i="6"/>
  <c r="I478" i="6" s="1"/>
  <c r="A478" i="6" s="1"/>
  <c r="H484" i="6"/>
  <c r="I484" i="6" s="1"/>
  <c r="A484" i="6" s="1"/>
  <c r="H492" i="6"/>
  <c r="I492" i="6" s="1"/>
  <c r="A492" i="6" s="1"/>
  <c r="H504" i="6"/>
  <c r="I504" i="6" s="1"/>
  <c r="A504" i="6" s="1"/>
  <c r="F520" i="6"/>
  <c r="H520" i="6" s="1"/>
  <c r="I520" i="6" s="1"/>
  <c r="A520" i="6" s="1"/>
  <c r="G525" i="6"/>
  <c r="H552" i="6"/>
  <c r="I552" i="6" s="1"/>
  <c r="A552" i="6" s="1"/>
  <c r="H562" i="6"/>
  <c r="I562" i="6" s="1"/>
  <c r="A562" i="6" s="1"/>
  <c r="H569" i="6"/>
  <c r="I569" i="6" s="1"/>
  <c r="A569" i="6" s="1"/>
  <c r="G576" i="6"/>
  <c r="G575" i="6" s="1"/>
  <c r="G582" i="6"/>
  <c r="G581" i="6" s="1"/>
  <c r="H595" i="6"/>
  <c r="I595" i="6" s="1"/>
  <c r="A595" i="6" s="1"/>
  <c r="H603" i="6"/>
  <c r="I603" i="6" s="1"/>
  <c r="A603" i="6" s="1"/>
  <c r="H605" i="6"/>
  <c r="I605" i="6" s="1"/>
  <c r="A605" i="6" s="1"/>
  <c r="H617" i="6"/>
  <c r="I617" i="6" s="1"/>
  <c r="A617" i="6" s="1"/>
  <c r="H625" i="6"/>
  <c r="I625" i="6" s="1"/>
  <c r="A625" i="6" s="1"/>
  <c r="H633" i="6"/>
  <c r="I633" i="6" s="1"/>
  <c r="A633" i="6" s="1"/>
  <c r="H641" i="6"/>
  <c r="I641" i="6" s="1"/>
  <c r="A641" i="6" s="1"/>
  <c r="H649" i="6"/>
  <c r="I649" i="6" s="1"/>
  <c r="A649" i="6" s="1"/>
  <c r="H657" i="6"/>
  <c r="I657" i="6" s="1"/>
  <c r="A657" i="6" s="1"/>
  <c r="H665" i="6"/>
  <c r="I665" i="6" s="1"/>
  <c r="A665" i="6" s="1"/>
  <c r="H673" i="6"/>
  <c r="I673" i="6" s="1"/>
  <c r="A673" i="6" s="1"/>
  <c r="H681" i="6"/>
  <c r="I681" i="6" s="1"/>
  <c r="A681" i="6" s="1"/>
  <c r="H685" i="6"/>
  <c r="I685" i="6" s="1"/>
  <c r="A685" i="6" s="1"/>
  <c r="G707" i="6"/>
  <c r="H724" i="6"/>
  <c r="I724" i="6" s="1"/>
  <c r="A724" i="6" s="1"/>
  <c r="H736" i="6"/>
  <c r="I736" i="6" s="1"/>
  <c r="A736" i="6" s="1"/>
  <c r="H752" i="6"/>
  <c r="I752" i="6" s="1"/>
  <c r="A752" i="6" s="1"/>
  <c r="H761" i="6"/>
  <c r="I761" i="6" s="1"/>
  <c r="A761" i="6" s="1"/>
  <c r="H781" i="6"/>
  <c r="I781" i="6" s="1"/>
  <c r="A781" i="6" s="1"/>
  <c r="H788" i="6"/>
  <c r="H796" i="6"/>
  <c r="I796" i="6" s="1"/>
  <c r="A796" i="6" s="1"/>
  <c r="H847" i="6"/>
  <c r="I847" i="6" s="1"/>
  <c r="A847" i="6" s="1"/>
  <c r="H859" i="6"/>
  <c r="H861" i="6"/>
  <c r="I861" i="6" s="1"/>
  <c r="A861" i="6" s="1"/>
  <c r="H863" i="6"/>
  <c r="I863" i="6" s="1"/>
  <c r="A863" i="6" s="1"/>
  <c r="H866" i="6"/>
  <c r="I866" i="6" s="1"/>
  <c r="A866" i="6" s="1"/>
  <c r="H867" i="6"/>
  <c r="I867" i="6" s="1"/>
  <c r="A867" i="6" s="1"/>
  <c r="H871" i="6"/>
  <c r="I871" i="6" s="1"/>
  <c r="A871" i="6" s="1"/>
  <c r="A905" i="6"/>
  <c r="G906" i="6"/>
  <c r="H139" i="6"/>
  <c r="I139" i="6" s="1"/>
  <c r="A139" i="6" s="1"/>
  <c r="F143" i="6"/>
  <c r="H153" i="6"/>
  <c r="I153" i="6" s="1"/>
  <c r="A153" i="6" s="1"/>
  <c r="H159" i="6"/>
  <c r="I159" i="6" s="1"/>
  <c r="A159" i="6" s="1"/>
  <c r="H165" i="6"/>
  <c r="I165" i="6" s="1"/>
  <c r="A165" i="6" s="1"/>
  <c r="H171" i="6"/>
  <c r="I171" i="6" s="1"/>
  <c r="A171" i="6" s="1"/>
  <c r="F192" i="6"/>
  <c r="H236" i="6"/>
  <c r="I236" i="6" s="1"/>
  <c r="A236" i="6" s="1"/>
  <c r="H348" i="6"/>
  <c r="I348" i="6" s="1"/>
  <c r="A348" i="6" s="1"/>
  <c r="H356" i="6"/>
  <c r="I356" i="6" s="1"/>
  <c r="A356" i="6" s="1"/>
  <c r="H420" i="6"/>
  <c r="I420" i="6" s="1"/>
  <c r="A420" i="6" s="1"/>
  <c r="H434" i="6"/>
  <c r="I434" i="6" s="1"/>
  <c r="A434" i="6" s="1"/>
  <c r="H444" i="6"/>
  <c r="I444" i="6" s="1"/>
  <c r="A444" i="6" s="1"/>
  <c r="H452" i="6"/>
  <c r="I452" i="6" s="1"/>
  <c r="A452" i="6" s="1"/>
  <c r="H458" i="6"/>
  <c r="I458" i="6" s="1"/>
  <c r="A458" i="6" s="1"/>
  <c r="H466" i="6"/>
  <c r="I466" i="6" s="1"/>
  <c r="A466" i="6" s="1"/>
  <c r="H476" i="6"/>
  <c r="I476" i="6" s="1"/>
  <c r="A476" i="6" s="1"/>
  <c r="H482" i="6"/>
  <c r="I482" i="6" s="1"/>
  <c r="A482" i="6" s="1"/>
  <c r="H490" i="6"/>
  <c r="I490" i="6" s="1"/>
  <c r="A490" i="6" s="1"/>
  <c r="H502" i="6"/>
  <c r="I502" i="6" s="1"/>
  <c r="A502" i="6" s="1"/>
  <c r="H530" i="6"/>
  <c r="I530" i="6" s="1"/>
  <c r="A530" i="6" s="1"/>
  <c r="H560" i="6"/>
  <c r="I560" i="6" s="1"/>
  <c r="A560" i="6" s="1"/>
  <c r="H593" i="6"/>
  <c r="I593" i="6" s="1"/>
  <c r="A593" i="6" s="1"/>
  <c r="H601" i="6"/>
  <c r="I601" i="6" s="1"/>
  <c r="A601" i="6" s="1"/>
  <c r="H615" i="6"/>
  <c r="I615" i="6" s="1"/>
  <c r="A615" i="6" s="1"/>
  <c r="H623" i="6"/>
  <c r="I623" i="6" s="1"/>
  <c r="A623" i="6" s="1"/>
  <c r="H631" i="6"/>
  <c r="I631" i="6" s="1"/>
  <c r="A631" i="6" s="1"/>
  <c r="H639" i="6"/>
  <c r="I639" i="6" s="1"/>
  <c r="A639" i="6" s="1"/>
  <c r="H647" i="6"/>
  <c r="I647" i="6" s="1"/>
  <c r="A647" i="6" s="1"/>
  <c r="H655" i="6"/>
  <c r="I655" i="6" s="1"/>
  <c r="A655" i="6" s="1"/>
  <c r="H663" i="6"/>
  <c r="I663" i="6" s="1"/>
  <c r="A663" i="6" s="1"/>
  <c r="H671" i="6"/>
  <c r="I671" i="6" s="1"/>
  <c r="A671" i="6" s="1"/>
  <c r="H679" i="6"/>
  <c r="I679" i="6" s="1"/>
  <c r="A679" i="6" s="1"/>
  <c r="F691" i="6"/>
  <c r="G698" i="6"/>
  <c r="G697" i="6" s="1"/>
  <c r="H711" i="6"/>
  <c r="I711" i="6" s="1"/>
  <c r="A711" i="6" s="1"/>
  <c r="H721" i="6"/>
  <c r="I721" i="6" s="1"/>
  <c r="A721" i="6" s="1"/>
  <c r="H733" i="6"/>
  <c r="I733" i="6" s="1"/>
  <c r="A733" i="6" s="1"/>
  <c r="H745" i="6"/>
  <c r="I745" i="6" s="1"/>
  <c r="A745" i="6" s="1"/>
  <c r="H765" i="6"/>
  <c r="I765" i="6" s="1"/>
  <c r="A765" i="6" s="1"/>
  <c r="H785" i="6"/>
  <c r="I785" i="6" s="1"/>
  <c r="A785" i="6" s="1"/>
  <c r="H793" i="6"/>
  <c r="I793" i="6" s="1"/>
  <c r="A793" i="6" s="1"/>
  <c r="H846" i="6"/>
  <c r="I846" i="6" s="1"/>
  <c r="A846" i="6" s="1"/>
  <c r="H882" i="6"/>
  <c r="I882" i="6" s="1"/>
  <c r="A882" i="6" s="1"/>
  <c r="H933" i="6"/>
  <c r="I933" i="6" s="1"/>
  <c r="A933" i="6" s="1"/>
  <c r="H942" i="6"/>
  <c r="I942" i="6" s="1"/>
  <c r="A942" i="6" s="1"/>
  <c r="G947" i="6"/>
  <c r="G946" i="6"/>
  <c r="H946" i="6" s="1"/>
  <c r="H967" i="6"/>
  <c r="I967" i="6" s="1"/>
  <c r="A967" i="6" s="1"/>
  <c r="H985" i="6"/>
  <c r="I985" i="6" s="1"/>
  <c r="A985" i="6" s="1"/>
  <c r="G1014" i="6"/>
  <c r="H1456" i="6"/>
  <c r="I1456" i="6" s="1"/>
  <c r="A1456" i="6" s="1"/>
  <c r="F1455" i="6"/>
  <c r="H1693" i="6"/>
  <c r="I1693" i="6" s="1"/>
  <c r="A1693" i="6" s="1"/>
  <c r="F1689" i="6"/>
  <c r="F1688" i="6" s="1"/>
  <c r="H1803" i="6"/>
  <c r="I1803" i="6" s="1"/>
  <c r="A1803" i="6" s="1"/>
  <c r="G1802" i="6"/>
  <c r="H1802" i="6" s="1"/>
  <c r="H1950" i="6"/>
  <c r="I1950" i="6" s="1"/>
  <c r="A1950" i="6" s="1"/>
  <c r="G926" i="6"/>
  <c r="G925" i="6" s="1"/>
  <c r="G1000" i="6"/>
  <c r="G999" i="6" s="1"/>
  <c r="F1017" i="6"/>
  <c r="H1017" i="6" s="1"/>
  <c r="I1017" i="6" s="1"/>
  <c r="A1017" i="6" s="1"/>
  <c r="G1020" i="6"/>
  <c r="G1026" i="6"/>
  <c r="H97" i="14" s="1"/>
  <c r="F1033" i="6"/>
  <c r="H1148" i="6"/>
  <c r="I1148" i="6" s="1"/>
  <c r="A1148" i="6" s="1"/>
  <c r="H1174" i="6"/>
  <c r="I1174" i="6" s="1"/>
  <c r="A1174" i="6" s="1"/>
  <c r="H1191" i="6"/>
  <c r="I1191" i="6" s="1"/>
  <c r="A1191" i="6" s="1"/>
  <c r="H1195" i="6"/>
  <c r="I1195" i="6" s="1"/>
  <c r="A1195" i="6" s="1"/>
  <c r="H1199" i="6"/>
  <c r="I1199" i="6" s="1"/>
  <c r="A1199" i="6" s="1"/>
  <c r="H1203" i="6"/>
  <c r="I1203" i="6" s="1"/>
  <c r="A1203" i="6" s="1"/>
  <c r="H1243" i="6"/>
  <c r="I1243" i="6" s="1"/>
  <c r="A1243" i="6" s="1"/>
  <c r="H1261" i="6"/>
  <c r="I1261" i="6" s="1"/>
  <c r="A1261" i="6" s="1"/>
  <c r="H1265" i="6"/>
  <c r="I1265" i="6" s="1"/>
  <c r="A1265" i="6" s="1"/>
  <c r="H1274" i="6"/>
  <c r="I1274" i="6" s="1"/>
  <c r="A1274" i="6" s="1"/>
  <c r="H1278" i="6"/>
  <c r="I1278" i="6" s="1"/>
  <c r="A1278" i="6" s="1"/>
  <c r="H1292" i="6"/>
  <c r="I1292" i="6" s="1"/>
  <c r="A1292" i="6" s="1"/>
  <c r="G1302" i="6"/>
  <c r="G1311" i="6"/>
  <c r="H1327" i="6"/>
  <c r="I1327" i="6" s="1"/>
  <c r="A1327" i="6" s="1"/>
  <c r="H1331" i="6"/>
  <c r="I1331" i="6" s="1"/>
  <c r="A1331" i="6" s="1"/>
  <c r="F1421" i="6"/>
  <c r="G1427" i="6"/>
  <c r="G1455" i="6"/>
  <c r="H1618" i="6"/>
  <c r="I1618" i="6" s="1"/>
  <c r="A1618" i="6" s="1"/>
  <c r="G1617" i="6"/>
  <c r="H1636" i="6"/>
  <c r="I1636" i="6" s="1"/>
  <c r="A1636" i="6" s="1"/>
  <c r="G1712" i="6"/>
  <c r="G1711" i="6" s="1"/>
  <c r="H1736" i="6"/>
  <c r="I1736" i="6" s="1"/>
  <c r="A1736" i="6" s="1"/>
  <c r="G1735" i="6"/>
  <c r="G1734" i="6" s="1"/>
  <c r="F1738" i="6" s="1"/>
  <c r="G2237" i="6" s="1"/>
  <c r="H2237" i="6" s="1"/>
  <c r="I2237" i="6" s="1"/>
  <c r="A2237" i="6" s="1"/>
  <c r="H843" i="6"/>
  <c r="I843" i="6" s="1"/>
  <c r="A843" i="6" s="1"/>
  <c r="H855" i="6"/>
  <c r="I855" i="6" s="1"/>
  <c r="A855" i="6" s="1"/>
  <c r="H864" i="6"/>
  <c r="I864" i="6" s="1"/>
  <c r="A864" i="6" s="1"/>
  <c r="H865" i="6"/>
  <c r="I865" i="6" s="1"/>
  <c r="A865" i="6" s="1"/>
  <c r="H868" i="6"/>
  <c r="I868" i="6" s="1"/>
  <c r="A868" i="6" s="1"/>
  <c r="H876" i="6"/>
  <c r="I876" i="6" s="1"/>
  <c r="A876" i="6" s="1"/>
  <c r="H884" i="6"/>
  <c r="I884" i="6" s="1"/>
  <c r="A884" i="6" s="1"/>
  <c r="H922" i="6"/>
  <c r="I922" i="6" s="1"/>
  <c r="A922" i="6" s="1"/>
  <c r="G937" i="6"/>
  <c r="G936" i="6" s="1"/>
  <c r="H944" i="6"/>
  <c r="I944" i="6" s="1"/>
  <c r="A944" i="6" s="1"/>
  <c r="H950" i="6"/>
  <c r="I950" i="6" s="1"/>
  <c r="A950" i="6" s="1"/>
  <c r="H962" i="6"/>
  <c r="I962" i="6" s="1"/>
  <c r="A962" i="6" s="1"/>
  <c r="H970" i="6"/>
  <c r="I970" i="6" s="1"/>
  <c r="A970" i="6" s="1"/>
  <c r="H980" i="6"/>
  <c r="I980" i="6" s="1"/>
  <c r="A980" i="6" s="1"/>
  <c r="H990" i="6"/>
  <c r="I990" i="6" s="1"/>
  <c r="A990" i="6" s="1"/>
  <c r="H1011" i="6"/>
  <c r="I1011" i="6" s="1"/>
  <c r="A1011" i="6" s="1"/>
  <c r="H1051" i="6"/>
  <c r="I1051" i="6" s="1"/>
  <c r="A1051" i="6" s="1"/>
  <c r="H1075" i="6"/>
  <c r="I1075" i="6" s="1"/>
  <c r="A1075" i="6" s="1"/>
  <c r="H1138" i="6"/>
  <c r="I1138" i="6" s="1"/>
  <c r="A1138" i="6" s="1"/>
  <c r="H1143" i="6"/>
  <c r="I1143" i="6" s="1"/>
  <c r="A1143" i="6" s="1"/>
  <c r="G1147" i="6"/>
  <c r="H1162" i="6"/>
  <c r="I1162" i="6" s="1"/>
  <c r="A1162" i="6" s="1"/>
  <c r="H1178" i="6"/>
  <c r="I1178" i="6" s="1"/>
  <c r="A1178" i="6" s="1"/>
  <c r="H1206" i="6"/>
  <c r="I1206" i="6" s="1"/>
  <c r="A1206" i="6" s="1"/>
  <c r="H1212" i="6"/>
  <c r="I1212" i="6" s="1"/>
  <c r="A1212" i="6" s="1"/>
  <c r="H1213" i="6"/>
  <c r="I1213" i="6" s="1"/>
  <c r="A1213" i="6" s="1"/>
  <c r="H1221" i="6"/>
  <c r="I1221" i="6" s="1"/>
  <c r="A1221" i="6" s="1"/>
  <c r="H1226" i="6"/>
  <c r="I1226" i="6" s="1"/>
  <c r="A1226" i="6" s="1"/>
  <c r="H1230" i="6"/>
  <c r="I1230" i="6" s="1"/>
  <c r="A1230" i="6" s="1"/>
  <c r="H1234" i="6"/>
  <c r="I1234" i="6" s="1"/>
  <c r="A1234" i="6" s="1"/>
  <c r="H1238" i="6"/>
  <c r="I1238" i="6" s="1"/>
  <c r="A1238" i="6" s="1"/>
  <c r="G1242" i="6"/>
  <c r="H1242" i="6" s="1"/>
  <c r="I1242" i="6" s="1"/>
  <c r="A1242" i="6" s="1"/>
  <c r="H1249" i="6"/>
  <c r="I1249" i="6" s="1"/>
  <c r="A1249" i="6" s="1"/>
  <c r="H1251" i="6"/>
  <c r="I1251" i="6" s="1"/>
  <c r="A1251" i="6" s="1"/>
  <c r="H1254" i="6"/>
  <c r="I1254" i="6" s="1"/>
  <c r="A1254" i="6" s="1"/>
  <c r="H1255" i="6"/>
  <c r="I1255" i="6" s="1"/>
  <c r="A1255" i="6" s="1"/>
  <c r="G1260" i="6"/>
  <c r="G1259" i="6" s="1"/>
  <c r="G1264" i="6"/>
  <c r="G1263" i="6" s="1"/>
  <c r="G1270" i="6"/>
  <c r="G1269" i="6" s="1"/>
  <c r="G1268" i="6" s="1"/>
  <c r="G1273" i="6"/>
  <c r="G1272" i="6" s="1"/>
  <c r="G1277" i="6"/>
  <c r="G1276" i="6" s="1"/>
  <c r="H1281" i="6"/>
  <c r="I1281" i="6" s="1"/>
  <c r="A1281" i="6" s="1"/>
  <c r="H1282" i="6"/>
  <c r="I1282" i="6" s="1"/>
  <c r="A1282" i="6" s="1"/>
  <c r="H1286" i="6"/>
  <c r="I1286" i="6" s="1"/>
  <c r="A1286" i="6" s="1"/>
  <c r="H1304" i="6"/>
  <c r="I1304" i="6" s="1"/>
  <c r="A1304" i="6" s="1"/>
  <c r="H1305" i="6"/>
  <c r="I1305" i="6" s="1"/>
  <c r="A1305" i="6" s="1"/>
  <c r="H1308" i="6"/>
  <c r="I1308" i="6" s="1"/>
  <c r="A1308" i="6" s="1"/>
  <c r="H1316" i="6"/>
  <c r="I1316" i="6" s="1"/>
  <c r="A1316" i="6" s="1"/>
  <c r="H1336" i="6"/>
  <c r="I1336" i="6" s="1"/>
  <c r="A1336" i="6" s="1"/>
  <c r="H1344" i="6"/>
  <c r="I1344" i="6" s="1"/>
  <c r="A1344" i="6" s="1"/>
  <c r="H1353" i="6"/>
  <c r="I1353" i="6" s="1"/>
  <c r="A1353" i="6" s="1"/>
  <c r="H1374" i="6"/>
  <c r="I1374" i="6" s="1"/>
  <c r="A1374" i="6" s="1"/>
  <c r="H1382" i="6"/>
  <c r="I1382" i="6" s="1"/>
  <c r="A1382" i="6" s="1"/>
  <c r="H1390" i="6"/>
  <c r="I1390" i="6" s="1"/>
  <c r="A1390" i="6" s="1"/>
  <c r="H1409" i="6"/>
  <c r="I1409" i="6" s="1"/>
  <c r="A1409" i="6" s="1"/>
  <c r="H1426" i="6"/>
  <c r="I1426" i="6" s="1"/>
  <c r="A1426" i="6" s="1"/>
  <c r="G1432" i="6"/>
  <c r="H1452" i="6"/>
  <c r="I1452" i="6" s="1"/>
  <c r="A1452" i="6" s="1"/>
  <c r="H1458" i="6"/>
  <c r="I1458" i="6" s="1"/>
  <c r="A1458" i="6" s="1"/>
  <c r="F1459" i="6"/>
  <c r="H1523" i="6"/>
  <c r="H1532" i="6"/>
  <c r="I1532" i="6" s="1"/>
  <c r="A1532" i="6" s="1"/>
  <c r="G1531" i="6"/>
  <c r="H1646" i="6"/>
  <c r="I1646" i="6" s="1"/>
  <c r="A1646" i="6" s="1"/>
  <c r="G1645" i="6"/>
  <c r="H1645" i="6" s="1"/>
  <c r="H1720" i="6"/>
  <c r="I1720" i="6" s="1"/>
  <c r="A1720" i="6" s="1"/>
  <c r="F1719" i="6"/>
  <c r="H1719" i="6" s="1"/>
  <c r="J37" i="12"/>
  <c r="P37" i="12" s="1"/>
  <c r="H1921" i="6"/>
  <c r="I1921" i="6" s="1"/>
  <c r="A1921" i="6" s="1"/>
  <c r="H948" i="6"/>
  <c r="I948" i="6" s="1"/>
  <c r="A948" i="6" s="1"/>
  <c r="H960" i="6"/>
  <c r="I960" i="6" s="1"/>
  <c r="A960" i="6" s="1"/>
  <c r="H968" i="6"/>
  <c r="I968" i="6" s="1"/>
  <c r="A968" i="6" s="1"/>
  <c r="H978" i="6"/>
  <c r="I978" i="6" s="1"/>
  <c r="A978" i="6" s="1"/>
  <c r="H986" i="6"/>
  <c r="I986" i="6" s="1"/>
  <c r="A986" i="6" s="1"/>
  <c r="H1005" i="6"/>
  <c r="I1005" i="6" s="1"/>
  <c r="A1005" i="6" s="1"/>
  <c r="H1015" i="6"/>
  <c r="I1015" i="6" s="1"/>
  <c r="A1015" i="6" s="1"/>
  <c r="H1031" i="6"/>
  <c r="I1031" i="6" s="1"/>
  <c r="A1031" i="6" s="1"/>
  <c r="H1049" i="6"/>
  <c r="I1049" i="6" s="1"/>
  <c r="A1049" i="6" s="1"/>
  <c r="H1072" i="6"/>
  <c r="I1072" i="6" s="1"/>
  <c r="A1072" i="6" s="1"/>
  <c r="G1137" i="6"/>
  <c r="H1146" i="6"/>
  <c r="I1146" i="6" s="1"/>
  <c r="A1146" i="6" s="1"/>
  <c r="H1149" i="6"/>
  <c r="I1149" i="6" s="1"/>
  <c r="A1149" i="6" s="1"/>
  <c r="G1161" i="6"/>
  <c r="H1169" i="6"/>
  <c r="I1169" i="6" s="1"/>
  <c r="A1169" i="6" s="1"/>
  <c r="G1166" i="6"/>
  <c r="H1175" i="6"/>
  <c r="I1175" i="6" s="1"/>
  <c r="A1175" i="6" s="1"/>
  <c r="H1177" i="6"/>
  <c r="I1177" i="6" s="1"/>
  <c r="A1177" i="6" s="1"/>
  <c r="H1188" i="6"/>
  <c r="I1188" i="6" s="1"/>
  <c r="A1188" i="6" s="1"/>
  <c r="H1192" i="6"/>
  <c r="I1192" i="6" s="1"/>
  <c r="A1192" i="6" s="1"/>
  <c r="H1196" i="6"/>
  <c r="I1196" i="6" s="1"/>
  <c r="A1196" i="6" s="1"/>
  <c r="H1214" i="6"/>
  <c r="H1216" i="6"/>
  <c r="I1216" i="6" s="1"/>
  <c r="A1216" i="6" s="1"/>
  <c r="H1218" i="6"/>
  <c r="G1220" i="6"/>
  <c r="G1219" i="6" s="1"/>
  <c r="H1225" i="6"/>
  <c r="I1225" i="6" s="1"/>
  <c r="A1225" i="6" s="1"/>
  <c r="H1229" i="6"/>
  <c r="I1229" i="6" s="1"/>
  <c r="A1229" i="6" s="1"/>
  <c r="H1233" i="6"/>
  <c r="I1233" i="6" s="1"/>
  <c r="A1233" i="6" s="1"/>
  <c r="H1237" i="6"/>
  <c r="I1237" i="6" s="1"/>
  <c r="A1237" i="6" s="1"/>
  <c r="H1241" i="6"/>
  <c r="I1241" i="6" s="1"/>
  <c r="A1241" i="6" s="1"/>
  <c r="G1248" i="6"/>
  <c r="G1247" i="6" s="1"/>
  <c r="G1246" i="6" s="1"/>
  <c r="H1258" i="6"/>
  <c r="I1258" i="6" s="1"/>
  <c r="A1258" i="6" s="1"/>
  <c r="H1262" i="6"/>
  <c r="I1262" i="6" s="1"/>
  <c r="A1262" i="6" s="1"/>
  <c r="H1266" i="6"/>
  <c r="I1266" i="6" s="1"/>
  <c r="A1266" i="6" s="1"/>
  <c r="H1271" i="6"/>
  <c r="I1271" i="6" s="1"/>
  <c r="A1271" i="6" s="1"/>
  <c r="H1275" i="6"/>
  <c r="I1275" i="6" s="1"/>
  <c r="A1275" i="6" s="1"/>
  <c r="H1279" i="6"/>
  <c r="I1279" i="6" s="1"/>
  <c r="A1279" i="6" s="1"/>
  <c r="H1285" i="6"/>
  <c r="I1285" i="6" s="1"/>
  <c r="A1285" i="6" s="1"/>
  <c r="H1293" i="6"/>
  <c r="I1293" i="6" s="1"/>
  <c r="A1293" i="6" s="1"/>
  <c r="H1297" i="6"/>
  <c r="I1297" i="6" s="1"/>
  <c r="A1297" i="6" s="1"/>
  <c r="H1320" i="6"/>
  <c r="I1320" i="6" s="1"/>
  <c r="A1320" i="6" s="1"/>
  <c r="H1324" i="6"/>
  <c r="I1324" i="6" s="1"/>
  <c r="A1324" i="6" s="1"/>
  <c r="H1328" i="6"/>
  <c r="I1328" i="6" s="1"/>
  <c r="A1328" i="6" s="1"/>
  <c r="H1332" i="6"/>
  <c r="I1332" i="6" s="1"/>
  <c r="A1332" i="6" s="1"/>
  <c r="H1342" i="6"/>
  <c r="I1342" i="6" s="1"/>
  <c r="A1342" i="6" s="1"/>
  <c r="H1350" i="6"/>
  <c r="I1350" i="6" s="1"/>
  <c r="A1350" i="6" s="1"/>
  <c r="H1407" i="6"/>
  <c r="I1407" i="6" s="1"/>
  <c r="A1407" i="6" s="1"/>
  <c r="H1415" i="6"/>
  <c r="I1415" i="6" s="1"/>
  <c r="A1415" i="6" s="1"/>
  <c r="H1447" i="6"/>
  <c r="I1447" i="6" s="1"/>
  <c r="A1447" i="6" s="1"/>
  <c r="H1510" i="6"/>
  <c r="I1510" i="6" s="1"/>
  <c r="A1510" i="6" s="1"/>
  <c r="H1514" i="6"/>
  <c r="I1514" i="6" s="1"/>
  <c r="A1514" i="6" s="1"/>
  <c r="H1528" i="6"/>
  <c r="I1528" i="6" s="1"/>
  <c r="A1528" i="6" s="1"/>
  <c r="G1525" i="6"/>
  <c r="H1624" i="6"/>
  <c r="I1624" i="6" s="1"/>
  <c r="A1624" i="6" s="1"/>
  <c r="G1623" i="6"/>
  <c r="F1647" i="6"/>
  <c r="F1707" i="6"/>
  <c r="H1798" i="6"/>
  <c r="J67" i="14"/>
  <c r="J76" i="14"/>
  <c r="H1546" i="6"/>
  <c r="I1546" i="6" s="1"/>
  <c r="A1546" i="6" s="1"/>
  <c r="G1558" i="6"/>
  <c r="H1562" i="6"/>
  <c r="I1562" i="6" s="1"/>
  <c r="A1562" i="6" s="1"/>
  <c r="H1575" i="6"/>
  <c r="I1575" i="6" s="1"/>
  <c r="A1575" i="6" s="1"/>
  <c r="H1580" i="6"/>
  <c r="I1580" i="6" s="1"/>
  <c r="A1580" i="6" s="1"/>
  <c r="G1592" i="6"/>
  <c r="H1612" i="6"/>
  <c r="I1612" i="6" s="1"/>
  <c r="A1612" i="6" s="1"/>
  <c r="H1654" i="6"/>
  <c r="I1654" i="6" s="1"/>
  <c r="A1654" i="6" s="1"/>
  <c r="H1658" i="6"/>
  <c r="I1658" i="6" s="1"/>
  <c r="A1658" i="6" s="1"/>
  <c r="H1674" i="6"/>
  <c r="I1674" i="6" s="1"/>
  <c r="A1674" i="6" s="1"/>
  <c r="G1679" i="6"/>
  <c r="G1678" i="6" s="1"/>
  <c r="F2226" i="6" s="1"/>
  <c r="H1710" i="6"/>
  <c r="I1710" i="6" s="1"/>
  <c r="A1710" i="6" s="1"/>
  <c r="G1722" i="6"/>
  <c r="G1748" i="6"/>
  <c r="H1758" i="6"/>
  <c r="I1758" i="6" s="1"/>
  <c r="A1758" i="6" s="1"/>
  <c r="H1764" i="6"/>
  <c r="I1764" i="6" s="1"/>
  <c r="A1764" i="6" s="1"/>
  <c r="H1770" i="6"/>
  <c r="I1770" i="6" s="1"/>
  <c r="A1770" i="6" s="1"/>
  <c r="H1778" i="6"/>
  <c r="I1778" i="6" s="1"/>
  <c r="A1778" i="6" s="1"/>
  <c r="E1885" i="6"/>
  <c r="E1883" i="6" s="1"/>
  <c r="H2153" i="6"/>
  <c r="I2153" i="6" s="1"/>
  <c r="A2153" i="6" s="1"/>
  <c r="F2152" i="6"/>
  <c r="H1509" i="6"/>
  <c r="I1509" i="6" s="1"/>
  <c r="A1509" i="6" s="1"/>
  <c r="H1513" i="6"/>
  <c r="I1513" i="6" s="1"/>
  <c r="A1513" i="6" s="1"/>
  <c r="H1522" i="6"/>
  <c r="I1522" i="6" s="1"/>
  <c r="A1522" i="6" s="1"/>
  <c r="H1534" i="6"/>
  <c r="I1534" i="6" s="1"/>
  <c r="A1534" i="6" s="1"/>
  <c r="H76" i="14"/>
  <c r="H67" i="14"/>
  <c r="H1548" i="6"/>
  <c r="I1548" i="6" s="1"/>
  <c r="A1548" i="6" s="1"/>
  <c r="G1561" i="6"/>
  <c r="G1579" i="6"/>
  <c r="G1577" i="6" s="1"/>
  <c r="G1611" i="6"/>
  <c r="G1628" i="6"/>
  <c r="G1652" i="6"/>
  <c r="G1651" i="6" s="1"/>
  <c r="H1692" i="6"/>
  <c r="I1692" i="6" s="1"/>
  <c r="A1692" i="6" s="1"/>
  <c r="H1696" i="6"/>
  <c r="I1696" i="6" s="1"/>
  <c r="A1696" i="6" s="1"/>
  <c r="G1728" i="6"/>
  <c r="F70" i="15" s="1"/>
  <c r="H1766" i="6"/>
  <c r="I1766" i="6" s="1"/>
  <c r="A1766" i="6" s="1"/>
  <c r="G1769" i="6"/>
  <c r="H1769" i="6" s="1"/>
  <c r="H1772" i="6"/>
  <c r="I1772" i="6" s="1"/>
  <c r="A1772" i="6" s="1"/>
  <c r="G1776" i="6"/>
  <c r="G1832" i="6"/>
  <c r="H1906" i="6"/>
  <c r="I1906" i="6" s="1"/>
  <c r="A1906" i="6" s="1"/>
  <c r="G1905" i="6"/>
  <c r="G1919" i="6"/>
  <c r="H27" i="13"/>
  <c r="H32" i="13" s="1"/>
  <c r="F1926" i="6"/>
  <c r="H1965" i="6"/>
  <c r="I1965" i="6" s="1"/>
  <c r="A1965" i="6" s="1"/>
  <c r="H2014" i="6"/>
  <c r="I2014" i="6" s="1"/>
  <c r="A2014" i="6" s="1"/>
  <c r="H2062" i="6"/>
  <c r="I2062" i="6" s="1"/>
  <c r="A2062" i="6" s="1"/>
  <c r="G1424" i="6"/>
  <c r="H1429" i="6"/>
  <c r="I1429" i="6" s="1"/>
  <c r="H1449" i="6"/>
  <c r="I1449" i="6" s="1"/>
  <c r="A1449" i="6" s="1"/>
  <c r="H1467" i="6"/>
  <c r="I1467" i="6" s="1"/>
  <c r="A1467" i="6" s="1"/>
  <c r="H1471" i="6"/>
  <c r="I1471" i="6" s="1"/>
  <c r="A1471" i="6" s="1"/>
  <c r="H1493" i="6"/>
  <c r="G1494" i="6"/>
  <c r="H1499" i="6"/>
  <c r="I1499" i="6" s="1"/>
  <c r="A1499" i="6" s="1"/>
  <c r="G1521" i="6"/>
  <c r="H1521" i="6" s="1"/>
  <c r="H1524" i="6"/>
  <c r="I1524" i="6" s="1"/>
  <c r="A1524" i="6" s="1"/>
  <c r="H1541" i="6"/>
  <c r="I1541" i="6" s="1"/>
  <c r="A1541" i="6" s="1"/>
  <c r="H1547" i="6"/>
  <c r="I1547" i="6" s="1"/>
  <c r="A1547" i="6" s="1"/>
  <c r="H1560" i="6"/>
  <c r="I1560" i="6" s="1"/>
  <c r="A1560" i="6" s="1"/>
  <c r="H1563" i="6"/>
  <c r="I1563" i="6" s="1"/>
  <c r="A1563" i="6" s="1"/>
  <c r="G1564" i="6"/>
  <c r="H1568" i="6"/>
  <c r="I1568" i="6" s="1"/>
  <c r="A1568" i="6" s="1"/>
  <c r="H1576" i="6"/>
  <c r="I1576" i="6" s="1"/>
  <c r="A1576" i="6" s="1"/>
  <c r="H1578" i="6"/>
  <c r="I1578" i="6" s="1"/>
  <c r="A1578" i="6" s="1"/>
  <c r="H1581" i="6"/>
  <c r="I1581" i="6" s="1"/>
  <c r="A1581" i="6" s="1"/>
  <c r="H1585" i="6"/>
  <c r="I1585" i="6" s="1"/>
  <c r="A1585" i="6" s="1"/>
  <c r="H1590" i="6"/>
  <c r="I1590" i="6" s="1"/>
  <c r="A1590" i="6" s="1"/>
  <c r="H1594" i="6"/>
  <c r="I1594" i="6" s="1"/>
  <c r="A1594" i="6" s="1"/>
  <c r="H1598" i="6"/>
  <c r="I1598" i="6" s="1"/>
  <c r="A1598" i="6" s="1"/>
  <c r="G1600" i="6"/>
  <c r="H1604" i="6"/>
  <c r="I1604" i="6" s="1"/>
  <c r="A1604" i="6" s="1"/>
  <c r="G1606" i="6"/>
  <c r="H1610" i="6"/>
  <c r="I1610" i="6" s="1"/>
  <c r="A1610" i="6" s="1"/>
  <c r="H1613" i="6"/>
  <c r="I1613" i="6" s="1"/>
  <c r="A1613" i="6" s="1"/>
  <c r="H1619" i="6"/>
  <c r="I1619" i="6" s="1"/>
  <c r="A1619" i="6" s="1"/>
  <c r="H1625" i="6"/>
  <c r="I1625" i="6" s="1"/>
  <c r="A1625" i="6" s="1"/>
  <c r="H1632" i="6"/>
  <c r="I1632" i="6" s="1"/>
  <c r="A1632" i="6" s="1"/>
  <c r="H1638" i="6"/>
  <c r="I1638" i="6" s="1"/>
  <c r="A1638" i="6" s="1"/>
  <c r="H1644" i="6"/>
  <c r="I1644" i="6" s="1"/>
  <c r="A1644" i="6" s="1"/>
  <c r="H1656" i="6"/>
  <c r="I1656" i="6" s="1"/>
  <c r="A1656" i="6" s="1"/>
  <c r="H1660" i="6"/>
  <c r="I1660" i="6" s="1"/>
  <c r="A1660" i="6" s="1"/>
  <c r="H1671" i="6"/>
  <c r="I1671" i="6" s="1"/>
  <c r="A1671" i="6" s="1"/>
  <c r="H1672" i="6"/>
  <c r="I1672" i="6" s="1"/>
  <c r="A1672" i="6" s="1"/>
  <c r="H1675" i="6"/>
  <c r="I1675" i="6" s="1"/>
  <c r="A1675" i="6" s="1"/>
  <c r="H1676" i="6"/>
  <c r="I1676" i="6" s="1"/>
  <c r="A1676" i="6" s="1"/>
  <c r="H1681" i="6"/>
  <c r="I1681" i="6" s="1"/>
  <c r="A1681" i="6" s="1"/>
  <c r="H1682" i="6"/>
  <c r="I1682" i="6" s="1"/>
  <c r="A1682" i="6" s="1"/>
  <c r="H1708" i="6"/>
  <c r="I1708" i="6" s="1"/>
  <c r="A1708" i="6" s="1"/>
  <c r="H1713" i="6"/>
  <c r="I1713" i="6" s="1"/>
  <c r="A1713" i="6" s="1"/>
  <c r="H1714" i="6"/>
  <c r="I1714" i="6" s="1"/>
  <c r="A1714" i="6" s="1"/>
  <c r="H1725" i="6"/>
  <c r="I1725" i="6" s="1"/>
  <c r="A1725" i="6" s="1"/>
  <c r="H1737" i="6"/>
  <c r="I1737" i="6" s="1"/>
  <c r="A1737" i="6" s="1"/>
  <c r="F1741" i="6"/>
  <c r="H1759" i="6"/>
  <c r="I1759" i="6" s="1"/>
  <c r="A1759" i="6" s="1"/>
  <c r="H1760" i="6"/>
  <c r="I1760" i="6" s="1"/>
  <c r="A1760" i="6" s="1"/>
  <c r="G1765" i="6"/>
  <c r="G1771" i="6"/>
  <c r="H1779" i="6"/>
  <c r="I1779" i="6" s="1"/>
  <c r="A1779" i="6" s="1"/>
  <c r="H1780" i="6"/>
  <c r="I1780" i="6" s="1"/>
  <c r="A1780" i="6" s="1"/>
  <c r="G1796" i="6"/>
  <c r="H1796" i="6" s="1"/>
  <c r="H1799" i="6"/>
  <c r="I1799" i="6" s="1"/>
  <c r="A1799" i="6" s="1"/>
  <c r="H1836" i="6"/>
  <c r="I1836" i="6" s="1"/>
  <c r="A1836" i="6" s="1"/>
  <c r="H1852" i="6"/>
  <c r="I1852" i="6" s="1"/>
  <c r="A1852" i="6" s="1"/>
  <c r="H1867" i="6"/>
  <c r="I1867" i="6" s="1"/>
  <c r="A1867" i="6" s="1"/>
  <c r="H1875" i="6"/>
  <c r="I1875" i="6" s="1"/>
  <c r="A1875" i="6" s="1"/>
  <c r="H1886" i="6"/>
  <c r="I1886" i="6" s="1"/>
  <c r="A1886" i="6" s="1"/>
  <c r="G1885" i="6"/>
  <c r="G1883" i="6" s="1"/>
  <c r="H1913" i="6"/>
  <c r="I1913" i="6" s="1"/>
  <c r="A1913" i="6" s="1"/>
  <c r="G1912" i="6"/>
  <c r="H2022" i="6"/>
  <c r="I2022" i="6" s="1"/>
  <c r="A2022" i="6" s="1"/>
  <c r="H1781" i="6"/>
  <c r="I1781" i="6" s="1"/>
  <c r="A1781" i="6" s="1"/>
  <c r="G1782" i="6"/>
  <c r="H1791" i="6"/>
  <c r="I1791" i="6" s="1"/>
  <c r="A1791" i="6" s="1"/>
  <c r="H1812" i="6"/>
  <c r="I1812" i="6" s="1"/>
  <c r="A1812" i="6" s="1"/>
  <c r="H1823" i="6"/>
  <c r="I1823" i="6" s="1"/>
  <c r="A1823" i="6" s="1"/>
  <c r="H1824" i="6"/>
  <c r="I1824" i="6" s="1"/>
  <c r="A1824" i="6" s="1"/>
  <c r="H1827" i="6"/>
  <c r="I1827" i="6" s="1"/>
  <c r="A1827" i="6" s="1"/>
  <c r="H1828" i="6"/>
  <c r="I1828" i="6" s="1"/>
  <c r="A1828" i="6" s="1"/>
  <c r="H1833" i="6"/>
  <c r="I1833" i="6" s="1"/>
  <c r="A1833" i="6" s="1"/>
  <c r="H1841" i="6"/>
  <c r="I1841" i="6" s="1"/>
  <c r="A1841" i="6" s="1"/>
  <c r="H1849" i="6"/>
  <c r="I1849" i="6" s="1"/>
  <c r="A1849" i="6" s="1"/>
  <c r="H1857" i="6"/>
  <c r="I1857" i="6" s="1"/>
  <c r="A1857" i="6" s="1"/>
  <c r="G1858" i="6"/>
  <c r="H1887" i="6"/>
  <c r="I1887" i="6" s="1"/>
  <c r="A1887" i="6" s="1"/>
  <c r="H1901" i="6"/>
  <c r="I1901" i="6" s="1"/>
  <c r="A1901" i="6" s="1"/>
  <c r="H1923" i="6"/>
  <c r="I1923" i="6" s="1"/>
  <c r="A1923" i="6" s="1"/>
  <c r="H1929" i="6"/>
  <c r="I1929" i="6" s="1"/>
  <c r="A1929" i="6" s="1"/>
  <c r="H1947" i="6"/>
  <c r="I1947" i="6" s="1"/>
  <c r="A1947" i="6" s="1"/>
  <c r="H1962" i="6"/>
  <c r="I1962" i="6" s="1"/>
  <c r="A1962" i="6" s="1"/>
  <c r="H1986" i="6"/>
  <c r="I1986" i="6" s="1"/>
  <c r="A1986" i="6" s="1"/>
  <c r="H1988" i="6"/>
  <c r="I1988" i="6" s="1"/>
  <c r="A1988" i="6" s="1"/>
  <c r="H1998" i="6"/>
  <c r="I1998" i="6" s="1"/>
  <c r="A1998" i="6" s="1"/>
  <c r="H2019" i="6"/>
  <c r="I2019" i="6" s="1"/>
  <c r="A2019" i="6" s="1"/>
  <c r="H2025" i="6"/>
  <c r="I2025" i="6" s="1"/>
  <c r="A2025" i="6" s="1"/>
  <c r="H2034" i="6"/>
  <c r="I2034" i="6" s="1"/>
  <c r="A2034" i="6" s="1"/>
  <c r="H2071" i="6"/>
  <c r="I2071" i="6" s="1"/>
  <c r="A2071" i="6" s="1"/>
  <c r="H2104" i="6"/>
  <c r="I2104" i="6" s="1"/>
  <c r="F85" i="15" s="1"/>
  <c r="G2138" i="6"/>
  <c r="H2151" i="6"/>
  <c r="I2151" i="6" s="1"/>
  <c r="A2151" i="6" s="1"/>
  <c r="H2157" i="6"/>
  <c r="I2157" i="6" s="1"/>
  <c r="A2157" i="6" s="1"/>
  <c r="H2189" i="6"/>
  <c r="I2189" i="6" s="1"/>
  <c r="A2189" i="6" s="1"/>
  <c r="G2201" i="6"/>
  <c r="F2093" i="6"/>
  <c r="F906" i="6"/>
  <c r="G2195" i="6"/>
  <c r="H1808" i="6"/>
  <c r="I1808" i="6" s="1"/>
  <c r="A1808" i="6" s="1"/>
  <c r="H1816" i="6"/>
  <c r="I1816" i="6" s="1"/>
  <c r="A1816" i="6" s="1"/>
  <c r="H1822" i="6"/>
  <c r="I1822" i="6" s="1"/>
  <c r="A1822" i="6" s="1"/>
  <c r="H1825" i="6"/>
  <c r="I1825" i="6" s="1"/>
  <c r="A1825" i="6" s="1"/>
  <c r="H1826" i="6"/>
  <c r="I1826" i="6" s="1"/>
  <c r="A1826" i="6" s="1"/>
  <c r="H1829" i="6"/>
  <c r="I1829" i="6" s="1"/>
  <c r="A1829" i="6" s="1"/>
  <c r="H1830" i="6"/>
  <c r="I1830" i="6" s="1"/>
  <c r="A1830" i="6" s="1"/>
  <c r="H1837" i="6"/>
  <c r="I1837" i="6" s="1"/>
  <c r="A1837" i="6" s="1"/>
  <c r="H1845" i="6"/>
  <c r="I1845" i="6" s="1"/>
  <c r="A1845" i="6" s="1"/>
  <c r="G1846" i="6"/>
  <c r="H1853" i="6"/>
  <c r="I1853" i="6" s="1"/>
  <c r="A1853" i="6" s="1"/>
  <c r="H1861" i="6"/>
  <c r="I1861" i="6" s="1"/>
  <c r="A1861" i="6" s="1"/>
  <c r="G1894" i="6"/>
  <c r="G1898" i="6"/>
  <c r="H1937" i="6"/>
  <c r="I1937" i="6" s="1"/>
  <c r="A1937" i="6" s="1"/>
  <c r="G1942" i="6"/>
  <c r="H1957" i="6"/>
  <c r="I1957" i="6" s="1"/>
  <c r="A1957" i="6" s="1"/>
  <c r="H1972" i="6"/>
  <c r="I1972" i="6" s="1"/>
  <c r="A1972" i="6" s="1"/>
  <c r="G1982" i="6"/>
  <c r="H1991" i="6"/>
  <c r="I1991" i="6" s="1"/>
  <c r="A1991" i="6" s="1"/>
  <c r="H2002" i="6"/>
  <c r="I2002" i="6" s="1"/>
  <c r="A2002" i="6" s="1"/>
  <c r="H2015" i="6"/>
  <c r="I2015" i="6" s="1"/>
  <c r="A2015" i="6" s="1"/>
  <c r="H2024" i="6"/>
  <c r="I2024" i="6" s="1"/>
  <c r="A2024" i="6" s="1"/>
  <c r="H2030" i="6"/>
  <c r="I2030" i="6" s="1"/>
  <c r="A2030" i="6" s="1"/>
  <c r="H2035" i="6"/>
  <c r="I2035" i="6" s="1"/>
  <c r="A2035" i="6" s="1"/>
  <c r="H2050" i="6"/>
  <c r="I2050" i="6" s="1"/>
  <c r="A2050" i="6" s="1"/>
  <c r="H2057" i="6"/>
  <c r="I2057" i="6" s="1"/>
  <c r="A2057" i="6" s="1"/>
  <c r="H2063" i="6"/>
  <c r="I2063" i="6" s="1"/>
  <c r="A2063" i="6" s="1"/>
  <c r="F2069" i="6"/>
  <c r="F2068" i="6" s="1"/>
  <c r="H2102" i="6"/>
  <c r="I2102" i="6" s="1"/>
  <c r="A2102" i="6" s="1"/>
  <c r="F2099" i="6"/>
  <c r="H2161" i="6"/>
  <c r="I2161" i="6" s="1"/>
  <c r="A2161" i="6" s="1"/>
  <c r="H2185" i="6"/>
  <c r="I2185" i="6" s="1"/>
  <c r="A2185" i="6" s="1"/>
  <c r="H2188" i="6"/>
  <c r="I2188" i="6" s="1"/>
  <c r="A2188" i="6" s="1"/>
  <c r="H2101" i="6"/>
  <c r="I2101" i="6" s="1"/>
  <c r="A2101" i="6" s="1"/>
  <c r="G2146" i="6"/>
  <c r="F2160" i="6"/>
  <c r="G2170" i="6"/>
  <c r="H2180" i="6"/>
  <c r="I2180" i="6" s="1"/>
  <c r="A2180" i="6" s="1"/>
  <c r="F2184" i="6"/>
  <c r="H2184" i="6" s="1"/>
  <c r="H2210" i="6"/>
  <c r="I2210" i="6" s="1"/>
  <c r="A2210" i="6" s="1"/>
  <c r="H1043" i="6"/>
  <c r="I1043" i="6" s="1"/>
  <c r="A1043" i="6" s="1"/>
  <c r="G1081" i="6"/>
  <c r="H1318" i="6"/>
  <c r="I1318" i="6" s="1"/>
  <c r="A1318" i="6" s="1"/>
  <c r="F1322" i="6"/>
  <c r="H1341" i="6"/>
  <c r="I1341" i="6" s="1"/>
  <c r="A1341" i="6" s="1"/>
  <c r="F1477" i="6"/>
  <c r="H1482" i="6"/>
  <c r="I1482" i="6" s="1"/>
  <c r="A1482" i="6" s="1"/>
  <c r="H1503" i="6"/>
  <c r="I1503" i="6" s="1"/>
  <c r="A1503" i="6" s="1"/>
  <c r="H1556" i="6"/>
  <c r="I1556" i="6" s="1"/>
  <c r="A1556" i="6" s="1"/>
  <c r="H2081" i="6"/>
  <c r="I2081" i="6" s="1"/>
  <c r="F88" i="15" s="1"/>
  <c r="F2087" i="6"/>
  <c r="H2109" i="6"/>
  <c r="I2109" i="6" s="1"/>
  <c r="A2109" i="6" s="1"/>
  <c r="H2111" i="6"/>
  <c r="I2111" i="6" s="1"/>
  <c r="A2111" i="6" s="1"/>
  <c r="H2119" i="6"/>
  <c r="I2119" i="6" s="1"/>
  <c r="A2119" i="6" s="1"/>
  <c r="H2135" i="6"/>
  <c r="I2135" i="6" s="1"/>
  <c r="A2135" i="6" s="1"/>
  <c r="H2145" i="6"/>
  <c r="I2145" i="6" s="1"/>
  <c r="A2145" i="6" s="1"/>
  <c r="H2178" i="6"/>
  <c r="I2178" i="6" s="1"/>
  <c r="A2178" i="6" s="1"/>
  <c r="H105" i="6"/>
  <c r="I105" i="6" s="1"/>
  <c r="H8" i="12" s="1"/>
  <c r="H111" i="6"/>
  <c r="I111" i="6" s="1"/>
  <c r="A111" i="6" s="1"/>
  <c r="H115" i="6"/>
  <c r="I115" i="6" s="1"/>
  <c r="A115" i="6" s="1"/>
  <c r="H440" i="6"/>
  <c r="I440" i="6" s="1"/>
  <c r="A440" i="6" s="1"/>
  <c r="H467" i="6"/>
  <c r="I467" i="6" s="1"/>
  <c r="A467" i="6" s="1"/>
  <c r="H496" i="6"/>
  <c r="I496" i="6" s="1"/>
  <c r="A496" i="6" s="1"/>
  <c r="H988" i="6"/>
  <c r="I988" i="6" s="1"/>
  <c r="A988" i="6" s="1"/>
  <c r="H1071" i="6"/>
  <c r="I1071" i="6" s="1"/>
  <c r="A1071" i="6" s="1"/>
  <c r="H1296" i="6"/>
  <c r="I1296" i="6" s="1"/>
  <c r="A1296" i="6" s="1"/>
  <c r="H1555" i="6"/>
  <c r="H2073" i="6"/>
  <c r="I2073" i="6" s="1"/>
  <c r="A2073" i="6" s="1"/>
  <c r="H2105" i="6"/>
  <c r="I2105" i="6" s="1"/>
  <c r="A2105" i="6" s="1"/>
  <c r="H2107" i="6"/>
  <c r="I2107" i="6" s="1"/>
  <c r="A2107" i="6" s="1"/>
  <c r="H2117" i="6"/>
  <c r="I2117" i="6" s="1"/>
  <c r="A2117" i="6" s="1"/>
  <c r="H2125" i="6"/>
  <c r="I2125" i="6" s="1"/>
  <c r="A2125" i="6" s="1"/>
  <c r="H2133" i="6"/>
  <c r="I2133" i="6" s="1"/>
  <c r="A2133" i="6" s="1"/>
  <c r="H2143" i="6"/>
  <c r="I2143" i="6" s="1"/>
  <c r="A2143" i="6" s="1"/>
  <c r="H2158" i="6"/>
  <c r="I2158" i="6" s="1"/>
  <c r="A2158" i="6" s="1"/>
  <c r="H2162" i="6"/>
  <c r="I2162" i="6" s="1"/>
  <c r="A2162" i="6" s="1"/>
  <c r="H2174" i="6"/>
  <c r="I2174" i="6" s="1"/>
  <c r="A2174" i="6" s="1"/>
  <c r="H2200" i="6"/>
  <c r="I2200" i="6" s="1"/>
  <c r="A2200" i="6" s="1"/>
  <c r="H2204" i="6"/>
  <c r="I2204" i="6" s="1"/>
  <c r="A2204" i="6" s="1"/>
  <c r="H21" i="6"/>
  <c r="I21" i="6" s="1"/>
  <c r="A21" i="6" s="1"/>
  <c r="G24" i="6"/>
  <c r="H30" i="6"/>
  <c r="I30" i="6" s="1"/>
  <c r="A30" i="6" s="1"/>
  <c r="G33" i="6"/>
  <c r="G31" i="6" s="1"/>
  <c r="L24" i="12" s="1"/>
  <c r="F33" i="6"/>
  <c r="F31" i="6" s="1"/>
  <c r="J24" i="12" s="1"/>
  <c r="H45" i="6"/>
  <c r="I45" i="6" s="1"/>
  <c r="A45" i="6" s="1"/>
  <c r="G44" i="6"/>
  <c r="L25" i="12" s="1"/>
  <c r="H110" i="6"/>
  <c r="I110" i="6" s="1"/>
  <c r="H114" i="6"/>
  <c r="I114" i="6" s="1"/>
  <c r="A114" i="6" s="1"/>
  <c r="H413" i="6"/>
  <c r="I413" i="6" s="1"/>
  <c r="A413" i="6" s="1"/>
  <c r="H722" i="6"/>
  <c r="I722" i="6" s="1"/>
  <c r="A722" i="6" s="1"/>
  <c r="H1291" i="6"/>
  <c r="I1291" i="6" s="1"/>
  <c r="E399" i="6"/>
  <c r="E2170" i="6"/>
  <c r="E2195" i="6"/>
  <c r="E1004" i="6"/>
  <c r="E1003" i="6" s="1"/>
  <c r="E1040" i="6"/>
  <c r="E1037" i="6" s="1"/>
  <c r="E1137" i="6"/>
  <c r="E1026" i="6"/>
  <c r="F97" i="14" s="1"/>
  <c r="E1030" i="6"/>
  <c r="E353" i="6"/>
  <c r="E1171" i="6"/>
  <c r="E1322" i="6"/>
  <c r="E1898" i="6"/>
  <c r="E2031" i="6"/>
  <c r="E1558" i="6"/>
  <c r="E1662" i="6"/>
  <c r="E1076" i="6"/>
  <c r="E1073" i="6" s="1"/>
  <c r="E1448" i="6"/>
  <c r="E1466" i="6"/>
  <c r="E1470" i="6"/>
  <c r="E1564" i="6"/>
  <c r="E1584" i="6"/>
  <c r="E1582" i="6" s="1"/>
  <c r="E1600" i="6"/>
  <c r="E1606" i="6"/>
  <c r="E1832" i="6"/>
  <c r="E1919" i="6"/>
  <c r="E1220" i="6"/>
  <c r="E1219" i="6" s="1"/>
  <c r="E1260" i="6"/>
  <c r="E1259" i="6" s="1"/>
  <c r="E1264" i="6"/>
  <c r="E1263" i="6" s="1"/>
  <c r="E1270" i="6"/>
  <c r="E1269" i="6" s="1"/>
  <c r="E1273" i="6"/>
  <c r="E1277" i="6"/>
  <c r="E1276" i="6" s="1"/>
  <c r="E1424" i="6"/>
  <c r="E87" i="6"/>
  <c r="E949" i="6"/>
  <c r="E946" i="6" s="1"/>
  <c r="E1442" i="6"/>
  <c r="G39" i="7" s="1"/>
  <c r="E1679" i="6"/>
  <c r="E1678" i="6" s="1"/>
  <c r="E99" i="6"/>
  <c r="E291" i="6"/>
  <c r="E289" i="6" s="1"/>
  <c r="E297" i="6"/>
  <c r="E295" i="6" s="1"/>
  <c r="E392" i="6"/>
  <c r="E535" i="6"/>
  <c r="E543" i="6"/>
  <c r="E549" i="6"/>
  <c r="E691" i="6"/>
  <c r="E690" i="6" s="1"/>
  <c r="E926" i="6"/>
  <c r="E1000" i="6"/>
  <c r="E999" i="6" s="1"/>
  <c r="E1020" i="6"/>
  <c r="E1302" i="6"/>
  <c r="E1432" i="6"/>
  <c r="E1504" i="6"/>
  <c r="E1502" i="6" s="1"/>
  <c r="E1501" i="6" s="1"/>
  <c r="E1642" i="6"/>
  <c r="E1640" i="6" s="1"/>
  <c r="E1652" i="6"/>
  <c r="E1846" i="6"/>
  <c r="E1890" i="6"/>
  <c r="E1888" i="6" s="1"/>
  <c r="E2160" i="6"/>
  <c r="E1009" i="6"/>
  <c r="F46" i="7" s="1"/>
  <c r="E15" i="6"/>
  <c r="F8" i="12" s="1"/>
  <c r="E213" i="6"/>
  <c r="E1176" i="6"/>
  <c r="E1494" i="6"/>
  <c r="E1574" i="6"/>
  <c r="E1572" i="6" s="1"/>
  <c r="E1592" i="6"/>
  <c r="E1628" i="6"/>
  <c r="E1645" i="6"/>
  <c r="E1700" i="6"/>
  <c r="E1748" i="6"/>
  <c r="E1776" i="6"/>
  <c r="E79" i="6"/>
  <c r="E178" i="6"/>
  <c r="E308" i="6"/>
  <c r="E357" i="6"/>
  <c r="E1147" i="6"/>
  <c r="E1280" i="6"/>
  <c r="E1488" i="6"/>
  <c r="E1782" i="6"/>
  <c r="E1858" i="6"/>
  <c r="E1865" i="6"/>
  <c r="E1142" i="6"/>
  <c r="E1722" i="6"/>
  <c r="E2184" i="6"/>
  <c r="E2183" i="6" s="1"/>
  <c r="F68" i="14"/>
  <c r="L68" i="14" s="1"/>
  <c r="E328" i="6"/>
  <c r="L31" i="13"/>
  <c r="E286" i="6"/>
  <c r="E284" i="6" s="1"/>
  <c r="E302" i="6"/>
  <c r="E300" i="6" s="1"/>
  <c r="E525" i="6"/>
  <c r="E1257" i="6"/>
  <c r="E1728" i="6"/>
  <c r="E75" i="6"/>
  <c r="H10" i="13"/>
  <c r="F30" i="13"/>
  <c r="L30" i="13" s="1"/>
  <c r="E336" i="6"/>
  <c r="E1689" i="6"/>
  <c r="E1688" i="6" s="1"/>
  <c r="E1712" i="6"/>
  <c r="F28" i="13"/>
  <c r="L28" i="13" s="1"/>
  <c r="H8" i="13"/>
  <c r="H9" i="13"/>
  <c r="F29" i="13"/>
  <c r="L29" i="13" s="1"/>
  <c r="E71" i="6"/>
  <c r="F27" i="13"/>
  <c r="H7" i="13"/>
  <c r="E224" i="6"/>
  <c r="E361" i="6"/>
  <c r="E370" i="6"/>
  <c r="E937" i="6"/>
  <c r="E936" i="6" s="1"/>
  <c r="E1161" i="6"/>
  <c r="E1666" i="6"/>
  <c r="E1668" i="6"/>
  <c r="E1670" i="6"/>
  <c r="E1756" i="6"/>
  <c r="E1982" i="6"/>
  <c r="E2087" i="6"/>
  <c r="E2093" i="6"/>
  <c r="E2099" i="6"/>
  <c r="E2244" i="6"/>
  <c r="E1821" i="6"/>
  <c r="E1966" i="6"/>
  <c r="E2069" i="6"/>
  <c r="E2068" i="6" s="1"/>
  <c r="E1942" i="6"/>
  <c r="E2041" i="6"/>
  <c r="E1311" i="6"/>
  <c r="E2201" i="6"/>
  <c r="H47" i="6"/>
  <c r="I47" i="6" s="1"/>
  <c r="G403" i="6"/>
  <c r="G402" i="6" s="1"/>
  <c r="E1287" i="6"/>
  <c r="E1284" i="6" s="1"/>
  <c r="G1295" i="6"/>
  <c r="G1294" i="6" s="1"/>
  <c r="H1480" i="6"/>
  <c r="I1480" i="6" s="1"/>
  <c r="A1480" i="6" s="1"/>
  <c r="G1539" i="6"/>
  <c r="G1538" i="6" s="1"/>
  <c r="H66" i="14" s="1"/>
  <c r="H2209" i="6"/>
  <c r="I2209" i="6" s="1"/>
  <c r="A2209" i="6" s="1"/>
  <c r="F24" i="6"/>
  <c r="F23" i="6" s="1"/>
  <c r="G361" i="6"/>
  <c r="G1040" i="6"/>
  <c r="G1037" i="6" s="1"/>
  <c r="G1322" i="6"/>
  <c r="G1466" i="6"/>
  <c r="C5" i="3"/>
  <c r="C7" i="3" s="1"/>
  <c r="C9" i="3" s="1"/>
  <c r="C10" i="3" s="1"/>
  <c r="C11" i="3" s="1"/>
  <c r="C12" i="3" s="1"/>
  <c r="C13" i="3" s="1"/>
  <c r="C14" i="3" s="1"/>
  <c r="C15" i="3" s="1"/>
  <c r="C4" i="3"/>
  <c r="C6" i="3" s="1"/>
  <c r="C8" i="3" s="1"/>
  <c r="A43" i="4"/>
  <c r="A44" i="4"/>
  <c r="C49" i="4"/>
  <c r="C17" i="4"/>
  <c r="C141" i="4"/>
  <c r="C142" i="4"/>
  <c r="C23" i="3"/>
  <c r="C172" i="3"/>
  <c r="C173" i="3" s="1"/>
  <c r="C174" i="3" s="1"/>
  <c r="C175" i="3" s="1"/>
  <c r="C43" i="4"/>
  <c r="C148" i="4" s="1"/>
  <c r="C151" i="4" s="1"/>
  <c r="C152" i="4" s="1"/>
  <c r="C147" i="4"/>
  <c r="C44" i="4"/>
  <c r="C149" i="4" s="1"/>
  <c r="D142" i="4"/>
  <c r="D141" i="4"/>
  <c r="P36" i="12"/>
  <c r="E107" i="6"/>
  <c r="F38" i="12" s="1"/>
  <c r="G44" i="4"/>
  <c r="G43" i="4"/>
  <c r="C59" i="4"/>
  <c r="C32" i="4"/>
  <c r="C33" i="4" s="1"/>
  <c r="C29" i="4"/>
  <c r="C30" i="4" s="1"/>
  <c r="D5" i="3"/>
  <c r="D7" i="3" s="1"/>
  <c r="D9" i="3" s="1"/>
  <c r="D10" i="3" s="1"/>
  <c r="D11" i="3" s="1"/>
  <c r="D12" i="3" s="1"/>
  <c r="D13" i="3" s="1"/>
  <c r="D14" i="3" s="1"/>
  <c r="D15" i="3" s="1"/>
  <c r="D43" i="4"/>
  <c r="E118" i="6"/>
  <c r="E1068" i="6"/>
  <c r="E1555" i="6"/>
  <c r="E2207" i="6"/>
  <c r="H12" i="6"/>
  <c r="I12" i="6" s="1"/>
  <c r="A12" i="6" s="1"/>
  <c r="H26" i="6"/>
  <c r="I26" i="6" s="1"/>
  <c r="H35" i="6"/>
  <c r="I35" i="6" s="1"/>
  <c r="A35" i="6" s="1"/>
  <c r="H48" i="6"/>
  <c r="I48" i="6" s="1"/>
  <c r="A48" i="6" s="1"/>
  <c r="E64" i="6"/>
  <c r="H76" i="6"/>
  <c r="I76" i="6" s="1"/>
  <c r="H78" i="6"/>
  <c r="I78" i="6" s="1"/>
  <c r="A78" i="6" s="1"/>
  <c r="H88" i="6"/>
  <c r="I88" i="6" s="1"/>
  <c r="A88" i="6" s="1"/>
  <c r="H90" i="6"/>
  <c r="I90" i="6" s="1"/>
  <c r="A90" i="6" s="1"/>
  <c r="H96" i="6"/>
  <c r="I96" i="6" s="1"/>
  <c r="A96" i="6" s="1"/>
  <c r="C165" i="3"/>
  <c r="E403" i="6"/>
  <c r="E2215" i="6"/>
  <c r="G31" i="7" s="1"/>
  <c r="H18" i="6"/>
  <c r="I18" i="6" s="1"/>
  <c r="A18" i="6" s="1"/>
  <c r="H22" i="6"/>
  <c r="I22" i="6" s="1"/>
  <c r="A22" i="6" s="1"/>
  <c r="E24" i="6"/>
  <c r="H25" i="6"/>
  <c r="I25" i="6" s="1"/>
  <c r="A25" i="6" s="1"/>
  <c r="E33" i="6"/>
  <c r="E31" i="6" s="1"/>
  <c r="H37" i="6"/>
  <c r="H50" i="6"/>
  <c r="I50" i="6" s="1"/>
  <c r="F52" i="6"/>
  <c r="J26" i="12" s="1"/>
  <c r="H56" i="6"/>
  <c r="I56" i="6" s="1"/>
  <c r="A56" i="6" s="1"/>
  <c r="F55" i="6"/>
  <c r="J27" i="12" s="1"/>
  <c r="E62" i="6"/>
  <c r="H80" i="6"/>
  <c r="I80" i="6" s="1"/>
  <c r="H82" i="6"/>
  <c r="H92" i="6"/>
  <c r="I92" i="6" s="1"/>
  <c r="A92" i="6" s="1"/>
  <c r="H98" i="6"/>
  <c r="I98" i="6" s="1"/>
  <c r="H104" i="6"/>
  <c r="I104" i="6" s="1"/>
  <c r="H7" i="12" s="1"/>
  <c r="H108" i="6"/>
  <c r="I108" i="6" s="1"/>
  <c r="E1063" i="6"/>
  <c r="E1070" i="6"/>
  <c r="E1156" i="6"/>
  <c r="E1152" i="6" s="1"/>
  <c r="E1539" i="6"/>
  <c r="I1554" i="6"/>
  <c r="A1554" i="6" s="1"/>
  <c r="E1552" i="6"/>
  <c r="F69" i="14" s="1"/>
  <c r="E60" i="6"/>
  <c r="E68" i="6"/>
  <c r="E94" i="6"/>
  <c r="E2213" i="6"/>
  <c r="G30" i="7" s="1"/>
  <c r="G2251" i="6"/>
  <c r="F2251" i="6"/>
  <c r="H2249" i="6"/>
  <c r="I2249" i="6" s="1"/>
  <c r="H10" i="6"/>
  <c r="H16" i="6"/>
  <c r="I16" i="6" s="1"/>
  <c r="A16" i="6" s="1"/>
  <c r="F15" i="6"/>
  <c r="J22" i="12" s="1"/>
  <c r="H20" i="6"/>
  <c r="I20" i="6" s="1"/>
  <c r="H41" i="6"/>
  <c r="F44" i="6"/>
  <c r="J25" i="12" s="1"/>
  <c r="H46" i="6"/>
  <c r="I46" i="6" s="1"/>
  <c r="E66" i="6"/>
  <c r="H72" i="6"/>
  <c r="I72" i="6" s="1"/>
  <c r="E129" i="6"/>
  <c r="E133" i="6"/>
  <c r="E137" i="6"/>
  <c r="E141" i="6"/>
  <c r="E143" i="6"/>
  <c r="E151" i="6"/>
  <c r="E155" i="6"/>
  <c r="E163" i="6"/>
  <c r="E167" i="6"/>
  <c r="E185" i="6"/>
  <c r="H190" i="6"/>
  <c r="I190" i="6" s="1"/>
  <c r="A190" i="6" s="1"/>
  <c r="F189" i="6"/>
  <c r="H194" i="6"/>
  <c r="I194" i="6" s="1"/>
  <c r="A194" i="6" s="1"/>
  <c r="E196" i="6"/>
  <c r="F200" i="6"/>
  <c r="H210" i="6"/>
  <c r="I210" i="6" s="1"/>
  <c r="A210" i="6" s="1"/>
  <c r="E216" i="6"/>
  <c r="F220" i="6"/>
  <c r="F234" i="6"/>
  <c r="H240" i="6"/>
  <c r="I240" i="6" s="1"/>
  <c r="A240" i="6" s="1"/>
  <c r="F239" i="6"/>
  <c r="F244" i="6"/>
  <c r="H250" i="6"/>
  <c r="I250" i="6" s="1"/>
  <c r="F249" i="6"/>
  <c r="F254" i="6"/>
  <c r="E260" i="6"/>
  <c r="H264" i="6"/>
  <c r="I264" i="6" s="1"/>
  <c r="A264" i="6" s="1"/>
  <c r="E265" i="6"/>
  <c r="E270" i="6"/>
  <c r="F314" i="6"/>
  <c r="E320" i="6"/>
  <c r="H324" i="6"/>
  <c r="I324" i="6" s="1"/>
  <c r="F323" i="6"/>
  <c r="E325" i="6"/>
  <c r="H330" i="6"/>
  <c r="I330" i="6" s="1"/>
  <c r="A330" i="6" s="1"/>
  <c r="F329" i="6"/>
  <c r="E338" i="6"/>
  <c r="H342" i="6"/>
  <c r="I342" i="6" s="1"/>
  <c r="A342" i="6" s="1"/>
  <c r="F341" i="6"/>
  <c r="H22" i="15" s="1"/>
  <c r="F346" i="6"/>
  <c r="H364" i="6"/>
  <c r="I364" i="6" s="1"/>
  <c r="A364" i="6" s="1"/>
  <c r="H372" i="6"/>
  <c r="I372" i="6" s="1"/>
  <c r="A372" i="6" s="1"/>
  <c r="H374" i="6"/>
  <c r="H380" i="6"/>
  <c r="I380" i="6" s="1"/>
  <c r="A380" i="6" s="1"/>
  <c r="F379" i="6"/>
  <c r="H19" i="14" s="1"/>
  <c r="H384" i="6"/>
  <c r="I384" i="6" s="1"/>
  <c r="A384" i="6" s="1"/>
  <c r="F383" i="6"/>
  <c r="H21" i="14" s="1"/>
  <c r="H404" i="6"/>
  <c r="I404" i="6" s="1"/>
  <c r="A404" i="6" s="1"/>
  <c r="F403" i="6"/>
  <c r="H526" i="6"/>
  <c r="I526" i="6" s="1"/>
  <c r="A526" i="6" s="1"/>
  <c r="F525" i="6"/>
  <c r="H577" i="6"/>
  <c r="I577" i="6" s="1"/>
  <c r="A577" i="6" s="1"/>
  <c r="F576" i="6"/>
  <c r="H583" i="6"/>
  <c r="I583" i="6" s="1"/>
  <c r="F582" i="6"/>
  <c r="G713" i="6"/>
  <c r="H714" i="6"/>
  <c r="I714" i="6" s="1"/>
  <c r="A714" i="6" s="1"/>
  <c r="E1014" i="6"/>
  <c r="G37" i="7" s="1"/>
  <c r="H180" i="6"/>
  <c r="I180" i="6" s="1"/>
  <c r="A180" i="6" s="1"/>
  <c r="E181" i="6"/>
  <c r="H186" i="6"/>
  <c r="I186" i="6" s="1"/>
  <c r="A186" i="6" s="1"/>
  <c r="F185" i="6"/>
  <c r="E192" i="6"/>
  <c r="G200" i="6"/>
  <c r="E208" i="6"/>
  <c r="G220" i="6"/>
  <c r="H226" i="6"/>
  <c r="I226" i="6" s="1"/>
  <c r="A226" i="6" s="1"/>
  <c r="E227" i="6"/>
  <c r="G234" i="6"/>
  <c r="G232" i="6" s="1"/>
  <c r="G244" i="6"/>
  <c r="G242" i="6" s="1"/>
  <c r="G254" i="6"/>
  <c r="G252" i="6" s="1"/>
  <c r="H266" i="6"/>
  <c r="I266" i="6" s="1"/>
  <c r="F265" i="6"/>
  <c r="H278" i="6"/>
  <c r="I278" i="6" s="1"/>
  <c r="H288" i="6"/>
  <c r="I288" i="6" s="1"/>
  <c r="H294" i="6"/>
  <c r="H304" i="6"/>
  <c r="H310" i="6"/>
  <c r="I310" i="6" s="1"/>
  <c r="E311" i="6"/>
  <c r="G314" i="6"/>
  <c r="H326" i="6"/>
  <c r="I326" i="6" s="1"/>
  <c r="F325" i="6"/>
  <c r="H332" i="6"/>
  <c r="I332" i="6" s="1"/>
  <c r="F331" i="6"/>
  <c r="H331" i="6" s="1"/>
  <c r="I331" i="6" s="1"/>
  <c r="A331" i="6" s="1"/>
  <c r="E344" i="6"/>
  <c r="H345" i="6"/>
  <c r="I345" i="6" s="1"/>
  <c r="E366" i="6"/>
  <c r="H400" i="6"/>
  <c r="I400" i="6" s="1"/>
  <c r="A400" i="6" s="1"/>
  <c r="F399" i="6"/>
  <c r="H536" i="6"/>
  <c r="I536" i="6" s="1"/>
  <c r="A536" i="6" s="1"/>
  <c r="F535" i="6"/>
  <c r="H544" i="6"/>
  <c r="I544" i="6" s="1"/>
  <c r="A544" i="6" s="1"/>
  <c r="F543" i="6"/>
  <c r="G687" i="6"/>
  <c r="G686" i="6" s="1"/>
  <c r="H688" i="6"/>
  <c r="I688" i="6" s="1"/>
  <c r="G716" i="6"/>
  <c r="H182" i="6"/>
  <c r="F181" i="6"/>
  <c r="H228" i="6"/>
  <c r="I228" i="6" s="1"/>
  <c r="F227" i="6"/>
  <c r="H280" i="6"/>
  <c r="I280" i="6" s="1"/>
  <c r="A280" i="6" s="1"/>
  <c r="H290" i="6"/>
  <c r="I290" i="6" s="1"/>
  <c r="A290" i="6" s="1"/>
  <c r="H296" i="6"/>
  <c r="I296" i="6" s="1"/>
  <c r="H306" i="6"/>
  <c r="F305" i="6"/>
  <c r="H305" i="6" s="1"/>
  <c r="I305" i="6" s="1"/>
  <c r="H312" i="6"/>
  <c r="I312" i="6" s="1"/>
  <c r="A312" i="6" s="1"/>
  <c r="F311" i="6"/>
  <c r="H334" i="6"/>
  <c r="I334" i="6" s="1"/>
  <c r="F333" i="6"/>
  <c r="H333" i="6" s="1"/>
  <c r="I333" i="6" s="1"/>
  <c r="A333" i="6" s="1"/>
  <c r="H344" i="6"/>
  <c r="H378" i="6"/>
  <c r="I378" i="6" s="1"/>
  <c r="A378" i="6" s="1"/>
  <c r="F377" i="6"/>
  <c r="H18" i="14" s="1"/>
  <c r="H382" i="6"/>
  <c r="I382" i="6" s="1"/>
  <c r="A382" i="6" s="1"/>
  <c r="F381" i="6"/>
  <c r="H20" i="14" s="1"/>
  <c r="H386" i="6"/>
  <c r="I386" i="6" s="1"/>
  <c r="A386" i="6" s="1"/>
  <c r="F385" i="6"/>
  <c r="H550" i="6"/>
  <c r="I550" i="6" s="1"/>
  <c r="F549" i="6"/>
  <c r="E589" i="6"/>
  <c r="F707" i="6"/>
  <c r="H710" i="6"/>
  <c r="I710" i="6" s="1"/>
  <c r="A710" i="6" s="1"/>
  <c r="H60" i="6"/>
  <c r="H62" i="6"/>
  <c r="H64" i="6"/>
  <c r="H68" i="6"/>
  <c r="F71" i="6"/>
  <c r="F75" i="6"/>
  <c r="F79" i="6"/>
  <c r="F83" i="6"/>
  <c r="H83" i="6" s="1"/>
  <c r="I83" i="6" s="1"/>
  <c r="F85" i="6"/>
  <c r="H85" i="6" s="1"/>
  <c r="I85" i="6" s="1"/>
  <c r="F87" i="6"/>
  <c r="F97" i="6"/>
  <c r="H97" i="6" s="1"/>
  <c r="I97" i="6" s="1"/>
  <c r="F99" i="6"/>
  <c r="H106" i="6"/>
  <c r="F107" i="6"/>
  <c r="L38" i="12" s="1"/>
  <c r="H117" i="6"/>
  <c r="I117" i="6" s="1"/>
  <c r="H13" i="12" s="1"/>
  <c r="F118" i="6"/>
  <c r="F124" i="6"/>
  <c r="F158" i="6"/>
  <c r="F170" i="6"/>
  <c r="F174" i="6"/>
  <c r="F178" i="6"/>
  <c r="E189" i="6"/>
  <c r="H198" i="6"/>
  <c r="E200" i="6"/>
  <c r="H204" i="6"/>
  <c r="I204" i="6" s="1"/>
  <c r="A204" i="6" s="1"/>
  <c r="F203" i="6"/>
  <c r="H214" i="6"/>
  <c r="I214" i="6" s="1"/>
  <c r="F213" i="6"/>
  <c r="H218" i="6"/>
  <c r="I218" i="6" s="1"/>
  <c r="E220" i="6"/>
  <c r="F224" i="6"/>
  <c r="E234" i="6"/>
  <c r="E232" i="6" s="1"/>
  <c r="H238" i="6"/>
  <c r="I238" i="6" s="1"/>
  <c r="A238" i="6" s="1"/>
  <c r="E239" i="6"/>
  <c r="E244" i="6"/>
  <c r="E242" i="6" s="1"/>
  <c r="H248" i="6"/>
  <c r="I248" i="6" s="1"/>
  <c r="E249" i="6"/>
  <c r="E254" i="6"/>
  <c r="H262" i="6"/>
  <c r="I262" i="6" s="1"/>
  <c r="A262" i="6" s="1"/>
  <c r="H268" i="6"/>
  <c r="H272" i="6"/>
  <c r="I272" i="6" s="1"/>
  <c r="F276" i="6"/>
  <c r="H282" i="6"/>
  <c r="I282" i="6" s="1"/>
  <c r="F281" i="6"/>
  <c r="F286" i="6"/>
  <c r="H292" i="6"/>
  <c r="F291" i="6"/>
  <c r="H298" i="6"/>
  <c r="I298" i="6" s="1"/>
  <c r="F297" i="6"/>
  <c r="F302" i="6"/>
  <c r="F308" i="6"/>
  <c r="E314" i="6"/>
  <c r="H318" i="6"/>
  <c r="I318" i="6" s="1"/>
  <c r="F317" i="6"/>
  <c r="H322" i="6"/>
  <c r="I322" i="6" s="1"/>
  <c r="A322" i="6" s="1"/>
  <c r="E341" i="6"/>
  <c r="F22" i="15" s="1"/>
  <c r="E346" i="6"/>
  <c r="H354" i="6"/>
  <c r="I354" i="6" s="1"/>
  <c r="A354" i="6" s="1"/>
  <c r="F353" i="6"/>
  <c r="H358" i="6"/>
  <c r="I358" i="6" s="1"/>
  <c r="A358" i="6" s="1"/>
  <c r="F357" i="6"/>
  <c r="H362" i="6"/>
  <c r="I362" i="6" s="1"/>
  <c r="A362" i="6" s="1"/>
  <c r="F361" i="6"/>
  <c r="H368" i="6"/>
  <c r="I368" i="6" s="1"/>
  <c r="F370" i="6"/>
  <c r="E374" i="6"/>
  <c r="H376" i="6"/>
  <c r="I376" i="6" s="1"/>
  <c r="A376" i="6" s="1"/>
  <c r="F375" i="6"/>
  <c r="H554" i="6"/>
  <c r="I554" i="6" s="1"/>
  <c r="A554" i="6" s="1"/>
  <c r="H558" i="6"/>
  <c r="I558" i="6" s="1"/>
  <c r="A558" i="6" s="1"/>
  <c r="F589" i="6"/>
  <c r="H689" i="6"/>
  <c r="I689" i="6" s="1"/>
  <c r="A689" i="6" s="1"/>
  <c r="F687" i="6"/>
  <c r="H700" i="6"/>
  <c r="I700" i="6" s="1"/>
  <c r="A700" i="6" s="1"/>
  <c r="E707" i="6"/>
  <c r="E687" i="6"/>
  <c r="E698" i="6"/>
  <c r="H717" i="6"/>
  <c r="I717" i="6" s="1"/>
  <c r="F716" i="6"/>
  <c r="H801" i="6"/>
  <c r="I801" i="6" s="1"/>
  <c r="A801" i="6" s="1"/>
  <c r="H805" i="6"/>
  <c r="H809" i="6"/>
  <c r="I809" i="6" s="1"/>
  <c r="H813" i="6"/>
  <c r="H829" i="6"/>
  <c r="H831" i="6"/>
  <c r="I831" i="6" s="1"/>
  <c r="A831" i="6" s="1"/>
  <c r="H833" i="6"/>
  <c r="I833" i="6" s="1"/>
  <c r="A833" i="6" s="1"/>
  <c r="H835" i="6"/>
  <c r="H837" i="6"/>
  <c r="I837" i="6" s="1"/>
  <c r="A837" i="6" s="1"/>
  <c r="E683" i="6"/>
  <c r="H699" i="6"/>
  <c r="I699" i="6" s="1"/>
  <c r="F698" i="6"/>
  <c r="H703" i="6"/>
  <c r="I703" i="6" s="1"/>
  <c r="A703" i="6" s="1"/>
  <c r="H709" i="6"/>
  <c r="I709" i="6" s="1"/>
  <c r="H693" i="6"/>
  <c r="I693" i="6" s="1"/>
  <c r="A693" i="6" s="1"/>
  <c r="H705" i="6"/>
  <c r="I705" i="6" s="1"/>
  <c r="A705" i="6" s="1"/>
  <c r="F704" i="6"/>
  <c r="H719" i="6"/>
  <c r="I719" i="6" s="1"/>
  <c r="H723" i="6"/>
  <c r="I723" i="6" s="1"/>
  <c r="H727" i="6"/>
  <c r="H731" i="6"/>
  <c r="I731" i="6" s="1"/>
  <c r="H735" i="6"/>
  <c r="I735" i="6" s="1"/>
  <c r="H739" i="6"/>
  <c r="I739" i="6" s="1"/>
  <c r="H743" i="6"/>
  <c r="H747" i="6"/>
  <c r="I747" i="6" s="1"/>
  <c r="A747" i="6" s="1"/>
  <c r="H751" i="6"/>
  <c r="I751" i="6" s="1"/>
  <c r="A751" i="6" s="1"/>
  <c r="H755" i="6"/>
  <c r="I755" i="6" s="1"/>
  <c r="A755" i="6" s="1"/>
  <c r="H759" i="6"/>
  <c r="I759" i="6" s="1"/>
  <c r="H763" i="6"/>
  <c r="I763" i="6" s="1"/>
  <c r="A763" i="6" s="1"/>
  <c r="H767" i="6"/>
  <c r="H771" i="6"/>
  <c r="I771" i="6" s="1"/>
  <c r="H775" i="6"/>
  <c r="I775" i="6" s="1"/>
  <c r="H779" i="6"/>
  <c r="I779" i="6" s="1"/>
  <c r="A779" i="6" s="1"/>
  <c r="H783" i="6"/>
  <c r="I783" i="6" s="1"/>
  <c r="H787" i="6"/>
  <c r="I787" i="6" s="1"/>
  <c r="A787" i="6" s="1"/>
  <c r="H791" i="6"/>
  <c r="I791" i="6" s="1"/>
  <c r="H795" i="6"/>
  <c r="I795" i="6" s="1"/>
  <c r="A795" i="6" s="1"/>
  <c r="H799" i="6"/>
  <c r="I799" i="6" s="1"/>
  <c r="A799" i="6" s="1"/>
  <c r="H803" i="6"/>
  <c r="I803" i="6" s="1"/>
  <c r="A803" i="6" s="1"/>
  <c r="H807" i="6"/>
  <c r="H811" i="6"/>
  <c r="H817" i="6"/>
  <c r="I817" i="6" s="1"/>
  <c r="H819" i="6"/>
  <c r="I819" i="6" s="1"/>
  <c r="A819" i="6" s="1"/>
  <c r="H821" i="6"/>
  <c r="I821" i="6" s="1"/>
  <c r="A821" i="6" s="1"/>
  <c r="H823" i="6"/>
  <c r="I823" i="6" s="1"/>
  <c r="A823" i="6" s="1"/>
  <c r="H825" i="6"/>
  <c r="I825" i="6" s="1"/>
  <c r="A825" i="6" s="1"/>
  <c r="E931" i="6"/>
  <c r="G1171" i="6"/>
  <c r="H1172" i="6"/>
  <c r="I1172" i="6" s="1"/>
  <c r="A1172" i="6" s="1"/>
  <c r="E1048" i="6"/>
  <c r="H1057" i="6"/>
  <c r="I1057" i="6" s="1"/>
  <c r="A1057" i="6" s="1"/>
  <c r="H1061" i="6"/>
  <c r="I1061" i="6" s="1"/>
  <c r="H1065" i="6"/>
  <c r="I1065" i="6" s="1"/>
  <c r="A1065" i="6" s="1"/>
  <c r="H1074" i="6"/>
  <c r="I1074" i="6" s="1"/>
  <c r="H1078" i="6"/>
  <c r="I1078" i="6" s="1"/>
  <c r="H1139" i="6"/>
  <c r="I1139" i="6" s="1"/>
  <c r="H1141" i="6"/>
  <c r="I1141" i="6" s="1"/>
  <c r="H1170" i="6"/>
  <c r="I1170" i="6" s="1"/>
  <c r="A1170" i="6" s="1"/>
  <c r="F927" i="6"/>
  <c r="F929" i="6"/>
  <c r="F937" i="6"/>
  <c r="F947" i="6"/>
  <c r="F949" i="6"/>
  <c r="F1000" i="6"/>
  <c r="F1004" i="6"/>
  <c r="F1010" i="6"/>
  <c r="F1012" i="6"/>
  <c r="F1020" i="6"/>
  <c r="F1026" i="6"/>
  <c r="J97" i="14" s="1"/>
  <c r="F1030" i="6"/>
  <c r="F1040" i="6"/>
  <c r="F1048" i="6"/>
  <c r="H1067" i="6"/>
  <c r="I1067" i="6" s="1"/>
  <c r="F1066" i="6"/>
  <c r="E1166" i="6"/>
  <c r="E1248" i="6"/>
  <c r="H1055" i="6"/>
  <c r="I1055" i="6" s="1"/>
  <c r="A1055" i="6" s="1"/>
  <c r="H1059" i="6"/>
  <c r="F1063" i="6"/>
  <c r="H1069" i="6"/>
  <c r="I1069" i="6" s="1"/>
  <c r="A1069" i="6" s="1"/>
  <c r="H1082" i="6"/>
  <c r="H1083" i="6"/>
  <c r="I1083" i="6" s="1"/>
  <c r="H1153" i="6"/>
  <c r="I1153" i="6" s="1"/>
  <c r="H1154" i="6"/>
  <c r="H1155" i="6"/>
  <c r="I1155" i="6" s="1"/>
  <c r="H1156" i="6"/>
  <c r="H1157" i="6"/>
  <c r="H1158" i="6"/>
  <c r="I1158" i="6" s="1"/>
  <c r="H1159" i="6"/>
  <c r="H1160" i="6"/>
  <c r="H1163" i="6"/>
  <c r="H1165" i="6"/>
  <c r="I1165" i="6" s="1"/>
  <c r="F1079" i="6"/>
  <c r="F1081" i="6"/>
  <c r="F1142" i="6"/>
  <c r="F1152" i="6"/>
  <c r="F1166" i="6"/>
  <c r="F1176" i="6"/>
  <c r="F1215" i="6"/>
  <c r="H1215" i="6" s="1"/>
  <c r="I1215" i="6" s="1"/>
  <c r="A1215" i="6" s="1"/>
  <c r="F1217" i="6"/>
  <c r="H1217" i="6" s="1"/>
  <c r="H1352" i="6"/>
  <c r="I1352" i="6" s="1"/>
  <c r="A1352" i="6" s="1"/>
  <c r="H1356" i="6"/>
  <c r="I1356" i="6" s="1"/>
  <c r="A1356" i="6" s="1"/>
  <c r="H1360" i="6"/>
  <c r="I1360" i="6" s="1"/>
  <c r="A1360" i="6" s="1"/>
  <c r="H1364" i="6"/>
  <c r="I1364" i="6" s="1"/>
  <c r="A1364" i="6" s="1"/>
  <c r="H1368" i="6"/>
  <c r="H1372" i="6"/>
  <c r="I1372" i="6" s="1"/>
  <c r="A1372" i="6" s="1"/>
  <c r="H1380" i="6"/>
  <c r="I1380" i="6" s="1"/>
  <c r="A1380" i="6" s="1"/>
  <c r="H1388" i="6"/>
  <c r="I1388" i="6" s="1"/>
  <c r="A1388" i="6" s="1"/>
  <c r="H1403" i="6"/>
  <c r="I1403" i="6" s="1"/>
  <c r="A1403" i="6" s="1"/>
  <c r="H1433" i="6"/>
  <c r="I1433" i="6" s="1"/>
  <c r="A1433" i="6" s="1"/>
  <c r="F1432" i="6"/>
  <c r="H1425" i="6"/>
  <c r="I1425" i="6" s="1"/>
  <c r="A1425" i="6" s="1"/>
  <c r="F1424" i="6"/>
  <c r="H1445" i="6"/>
  <c r="I1445" i="6" s="1"/>
  <c r="F1444" i="6"/>
  <c r="F1068" i="6"/>
  <c r="H1068" i="6" s="1"/>
  <c r="F1070" i="6"/>
  <c r="H1184" i="6"/>
  <c r="I1184" i="6" s="1"/>
  <c r="F1220" i="6"/>
  <c r="F1257" i="6"/>
  <c r="H1257" i="6" s="1"/>
  <c r="F1280" i="6"/>
  <c r="F1309" i="6"/>
  <c r="H1309" i="6" s="1"/>
  <c r="I1309" i="6" s="1"/>
  <c r="A1309" i="6" s="1"/>
  <c r="F1311" i="6"/>
  <c r="H1362" i="6"/>
  <c r="H1366" i="6"/>
  <c r="I1366" i="6" s="1"/>
  <c r="H1370" i="6"/>
  <c r="I1370" i="6" s="1"/>
  <c r="H1376" i="6"/>
  <c r="I1376" i="6" s="1"/>
  <c r="H1384" i="6"/>
  <c r="I1384" i="6" s="1"/>
  <c r="H1392" i="6"/>
  <c r="I1392" i="6" s="1"/>
  <c r="H1399" i="6"/>
  <c r="I1399" i="6" s="1"/>
  <c r="A1399" i="6" s="1"/>
  <c r="H1431" i="6"/>
  <c r="I1431" i="6" s="1"/>
  <c r="A1431" i="6" s="1"/>
  <c r="F1430" i="6"/>
  <c r="H1401" i="6"/>
  <c r="I1401" i="6" s="1"/>
  <c r="A1401" i="6" s="1"/>
  <c r="H1439" i="6"/>
  <c r="F1438" i="6"/>
  <c r="H1438" i="6" s="1"/>
  <c r="H1443" i="6"/>
  <c r="F1442" i="6"/>
  <c r="E1421" i="6"/>
  <c r="E1427" i="6"/>
  <c r="E1435" i="6"/>
  <c r="E1439" i="6"/>
  <c r="E1451" i="6"/>
  <c r="E1455" i="6"/>
  <c r="E1459" i="6"/>
  <c r="E1463" i="6"/>
  <c r="E1477" i="6"/>
  <c r="E1497" i="6"/>
  <c r="G1504" i="6"/>
  <c r="G1502" i="6" s="1"/>
  <c r="G1501" i="6" s="1"/>
  <c r="E1517" i="6"/>
  <c r="E1519" i="6"/>
  <c r="E1521" i="6"/>
  <c r="E1523" i="6"/>
  <c r="E1525" i="6"/>
  <c r="H50" i="14" s="1"/>
  <c r="E1531" i="6"/>
  <c r="E1535" i="6"/>
  <c r="E1543" i="6"/>
  <c r="F67" i="14" s="1"/>
  <c r="E1561" i="6"/>
  <c r="E1567" i="6"/>
  <c r="G1574" i="6"/>
  <c r="E1579" i="6"/>
  <c r="E1577" i="6" s="1"/>
  <c r="G1584" i="6"/>
  <c r="F8" i="15" s="1"/>
  <c r="E1589" i="6"/>
  <c r="E1611" i="6"/>
  <c r="E1617" i="6"/>
  <c r="E1623" i="6"/>
  <c r="H1631" i="6"/>
  <c r="I1631" i="6" s="1"/>
  <c r="E1637" i="6"/>
  <c r="H1641" i="6"/>
  <c r="I1641" i="6" s="1"/>
  <c r="A1641" i="6" s="1"/>
  <c r="E1647" i="6"/>
  <c r="H1659" i="6"/>
  <c r="I1659" i="6" s="1"/>
  <c r="H1550" i="6"/>
  <c r="I1550" i="6" s="1"/>
  <c r="A1550" i="6" s="1"/>
  <c r="H1643" i="6"/>
  <c r="I1643" i="6" s="1"/>
  <c r="F1642" i="6"/>
  <c r="H1653" i="6"/>
  <c r="I1653" i="6" s="1"/>
  <c r="H1655" i="6"/>
  <c r="H1657" i="6"/>
  <c r="I1657" i="6" s="1"/>
  <c r="A1657" i="6" s="1"/>
  <c r="H1703" i="6"/>
  <c r="I1703" i="6" s="1"/>
  <c r="F74" i="15" s="1"/>
  <c r="F1446" i="6"/>
  <c r="F1448" i="6"/>
  <c r="F1466" i="6"/>
  <c r="F1470" i="6"/>
  <c r="F1488" i="6"/>
  <c r="F1494" i="6"/>
  <c r="H1543" i="6"/>
  <c r="F1552" i="6"/>
  <c r="F1558" i="6"/>
  <c r="F1564" i="6"/>
  <c r="F1592" i="6"/>
  <c r="F1600" i="6"/>
  <c r="F1606" i="6"/>
  <c r="F1628" i="6"/>
  <c r="H1639" i="6"/>
  <c r="I1639" i="6" s="1"/>
  <c r="H1649" i="6"/>
  <c r="I1649" i="6" s="1"/>
  <c r="A1649" i="6" s="1"/>
  <c r="H1661" i="6"/>
  <c r="I1661" i="6" s="1"/>
  <c r="A1661" i="6" s="1"/>
  <c r="F1652" i="6"/>
  <c r="F1662" i="6"/>
  <c r="H1662" i="6" s="1"/>
  <c r="F1666" i="6"/>
  <c r="F1668" i="6"/>
  <c r="H1668" i="6" s="1"/>
  <c r="F1670" i="6"/>
  <c r="F1684" i="6"/>
  <c r="H1684" i="6" s="1"/>
  <c r="I1684" i="6" s="1"/>
  <c r="F1700" i="6"/>
  <c r="F1712" i="6"/>
  <c r="F1722" i="6"/>
  <c r="F1728" i="6"/>
  <c r="H1745" i="6"/>
  <c r="I1745" i="6" s="1"/>
  <c r="A1745" i="6" s="1"/>
  <c r="E1765" i="6"/>
  <c r="E1707" i="6"/>
  <c r="E1719" i="6"/>
  <c r="E1735" i="6"/>
  <c r="E1741" i="6"/>
  <c r="H1751" i="6"/>
  <c r="I1751" i="6" s="1"/>
  <c r="H1755" i="6"/>
  <c r="I1755" i="6" s="1"/>
  <c r="A1755" i="6" s="1"/>
  <c r="E1762" i="6"/>
  <c r="H1763" i="6"/>
  <c r="I1763" i="6" s="1"/>
  <c r="H1767" i="6"/>
  <c r="E1769" i="6"/>
  <c r="H1680" i="6"/>
  <c r="H1690" i="6"/>
  <c r="I1690" i="6" s="1"/>
  <c r="H1704" i="6"/>
  <c r="I1704" i="6" s="1"/>
  <c r="A1704" i="6" s="1"/>
  <c r="H1706" i="6"/>
  <c r="I1706" i="6" s="1"/>
  <c r="A1706" i="6" s="1"/>
  <c r="G1741" i="6"/>
  <c r="H1749" i="6"/>
  <c r="F1748" i="6"/>
  <c r="E1771" i="6"/>
  <c r="H1817" i="6"/>
  <c r="I1817" i="6" s="1"/>
  <c r="H1880" i="6"/>
  <c r="I1880" i="6" s="1"/>
  <c r="A1880" i="6" s="1"/>
  <c r="H1907" i="6"/>
  <c r="I1907" i="6" s="1"/>
  <c r="A1907" i="6" s="1"/>
  <c r="H1909" i="6"/>
  <c r="I1909" i="6" s="1"/>
  <c r="A1909" i="6" s="1"/>
  <c r="F1807" i="6"/>
  <c r="F1809" i="6"/>
  <c r="H1809" i="6" s="1"/>
  <c r="I1809" i="6" s="1"/>
  <c r="F1811" i="6"/>
  <c r="H1811" i="6" s="1"/>
  <c r="I1811" i="6" s="1"/>
  <c r="A1811" i="6" s="1"/>
  <c r="F1813" i="6"/>
  <c r="H1813" i="6" s="1"/>
  <c r="I1813" i="6" s="1"/>
  <c r="F1815" i="6"/>
  <c r="H1815" i="6" s="1"/>
  <c r="I1815" i="6" s="1"/>
  <c r="H1818" i="6"/>
  <c r="I1818" i="6" s="1"/>
  <c r="H1866" i="6"/>
  <c r="I1866" i="6" s="1"/>
  <c r="F1865" i="6"/>
  <c r="H1872" i="6"/>
  <c r="H1878" i="6"/>
  <c r="E1912" i="6"/>
  <c r="E1794" i="6"/>
  <c r="E1796" i="6"/>
  <c r="E1798" i="6"/>
  <c r="E1800" i="6"/>
  <c r="E1802" i="6"/>
  <c r="E1806" i="6"/>
  <c r="H1859" i="6"/>
  <c r="I1859" i="6" s="1"/>
  <c r="A1859" i="6" s="1"/>
  <c r="H1870" i="6"/>
  <c r="H1876" i="6"/>
  <c r="I1876" i="6" s="1"/>
  <c r="H1889" i="6"/>
  <c r="I1889" i="6" s="1"/>
  <c r="A1889" i="6" s="1"/>
  <c r="E1905" i="6"/>
  <c r="F1756" i="6"/>
  <c r="F1762" i="6"/>
  <c r="F1776" i="6"/>
  <c r="F1782" i="6"/>
  <c r="F1790" i="6"/>
  <c r="F1792" i="6"/>
  <c r="H1792" i="6" s="1"/>
  <c r="I1792" i="6" s="1"/>
  <c r="F1794" i="6"/>
  <c r="H1794" i="6" s="1"/>
  <c r="F1832" i="6"/>
  <c r="F1846" i="6"/>
  <c r="H1891" i="6"/>
  <c r="I1891" i="6" s="1"/>
  <c r="A1891" i="6" s="1"/>
  <c r="E1894" i="6"/>
  <c r="H1914" i="6"/>
  <c r="I1914" i="6" s="1"/>
  <c r="A1914" i="6" s="1"/>
  <c r="H1916" i="6"/>
  <c r="I1916" i="6" s="1"/>
  <c r="A1916" i="6" s="1"/>
  <c r="H2039" i="6"/>
  <c r="I2039" i="6" s="1"/>
  <c r="A2039" i="6" s="1"/>
  <c r="H2038" i="6"/>
  <c r="I2038" i="6" s="1"/>
  <c r="F1890" i="6"/>
  <c r="F1894" i="6"/>
  <c r="F1898" i="6"/>
  <c r="F1919" i="6"/>
  <c r="H1920" i="6"/>
  <c r="I1920" i="6" s="1"/>
  <c r="A1920" i="6" s="1"/>
  <c r="H1922" i="6"/>
  <c r="I1922" i="6" s="1"/>
  <c r="A1922" i="6" s="1"/>
  <c r="H1924" i="6"/>
  <c r="I1924" i="6" s="1"/>
  <c r="A1924" i="6" s="1"/>
  <c r="H1928" i="6"/>
  <c r="I1928" i="6" s="1"/>
  <c r="H1930" i="6"/>
  <c r="I1930" i="6" s="1"/>
  <c r="F1942" i="6"/>
  <c r="E1969" i="6"/>
  <c r="E1979" i="6"/>
  <c r="E2008" i="6"/>
  <c r="E2016" i="6"/>
  <c r="H2031" i="6"/>
  <c r="E1926" i="6"/>
  <c r="J32" i="13"/>
  <c r="F1969" i="6"/>
  <c r="F1979" i="6"/>
  <c r="F2008" i="6"/>
  <c r="H2027" i="6"/>
  <c r="I2027" i="6" s="1"/>
  <c r="A2027" i="6" s="1"/>
  <c r="E2028" i="6"/>
  <c r="H2023" i="6"/>
  <c r="I2023" i="6" s="1"/>
  <c r="H2029" i="6"/>
  <c r="I2029" i="6" s="1"/>
  <c r="A2029" i="6" s="1"/>
  <c r="F2028" i="6"/>
  <c r="H2037" i="6"/>
  <c r="I2037" i="6" s="1"/>
  <c r="H2043" i="6"/>
  <c r="I2043" i="6" s="1"/>
  <c r="A2043" i="6" s="1"/>
  <c r="H2047" i="6"/>
  <c r="I2047" i="6" s="1"/>
  <c r="H2053" i="6"/>
  <c r="I2053" i="6" s="1"/>
  <c r="A2053" i="6" s="1"/>
  <c r="E2155" i="6"/>
  <c r="H2202" i="6"/>
  <c r="I2202" i="6" s="1"/>
  <c r="A2202" i="6" s="1"/>
  <c r="F2201" i="6"/>
  <c r="H2208" i="6"/>
  <c r="I2208" i="6" s="1"/>
  <c r="F2207" i="6"/>
  <c r="E2232" i="6"/>
  <c r="E2248" i="6"/>
  <c r="E2110" i="6"/>
  <c r="E2106" i="6" s="1"/>
  <c r="E2128" i="6"/>
  <c r="E2132" i="6"/>
  <c r="E2138" i="6"/>
  <c r="E2146" i="6"/>
  <c r="H2150" i="6"/>
  <c r="I2150" i="6" s="1"/>
  <c r="H2156" i="6"/>
  <c r="I2156" i="6" s="1"/>
  <c r="A2156" i="6" s="1"/>
  <c r="F2155" i="6"/>
  <c r="G2213" i="6"/>
  <c r="H2213" i="6" s="1"/>
  <c r="H2214" i="6"/>
  <c r="I2214" i="6" s="1"/>
  <c r="A2214" i="6" s="1"/>
  <c r="F2082" i="6"/>
  <c r="F2084" i="6"/>
  <c r="F2110" i="6"/>
  <c r="F2128" i="6"/>
  <c r="F2132" i="6"/>
  <c r="F2138" i="6"/>
  <c r="F2146" i="6"/>
  <c r="G2242" i="6"/>
  <c r="H2196" i="6"/>
  <c r="I2196" i="6" s="1"/>
  <c r="A2196" i="6" s="1"/>
  <c r="F2195" i="6"/>
  <c r="F2215" i="6"/>
  <c r="H2215" i="6" s="1"/>
  <c r="H2164" i="6"/>
  <c r="I2164" i="6" s="1"/>
  <c r="A2164" i="6" s="1"/>
  <c r="F2163" i="6"/>
  <c r="F2170" i="6"/>
  <c r="F2176" i="6"/>
  <c r="E2163" i="6"/>
  <c r="H2250" i="6"/>
  <c r="I2250" i="6" s="1"/>
  <c r="A2250" i="6" s="1"/>
  <c r="E2240" i="6"/>
  <c r="E2236" i="6"/>
  <c r="I2259" i="6"/>
  <c r="A2259" i="6" s="1"/>
  <c r="E2261" i="6"/>
  <c r="G23" i="6" l="1"/>
  <c r="L23" i="12" s="1"/>
  <c r="H2013" i="6"/>
  <c r="I2013" i="6" s="1"/>
  <c r="G2227" i="6"/>
  <c r="G1819" i="6"/>
  <c r="I1701" i="6"/>
  <c r="F72" i="15" s="1"/>
  <c r="F73" i="15"/>
  <c r="H1070" i="6"/>
  <c r="I1070" i="6" s="1"/>
  <c r="A1070" i="6" s="1"/>
  <c r="A110" i="6"/>
  <c r="H11" i="12"/>
  <c r="A924" i="6"/>
  <c r="F105" i="14"/>
  <c r="H105" i="14" s="1"/>
  <c r="A1429" i="6"/>
  <c r="F40" i="14"/>
  <c r="H40" i="14" s="1"/>
  <c r="H1063" i="6"/>
  <c r="I1063" i="6" s="1"/>
  <c r="A1063" i="6" s="1"/>
  <c r="I786" i="6"/>
  <c r="A786" i="6" s="1"/>
  <c r="F2040" i="6"/>
  <c r="H109" i="6"/>
  <c r="I109" i="6" s="1"/>
  <c r="E103" i="6"/>
  <c r="E102" i="6" s="1"/>
  <c r="G13" i="7" s="1"/>
  <c r="F103" i="6"/>
  <c r="F102" i="6" s="1"/>
  <c r="A998" i="6"/>
  <c r="H78" i="14"/>
  <c r="H79" i="14" s="1"/>
  <c r="G231" i="6"/>
  <c r="H2220" i="6"/>
  <c r="I2220" i="6" s="1"/>
  <c r="A2220" i="6" s="1"/>
  <c r="F2194" i="6"/>
  <c r="G2194" i="6"/>
  <c r="F60" i="14"/>
  <c r="H60" i="14"/>
  <c r="I788" i="6"/>
  <c r="A788" i="6" s="1"/>
  <c r="I727" i="6"/>
  <c r="A727" i="6" s="1"/>
  <c r="A1718" i="6"/>
  <c r="F66" i="15"/>
  <c r="G1945" i="6"/>
  <c r="I827" i="6"/>
  <c r="A827" i="6" s="1"/>
  <c r="G1036" i="6"/>
  <c r="F1097" i="6"/>
  <c r="H1098" i="6"/>
  <c r="I1098" i="6" s="1"/>
  <c r="F402" i="6"/>
  <c r="H402" i="6" s="1"/>
  <c r="H1287" i="6"/>
  <c r="I1287" i="6" s="1"/>
  <c r="F59" i="14" s="1"/>
  <c r="H66" i="6"/>
  <c r="I66" i="6" s="1"/>
  <c r="A66" i="6" s="1"/>
  <c r="F58" i="6"/>
  <c r="H58" i="6" s="1"/>
  <c r="E2194" i="6"/>
  <c r="I908" i="6"/>
  <c r="A908" i="6" s="1"/>
  <c r="H311" i="6"/>
  <c r="I311" i="6" s="1"/>
  <c r="A311" i="6" s="1"/>
  <c r="G199" i="6"/>
  <c r="G195" i="6" s="1"/>
  <c r="H1700" i="6"/>
  <c r="I1700" i="6" s="1"/>
  <c r="A1700" i="6" s="1"/>
  <c r="H1995" i="6"/>
  <c r="I1995" i="6" s="1"/>
  <c r="A1995" i="6" s="1"/>
  <c r="G1635" i="6"/>
  <c r="G1634" i="6" s="1"/>
  <c r="H1171" i="6"/>
  <c r="I1171" i="6" s="1"/>
  <c r="A1171" i="6" s="1"/>
  <c r="I834" i="6"/>
  <c r="A834" i="6" s="1"/>
  <c r="I810" i="6"/>
  <c r="A810" i="6" s="1"/>
  <c r="H203" i="6"/>
  <c r="I203" i="6" s="1"/>
  <c r="A203" i="6" s="1"/>
  <c r="H227" i="6"/>
  <c r="I227" i="6" s="1"/>
  <c r="A227" i="6" s="1"/>
  <c r="H325" i="6"/>
  <c r="I325" i="6" s="1"/>
  <c r="H1905" i="6"/>
  <c r="I1905" i="6" s="1"/>
  <c r="A1905" i="6" s="1"/>
  <c r="H1623" i="6"/>
  <c r="I1623" i="6" s="1"/>
  <c r="A1623" i="6" s="1"/>
  <c r="H1427" i="6"/>
  <c r="I1427" i="6" s="1"/>
  <c r="A1427" i="6" s="1"/>
  <c r="H239" i="6"/>
  <c r="I239" i="6" s="1"/>
  <c r="A239" i="6" s="1"/>
  <c r="H1295" i="6"/>
  <c r="I1295" i="6" s="1"/>
  <c r="A1295" i="6" s="1"/>
  <c r="I1082" i="6"/>
  <c r="A1082" i="6" s="1"/>
  <c r="H1738" i="6"/>
  <c r="I1738" i="6" s="1"/>
  <c r="A1738" i="6" s="1"/>
  <c r="H1081" i="6"/>
  <c r="I1081" i="6" s="1"/>
  <c r="A1081" i="6" s="1"/>
  <c r="H1280" i="6"/>
  <c r="I1280" i="6" s="1"/>
  <c r="H1776" i="6"/>
  <c r="I1776" i="6" s="1"/>
  <c r="A1776" i="6" s="1"/>
  <c r="G166" i="6"/>
  <c r="G162" i="6" s="1"/>
  <c r="I1218" i="6"/>
  <c r="A1218" i="6" s="1"/>
  <c r="I1217" i="6"/>
  <c r="A1217" i="6" s="1"/>
  <c r="I794" i="6"/>
  <c r="A794" i="6" s="1"/>
  <c r="H346" i="6"/>
  <c r="I346" i="6" s="1"/>
  <c r="A346" i="6" s="1"/>
  <c r="H291" i="6"/>
  <c r="I291" i="6" s="1"/>
  <c r="A291" i="6" s="1"/>
  <c r="H170" i="6"/>
  <c r="I170" i="6" s="1"/>
  <c r="A170" i="6" s="1"/>
  <c r="H2008" i="6"/>
  <c r="I2008" i="6" s="1"/>
  <c r="A2008" i="6" s="1"/>
  <c r="H317" i="6"/>
  <c r="I317" i="6" s="1"/>
  <c r="A317" i="6" s="1"/>
  <c r="H1561" i="6"/>
  <c r="I1561" i="6" s="1"/>
  <c r="A1561" i="6" s="1"/>
  <c r="H1161" i="6"/>
  <c r="I1161" i="6" s="1"/>
  <c r="A1161" i="6" s="1"/>
  <c r="H129" i="6"/>
  <c r="I129" i="6" s="1"/>
  <c r="A129" i="6" s="1"/>
  <c r="H1592" i="6"/>
  <c r="I1592" i="6" s="1"/>
  <c r="A1592" i="6" s="1"/>
  <c r="G1500" i="6"/>
  <c r="E906" i="6"/>
  <c r="I859" i="6"/>
  <c r="A859" i="6" s="1"/>
  <c r="I888" i="6"/>
  <c r="A888" i="6" s="1"/>
  <c r="E716" i="6"/>
  <c r="I851" i="6"/>
  <c r="A851" i="6" s="1"/>
  <c r="I881" i="6"/>
  <c r="A881" i="6" s="1"/>
  <c r="H1846" i="6"/>
  <c r="I1846" i="6" s="1"/>
  <c r="A1846" i="6" s="1"/>
  <c r="F27" i="12"/>
  <c r="P27" i="12" s="1"/>
  <c r="H1311" i="6"/>
  <c r="I1311" i="6" s="1"/>
  <c r="A1311" i="6" s="1"/>
  <c r="H357" i="6"/>
  <c r="I357" i="6" s="1"/>
  <c r="A357" i="6" s="1"/>
  <c r="H1926" i="6"/>
  <c r="I1926" i="6" s="1"/>
  <c r="A1926" i="6" s="1"/>
  <c r="H2033" i="6"/>
  <c r="I2033" i="6" s="1"/>
  <c r="A2033" i="6" s="1"/>
  <c r="H1023" i="6"/>
  <c r="I1023" i="6" s="1"/>
  <c r="A1023" i="6" s="1"/>
  <c r="H1987" i="6"/>
  <c r="I1987" i="6" s="1"/>
  <c r="H118" i="6"/>
  <c r="I118" i="6" s="1"/>
  <c r="H1137" i="6"/>
  <c r="I1137" i="6" s="1"/>
  <c r="A1137" i="6" s="1"/>
  <c r="G91" i="6"/>
  <c r="H163" i="6"/>
  <c r="I163" i="6" s="1"/>
  <c r="A163" i="6" s="1"/>
  <c r="G391" i="6"/>
  <c r="G390" i="6" s="1"/>
  <c r="G389" i="6" s="1"/>
  <c r="H2079" i="6"/>
  <c r="I2079" i="6" s="1"/>
  <c r="A2079" i="6" s="1"/>
  <c r="H1142" i="6"/>
  <c r="I1142" i="6" s="1"/>
  <c r="A1142" i="6" s="1"/>
  <c r="H265" i="6"/>
  <c r="I265" i="6" s="1"/>
  <c r="A265" i="6" s="1"/>
  <c r="H1912" i="6"/>
  <c r="I1912" i="6" s="1"/>
  <c r="A1912" i="6" s="1"/>
  <c r="H1885" i="6"/>
  <c r="I1885" i="6" s="1"/>
  <c r="A1885" i="6" s="1"/>
  <c r="G1934" i="6"/>
  <c r="F349" i="6"/>
  <c r="H349" i="6" s="1"/>
  <c r="I349" i="6" s="1"/>
  <c r="A349" i="6" s="1"/>
  <c r="G102" i="6"/>
  <c r="H1033" i="6"/>
  <c r="I1033" i="6" s="1"/>
  <c r="A1033" i="6" s="1"/>
  <c r="H1637" i="6"/>
  <c r="I1637" i="6" s="1"/>
  <c r="A1637" i="6" s="1"/>
  <c r="H124" i="6"/>
  <c r="I124" i="6" s="1"/>
  <c r="A124" i="6" s="1"/>
  <c r="H87" i="6"/>
  <c r="I87" i="6" s="1"/>
  <c r="A87" i="6" s="1"/>
  <c r="H137" i="6"/>
  <c r="I137" i="6" s="1"/>
  <c r="A137" i="6" s="1"/>
  <c r="H1890" i="6"/>
  <c r="I1890" i="6" s="1"/>
  <c r="A1890" i="6" s="1"/>
  <c r="H2099" i="6"/>
  <c r="I2099" i="6" s="1"/>
  <c r="F84" i="15" s="1"/>
  <c r="H1858" i="6"/>
  <c r="I1858" i="6" s="1"/>
  <c r="A1858" i="6" s="1"/>
  <c r="G188" i="6"/>
  <c r="G184" i="6" s="1"/>
  <c r="H320" i="6"/>
  <c r="I320" i="6" s="1"/>
  <c r="A320" i="6" s="1"/>
  <c r="G706" i="6"/>
  <c r="G696" i="6" s="1"/>
  <c r="G1029" i="6"/>
  <c r="H98" i="14" s="1"/>
  <c r="F1734" i="6"/>
  <c r="H1734" i="6" s="1"/>
  <c r="F1686" i="6"/>
  <c r="H1686" i="6" s="1"/>
  <c r="I1686" i="6" s="1"/>
  <c r="A1686" i="6" s="1"/>
  <c r="F1420" i="6"/>
  <c r="F1419" i="6" s="1"/>
  <c r="E1019" i="6"/>
  <c r="F96" i="14" s="1"/>
  <c r="H1756" i="6"/>
  <c r="I1756" i="6" s="1"/>
  <c r="A1756" i="6" s="1"/>
  <c r="H75" i="6"/>
  <c r="I75" i="6" s="1"/>
  <c r="A75" i="6" s="1"/>
  <c r="H2028" i="6"/>
  <c r="I2028" i="6" s="1"/>
  <c r="A2028" i="6" s="1"/>
  <c r="H1821" i="6"/>
  <c r="I1821" i="6" s="1"/>
  <c r="A1821" i="6" s="1"/>
  <c r="H1564" i="6"/>
  <c r="I1564" i="6" s="1"/>
  <c r="A1564" i="6" s="1"/>
  <c r="H1176" i="6"/>
  <c r="I1176" i="6" s="1"/>
  <c r="A1176" i="6" s="1"/>
  <c r="H1525" i="6"/>
  <c r="I1525" i="6" s="1"/>
  <c r="F50" i="14" s="1"/>
  <c r="G715" i="6"/>
  <c r="H683" i="6"/>
  <c r="I683" i="6" s="1"/>
  <c r="A683" i="6" s="1"/>
  <c r="H366" i="6"/>
  <c r="I366" i="6" s="1"/>
  <c r="A366" i="6" s="1"/>
  <c r="H1771" i="6"/>
  <c r="I1771" i="6" s="1"/>
  <c r="A1771" i="6" s="1"/>
  <c r="G1622" i="6"/>
  <c r="G1616" i="6" s="1"/>
  <c r="F1321" i="6"/>
  <c r="H1079" i="6"/>
  <c r="I1079" i="6" s="1"/>
  <c r="A1079" i="6" s="1"/>
  <c r="H1076" i="6"/>
  <c r="I1076" i="6" s="1"/>
  <c r="A1076" i="6" s="1"/>
  <c r="H249" i="6"/>
  <c r="I249" i="6" s="1"/>
  <c r="A249" i="6" s="1"/>
  <c r="H2110" i="6"/>
  <c r="I2110" i="6" s="1"/>
  <c r="A2110" i="6" s="1"/>
  <c r="H1152" i="6"/>
  <c r="I1152" i="6" s="1"/>
  <c r="A1152" i="6" s="1"/>
  <c r="H99" i="6"/>
  <c r="I99" i="6" s="1"/>
  <c r="A99" i="6" s="1"/>
  <c r="H181" i="6"/>
  <c r="I181" i="6" s="1"/>
  <c r="A181" i="6" s="1"/>
  <c r="H1949" i="6"/>
  <c r="I1949" i="6" s="1"/>
  <c r="A1949" i="6" s="1"/>
  <c r="H532" i="6"/>
  <c r="I532" i="6" s="1"/>
  <c r="A532" i="6" s="1"/>
  <c r="H2207" i="6"/>
  <c r="I2207" i="6" s="1"/>
  <c r="A2207" i="6" s="1"/>
  <c r="H1574" i="6"/>
  <c r="I1574" i="6" s="1"/>
  <c r="A1574" i="6" s="1"/>
  <c r="H297" i="6"/>
  <c r="I297" i="6" s="1"/>
  <c r="A297" i="6" s="1"/>
  <c r="H158" i="6"/>
  <c r="I158" i="6" s="1"/>
  <c r="A158" i="6" s="1"/>
  <c r="H338" i="6"/>
  <c r="I338" i="6" s="1"/>
  <c r="A338" i="6" s="1"/>
  <c r="G1465" i="6"/>
  <c r="H1617" i="6"/>
  <c r="I1617" i="6" s="1"/>
  <c r="A1617" i="6" s="1"/>
  <c r="G524" i="6"/>
  <c r="G523" i="6" s="1"/>
  <c r="G522" i="6" s="1"/>
  <c r="E91" i="6"/>
  <c r="H1707" i="6"/>
  <c r="I1707" i="6" s="1"/>
  <c r="F62" i="15" s="1"/>
  <c r="H1421" i="6"/>
  <c r="I1421" i="6" s="1"/>
  <c r="A1421" i="6" s="1"/>
  <c r="H1272" i="6"/>
  <c r="H208" i="6"/>
  <c r="I208" i="6" s="1"/>
  <c r="A208" i="6" s="1"/>
  <c r="H1435" i="6"/>
  <c r="I1435" i="6" s="1"/>
  <c r="A1435" i="6" s="1"/>
  <c r="H216" i="6"/>
  <c r="I216" i="6" s="1"/>
  <c r="A216" i="6" s="1"/>
  <c r="H196" i="6"/>
  <c r="I196" i="6" s="1"/>
  <c r="A196" i="6" s="1"/>
  <c r="G2225" i="6"/>
  <c r="H2225" i="6" s="1"/>
  <c r="H1677" i="6"/>
  <c r="I1677" i="6" s="1"/>
  <c r="A1677" i="6" s="1"/>
  <c r="H1670" i="6"/>
  <c r="I1670" i="6" s="1"/>
  <c r="A1670" i="6" s="1"/>
  <c r="H1982" i="6"/>
  <c r="I1982" i="6" s="1"/>
  <c r="H691" i="6"/>
  <c r="I691" i="6" s="1"/>
  <c r="A691" i="6" s="1"/>
  <c r="I8" i="6"/>
  <c r="A8" i="6" s="1"/>
  <c r="H2069" i="6"/>
  <c r="I2069" i="6" s="1"/>
  <c r="A2069" i="6" s="1"/>
  <c r="F1664" i="6"/>
  <c r="G2224" i="6" s="1"/>
  <c r="F1014" i="6"/>
  <c r="H1014" i="6" s="1"/>
  <c r="I1014" i="6" s="1"/>
  <c r="F37" i="7" s="1"/>
  <c r="H281" i="6"/>
  <c r="I281" i="6" s="1"/>
  <c r="A281" i="6" s="1"/>
  <c r="G1897" i="6"/>
  <c r="G1893" i="6" s="1"/>
  <c r="G154" i="6"/>
  <c r="G150" i="6" s="1"/>
  <c r="H1497" i="6"/>
  <c r="I1497" i="6" s="1"/>
  <c r="A1497" i="6" s="1"/>
  <c r="H260" i="6"/>
  <c r="I260" i="6" s="1"/>
  <c r="A260" i="6" s="1"/>
  <c r="H1874" i="6"/>
  <c r="I1874" i="6" s="1"/>
  <c r="A1874" i="6" s="1"/>
  <c r="F12" i="12"/>
  <c r="J12" i="12" s="1"/>
  <c r="H2138" i="6"/>
  <c r="I2138" i="6" s="1"/>
  <c r="A2138" i="6" s="1"/>
  <c r="H1879" i="6"/>
  <c r="I1879" i="6" s="1"/>
  <c r="A1879" i="6" s="1"/>
  <c r="H1166" i="6"/>
  <c r="I1166" i="6" s="1"/>
  <c r="A1166" i="6" s="1"/>
  <c r="G1245" i="6"/>
  <c r="H143" i="6"/>
  <c r="I143" i="6" s="1"/>
  <c r="A143" i="6" s="1"/>
  <c r="H1589" i="6"/>
  <c r="I1589" i="6" s="1"/>
  <c r="A1589" i="6" s="1"/>
  <c r="H270" i="6"/>
  <c r="I270" i="6" s="1"/>
  <c r="A270" i="6" s="1"/>
  <c r="H192" i="6"/>
  <c r="I192" i="6" s="1"/>
  <c r="A192" i="6" s="1"/>
  <c r="H1302" i="6"/>
  <c r="I1302" i="6" s="1"/>
  <c r="A1302" i="6" s="1"/>
  <c r="G1019" i="6"/>
  <c r="H96" i="14" s="1"/>
  <c r="H396" i="6"/>
  <c r="I396" i="6" s="1"/>
  <c r="A396" i="6" s="1"/>
  <c r="G588" i="6"/>
  <c r="G587" i="6" s="1"/>
  <c r="G586" i="6" s="1"/>
  <c r="H392" i="6"/>
  <c r="I392" i="6" s="1"/>
  <c r="A392" i="6" s="1"/>
  <c r="G223" i="6"/>
  <c r="G219" i="6" s="1"/>
  <c r="H133" i="6"/>
  <c r="I133" i="6" s="1"/>
  <c r="A133" i="6" s="1"/>
  <c r="H2146" i="6"/>
  <c r="I2146" i="6" s="1"/>
  <c r="A2146" i="6" s="1"/>
  <c r="H1942" i="6"/>
  <c r="I1942" i="6" s="1"/>
  <c r="A1942" i="6" s="1"/>
  <c r="H1782" i="6"/>
  <c r="I1782" i="6" s="1"/>
  <c r="A1782" i="6" s="1"/>
  <c r="H1259" i="6"/>
  <c r="I1259" i="6" s="1"/>
  <c r="A1259" i="6" s="1"/>
  <c r="H361" i="6"/>
  <c r="I361" i="6" s="1"/>
  <c r="A361" i="6" s="1"/>
  <c r="H1611" i="6"/>
  <c r="I1611" i="6" s="1"/>
  <c r="A1611" i="6" s="1"/>
  <c r="H1459" i="6"/>
  <c r="I1459" i="6" s="1"/>
  <c r="A1459" i="6" s="1"/>
  <c r="G1008" i="6"/>
  <c r="H94" i="6"/>
  <c r="I94" i="6" s="1"/>
  <c r="A94" i="6" s="1"/>
  <c r="H1276" i="6"/>
  <c r="I1276" i="6" s="1"/>
  <c r="A1276" i="6" s="1"/>
  <c r="G1476" i="6"/>
  <c r="F2183" i="6"/>
  <c r="G2192" i="6" s="1"/>
  <c r="H2155" i="6"/>
  <c r="I2155" i="6" s="1"/>
  <c r="A2155" i="6" s="1"/>
  <c r="H1979" i="6"/>
  <c r="I1979" i="6" s="1"/>
  <c r="A1979" i="6" s="1"/>
  <c r="H2051" i="6"/>
  <c r="I2051" i="6" s="1"/>
  <c r="A2051" i="6" s="1"/>
  <c r="H1762" i="6"/>
  <c r="I1762" i="6" s="1"/>
  <c r="A1762" i="6" s="1"/>
  <c r="H1748" i="6"/>
  <c r="I1748" i="6" s="1"/>
  <c r="A1748" i="6" s="1"/>
  <c r="H1628" i="6"/>
  <c r="I1628" i="6" s="1"/>
  <c r="A1628" i="6" s="1"/>
  <c r="F237" i="6"/>
  <c r="H237" i="6" s="1"/>
  <c r="H1477" i="6"/>
  <c r="I1477" i="6" s="1"/>
  <c r="A1477" i="6" s="1"/>
  <c r="G1865" i="6"/>
  <c r="H1865" i="6" s="1"/>
  <c r="I1865" i="6" s="1"/>
  <c r="H155" i="6"/>
  <c r="I155" i="6" s="1"/>
  <c r="A155" i="6" s="1"/>
  <c r="H1966" i="6"/>
  <c r="I1966" i="6" s="1"/>
  <c r="A1966" i="6" s="1"/>
  <c r="E574" i="6"/>
  <c r="F2098" i="6"/>
  <c r="H2098" i="6" s="1"/>
  <c r="H1728" i="6"/>
  <c r="I1728" i="6" s="1"/>
  <c r="A1728" i="6" s="1"/>
  <c r="H1587" i="6"/>
  <c r="A1345" i="6"/>
  <c r="G307" i="6"/>
  <c r="G952" i="6"/>
  <c r="H1765" i="6"/>
  <c r="I1765" i="6" s="1"/>
  <c r="A1765" i="6" s="1"/>
  <c r="H2170" i="6"/>
  <c r="I2170" i="6" s="1"/>
  <c r="A2170" i="6" s="1"/>
  <c r="H1969" i="6"/>
  <c r="I1969" i="6" s="1"/>
  <c r="H1284" i="6"/>
  <c r="H151" i="6"/>
  <c r="I151" i="6" s="1"/>
  <c r="A151" i="6" s="1"/>
  <c r="H2011" i="6"/>
  <c r="H1679" i="6"/>
  <c r="I1679" i="6" s="1"/>
  <c r="A1679" i="6" s="1"/>
  <c r="F2086" i="6"/>
  <c r="F1476" i="6"/>
  <c r="F690" i="6"/>
  <c r="H690" i="6" s="1"/>
  <c r="I690" i="6" s="1"/>
  <c r="A690" i="6" s="1"/>
  <c r="H1955" i="6"/>
  <c r="I1955" i="6" s="1"/>
  <c r="H370" i="6"/>
  <c r="I370" i="6" s="1"/>
  <c r="A370" i="6" s="1"/>
  <c r="F391" i="6"/>
  <c r="H2041" i="6"/>
  <c r="I2041" i="6" s="1"/>
  <c r="A2041" i="6" s="1"/>
  <c r="H1263" i="6"/>
  <c r="I1263" i="6" s="1"/>
  <c r="A1263" i="6" s="1"/>
  <c r="H1147" i="6"/>
  <c r="I1147" i="6" s="1"/>
  <c r="A1147" i="6" s="1"/>
  <c r="F128" i="6"/>
  <c r="H79" i="6"/>
  <c r="I79" i="6" s="1"/>
  <c r="A79" i="6" s="1"/>
  <c r="H1883" i="6"/>
  <c r="I1883" i="6" s="1"/>
  <c r="A1883" i="6" s="1"/>
  <c r="H2163" i="6"/>
  <c r="I2163" i="6" s="1"/>
  <c r="H2016" i="6"/>
  <c r="I2016" i="6" s="1"/>
  <c r="H1294" i="6"/>
  <c r="H713" i="6"/>
  <c r="I713" i="6" s="1"/>
  <c r="A713" i="6" s="1"/>
  <c r="F335" i="6"/>
  <c r="H335" i="6" s="1"/>
  <c r="H1248" i="6"/>
  <c r="I1248" i="6" s="1"/>
  <c r="A1248" i="6" s="1"/>
  <c r="I1544" i="6"/>
  <c r="A1544" i="6" s="1"/>
  <c r="G1740" i="6"/>
  <c r="F1788" i="6" s="1"/>
  <c r="H24" i="6"/>
  <c r="I24" i="6" s="1"/>
  <c r="A24" i="6" s="1"/>
  <c r="J42" i="12"/>
  <c r="E1721" i="6"/>
  <c r="I1668" i="6"/>
  <c r="A1668" i="6" s="1"/>
  <c r="G365" i="6"/>
  <c r="G177" i="6"/>
  <c r="G173" i="6" s="1"/>
  <c r="E524" i="6"/>
  <c r="E523" i="6" s="1"/>
  <c r="E522" i="6" s="1"/>
  <c r="G2086" i="6"/>
  <c r="H1647" i="6"/>
  <c r="I1647" i="6" s="1"/>
  <c r="A1647" i="6" s="1"/>
  <c r="G1136" i="6"/>
  <c r="G1135" i="6" s="1"/>
  <c r="G1133" i="6" s="1"/>
  <c r="G1267" i="6"/>
  <c r="G212" i="6"/>
  <c r="G207" i="6" s="1"/>
  <c r="G206" i="6" s="1"/>
  <c r="F1877" i="6"/>
  <c r="H1877" i="6" s="1"/>
  <c r="I1877" i="6" s="1"/>
  <c r="A1877" i="6" s="1"/>
  <c r="G352" i="6"/>
  <c r="H906" i="6"/>
  <c r="G1605" i="6"/>
  <c r="G1599" i="6" s="1"/>
  <c r="G542" i="6"/>
  <c r="G541" i="6" s="1"/>
  <c r="H2093" i="6"/>
  <c r="I2093" i="6" s="1"/>
  <c r="F82" i="15" s="1"/>
  <c r="G1420" i="6"/>
  <c r="G1419" i="6" s="1"/>
  <c r="G1530" i="6"/>
  <c r="H1530" i="6" s="1"/>
  <c r="H1689" i="6"/>
  <c r="I1689" i="6" s="1"/>
  <c r="F56" i="15" s="1"/>
  <c r="G70" i="6"/>
  <c r="G340" i="6"/>
  <c r="J22" i="14" s="1"/>
  <c r="J24" i="14" s="1"/>
  <c r="H167" i="6"/>
  <c r="I167" i="6" s="1"/>
  <c r="A167" i="6" s="1"/>
  <c r="G128" i="6"/>
  <c r="A1694" i="6"/>
  <c r="E1029" i="6"/>
  <c r="F98" i="14" s="1"/>
  <c r="G1721" i="6"/>
  <c r="E1321" i="6"/>
  <c r="G46" i="7"/>
  <c r="G2131" i="6"/>
  <c r="F247" i="6"/>
  <c r="H247" i="6" s="1"/>
  <c r="F47" i="15"/>
  <c r="A2060" i="6"/>
  <c r="A1659" i="6"/>
  <c r="H1073" i="6"/>
  <c r="I1073" i="6" s="1"/>
  <c r="A1073" i="6" s="1"/>
  <c r="F166" i="6"/>
  <c r="H2152" i="6"/>
  <c r="H1735" i="6"/>
  <c r="I1735" i="6" s="1"/>
  <c r="A1735" i="6" s="1"/>
  <c r="H546" i="6"/>
  <c r="I546" i="6" s="1"/>
  <c r="A546" i="6" s="1"/>
  <c r="G257" i="6"/>
  <c r="J22" i="15"/>
  <c r="J23" i="15" s="1"/>
  <c r="F1136" i="6"/>
  <c r="H33" i="6"/>
  <c r="I33" i="6" s="1"/>
  <c r="A33" i="6" s="1"/>
  <c r="I2031" i="6"/>
  <c r="H2087" i="6"/>
  <c r="I2087" i="6" s="1"/>
  <c r="A2087" i="6" s="1"/>
  <c r="H2160" i="6"/>
  <c r="I2160" i="6" s="1"/>
  <c r="A2160" i="6" s="1"/>
  <c r="G1557" i="6"/>
  <c r="G1537" i="6" s="1"/>
  <c r="H538" i="6"/>
  <c r="I538" i="6" s="1"/>
  <c r="A538" i="6" s="1"/>
  <c r="J23" i="12"/>
  <c r="H1322" i="6"/>
  <c r="I1322" i="6" s="1"/>
  <c r="A1322" i="6" s="1"/>
  <c r="G1181" i="6"/>
  <c r="I1645" i="6"/>
  <c r="A1645" i="6" s="1"/>
  <c r="E1557" i="6"/>
  <c r="G29" i="7" s="1"/>
  <c r="E1008" i="6"/>
  <c r="F86" i="14"/>
  <c r="E1665" i="6"/>
  <c r="E391" i="6"/>
  <c r="E390" i="6" s="1"/>
  <c r="E2040" i="6"/>
  <c r="E1651" i="6"/>
  <c r="A2104" i="6"/>
  <c r="E352" i="6"/>
  <c r="E1831" i="6"/>
  <c r="E1934" i="6"/>
  <c r="E1711" i="6"/>
  <c r="I1257" i="6"/>
  <c r="A1257" i="6" s="1"/>
  <c r="I336" i="6"/>
  <c r="A336" i="6" s="1"/>
  <c r="A2058" i="6"/>
  <c r="A1742" i="6"/>
  <c r="E70" i="6"/>
  <c r="F88" i="14"/>
  <c r="E542" i="6"/>
  <c r="E541" i="6" s="1"/>
  <c r="A1746" i="6"/>
  <c r="L35" i="12"/>
  <c r="P35" i="12" s="1"/>
  <c r="L21" i="12"/>
  <c r="F289" i="6"/>
  <c r="H289" i="6" s="1"/>
  <c r="I289" i="6" s="1"/>
  <c r="A289" i="6" s="1"/>
  <c r="G1789" i="6"/>
  <c r="F1804" i="6" s="1"/>
  <c r="F1789" i="6" s="1"/>
  <c r="H1789" i="6" s="1"/>
  <c r="H1455" i="6"/>
  <c r="I1455" i="6" s="1"/>
  <c r="A1455" i="6" s="1"/>
  <c r="H1260" i="6"/>
  <c r="I1260" i="6" s="1"/>
  <c r="A1260" i="6" s="1"/>
  <c r="H1264" i="6"/>
  <c r="I1264" i="6" s="1"/>
  <c r="A1264" i="6" s="1"/>
  <c r="H1974" i="6"/>
  <c r="H1584" i="6"/>
  <c r="I1584" i="6" s="1"/>
  <c r="A1584" i="6" s="1"/>
  <c r="A1153" i="6"/>
  <c r="H314" i="6"/>
  <c r="I314" i="6" s="1"/>
  <c r="A314" i="6" s="1"/>
  <c r="H1579" i="6"/>
  <c r="I1579" i="6" s="1"/>
  <c r="A1579" i="6" s="1"/>
  <c r="G574" i="6"/>
  <c r="F2106" i="6"/>
  <c r="H2106" i="6" s="1"/>
  <c r="I2106" i="6" s="1"/>
  <c r="F90" i="15" s="1"/>
  <c r="F2026" i="6"/>
  <c r="H2026" i="6" s="1"/>
  <c r="G1582" i="6"/>
  <c r="H1582" i="6" s="1"/>
  <c r="I1582" i="6" s="1"/>
  <c r="A334" i="6"/>
  <c r="F279" i="6"/>
  <c r="H279" i="6" s="1"/>
  <c r="I279" i="6" s="1"/>
  <c r="A279" i="6" s="1"/>
  <c r="J21" i="12"/>
  <c r="H21" i="12"/>
  <c r="H30" i="12" s="1"/>
  <c r="I946" i="6"/>
  <c r="A946" i="6" s="1"/>
  <c r="G1831" i="6"/>
  <c r="H1277" i="6"/>
  <c r="I1277" i="6" s="1"/>
  <c r="A1277" i="6" s="1"/>
  <c r="F1622" i="6"/>
  <c r="J78" i="14"/>
  <c r="J69" i="14"/>
  <c r="H1577" i="6"/>
  <c r="I1577" i="6" s="1"/>
  <c r="A1577" i="6" s="1"/>
  <c r="A345" i="6"/>
  <c r="H1531" i="6"/>
  <c r="I1531" i="6" s="1"/>
  <c r="A1531" i="6" s="1"/>
  <c r="H1270" i="6"/>
  <c r="I1270" i="6" s="1"/>
  <c r="A1270" i="6" s="1"/>
  <c r="H1273" i="6"/>
  <c r="I1273" i="6" s="1"/>
  <c r="A1273" i="6" s="1"/>
  <c r="E2086" i="6"/>
  <c r="A1083" i="6"/>
  <c r="E1136" i="6"/>
  <c r="A1366" i="6"/>
  <c r="E1465" i="6"/>
  <c r="H47" i="14" s="1"/>
  <c r="I2184" i="6"/>
  <c r="A2184" i="6" s="1"/>
  <c r="E1605" i="6"/>
  <c r="E1599" i="6" s="1"/>
  <c r="E2098" i="6"/>
  <c r="I1662" i="6"/>
  <c r="A1662" i="6" s="1"/>
  <c r="E1272" i="6"/>
  <c r="A318" i="6"/>
  <c r="F22" i="12"/>
  <c r="P22" i="12" s="1"/>
  <c r="J8" i="12"/>
  <c r="A809" i="6"/>
  <c r="G28" i="7"/>
  <c r="A1702" i="6"/>
  <c r="A80" i="6"/>
  <c r="A1384" i="6"/>
  <c r="A1074" i="6"/>
  <c r="A1061" i="6"/>
  <c r="A2081" i="6"/>
  <c r="A1868" i="6"/>
  <c r="A326" i="6"/>
  <c r="A266" i="6"/>
  <c r="A1139" i="6"/>
  <c r="E58" i="6"/>
  <c r="G12" i="7" s="1"/>
  <c r="F20" i="13"/>
  <c r="L20" i="13" s="1"/>
  <c r="F10" i="13"/>
  <c r="J10" i="13" s="1"/>
  <c r="F29" i="12"/>
  <c r="P29" i="12" s="1"/>
  <c r="F15" i="12"/>
  <c r="J15" i="12" s="1"/>
  <c r="F18" i="13"/>
  <c r="L18" i="13" s="1"/>
  <c r="F8" i="13"/>
  <c r="J8" i="13" s="1"/>
  <c r="A2059" i="6"/>
  <c r="A1445" i="6"/>
  <c r="A350" i="6"/>
  <c r="F24" i="12"/>
  <c r="P24" i="12" s="1"/>
  <c r="F10" i="12"/>
  <c r="F11" i="13"/>
  <c r="F21" i="13"/>
  <c r="L21" i="13" s="1"/>
  <c r="A98" i="6"/>
  <c r="F19" i="13"/>
  <c r="L19" i="13" s="1"/>
  <c r="F9" i="13"/>
  <c r="J9" i="13" s="1"/>
  <c r="A1376" i="6"/>
  <c r="A1078" i="6"/>
  <c r="A717" i="6"/>
  <c r="A2249" i="6"/>
  <c r="A108" i="6"/>
  <c r="H59" i="14"/>
  <c r="A2150" i="6"/>
  <c r="A1763" i="6"/>
  <c r="A1653" i="6"/>
  <c r="A1141" i="6"/>
  <c r="A104" i="6"/>
  <c r="F7" i="13"/>
  <c r="F17" i="13"/>
  <c r="A76" i="6"/>
  <c r="I829" i="6"/>
  <c r="A829" i="6" s="1"/>
  <c r="G1321" i="6"/>
  <c r="A47" i="6"/>
  <c r="A50" i="6"/>
  <c r="H1539" i="6"/>
  <c r="I1539" i="6" s="1"/>
  <c r="A105" i="6"/>
  <c r="I41" i="6"/>
  <c r="A41" i="6" s="1"/>
  <c r="A46" i="6"/>
  <c r="A26" i="6"/>
  <c r="I1157" i="6"/>
  <c r="A1157" i="6" s="1"/>
  <c r="A1703" i="6"/>
  <c r="A2080" i="6"/>
  <c r="E1946" i="6"/>
  <c r="H1048" i="6"/>
  <c r="I1048" i="6" s="1"/>
  <c r="A1048" i="6" s="1"/>
  <c r="F1047" i="6"/>
  <c r="H1047" i="6" s="1"/>
  <c r="H1030" i="6"/>
  <c r="I1030" i="6" s="1"/>
  <c r="F1029" i="6"/>
  <c r="J98" i="14" s="1"/>
  <c r="H1012" i="6"/>
  <c r="I1012" i="6" s="1"/>
  <c r="A759" i="6"/>
  <c r="H698" i="6"/>
  <c r="I698" i="6" s="1"/>
  <c r="A698" i="6" s="1"/>
  <c r="F697" i="6"/>
  <c r="E697" i="6"/>
  <c r="I835" i="6"/>
  <c r="A835" i="6" s="1"/>
  <c r="H286" i="6"/>
  <c r="I286" i="6" s="1"/>
  <c r="F284" i="6"/>
  <c r="H284" i="6" s="1"/>
  <c r="I284" i="6" s="1"/>
  <c r="A284" i="6" s="1"/>
  <c r="L20" i="14"/>
  <c r="H381" i="6"/>
  <c r="I381" i="6" s="1"/>
  <c r="A381" i="6" s="1"/>
  <c r="A298" i="6"/>
  <c r="I344" i="6"/>
  <c r="A344" i="6" s="1"/>
  <c r="E263" i="6"/>
  <c r="H7" i="6"/>
  <c r="A791" i="6"/>
  <c r="E23" i="6"/>
  <c r="A85" i="6"/>
  <c r="H2176" i="6"/>
  <c r="F2175" i="6"/>
  <c r="H2175" i="6" s="1"/>
  <c r="I2175" i="6" s="1"/>
  <c r="H2082" i="6"/>
  <c r="I2082" i="6" s="1"/>
  <c r="F89" i="15" s="1"/>
  <c r="E2131" i="6"/>
  <c r="H2201" i="6"/>
  <c r="I2201" i="6" s="1"/>
  <c r="A2038" i="6"/>
  <c r="A1928" i="6"/>
  <c r="H1919" i="6"/>
  <c r="F1918" i="6"/>
  <c r="H1898" i="6"/>
  <c r="F1897" i="6"/>
  <c r="F1893" i="6" s="1"/>
  <c r="F31" i="15" s="1"/>
  <c r="H1790" i="6"/>
  <c r="I1790" i="6" s="1"/>
  <c r="A1790" i="6" s="1"/>
  <c r="A1876" i="6"/>
  <c r="I1802" i="6"/>
  <c r="A1802" i="6" s="1"/>
  <c r="I1794" i="6"/>
  <c r="A1794" i="6" s="1"/>
  <c r="I1870" i="6"/>
  <c r="A1870" i="6" s="1"/>
  <c r="A1818" i="6"/>
  <c r="A1792" i="6"/>
  <c r="I1767" i="6"/>
  <c r="A1767" i="6" s="1"/>
  <c r="A1817" i="6"/>
  <c r="A1809" i="6"/>
  <c r="I1719" i="6"/>
  <c r="A1719" i="6" s="1"/>
  <c r="F1740" i="6"/>
  <c r="G1788" i="6" s="1"/>
  <c r="A1705" i="6"/>
  <c r="I1749" i="6"/>
  <c r="A1749" i="6" s="1"/>
  <c r="I1680" i="6"/>
  <c r="A1680" i="6" s="1"/>
  <c r="I1655" i="6"/>
  <c r="A1655" i="6" s="1"/>
  <c r="A1631" i="6"/>
  <c r="H1600" i="6"/>
  <c r="H1538" i="6"/>
  <c r="H1488" i="6"/>
  <c r="I1488" i="6" s="1"/>
  <c r="H1448" i="6"/>
  <c r="I1448" i="6" s="1"/>
  <c r="A1448" i="6" s="1"/>
  <c r="E1622" i="6"/>
  <c r="E1616" i="6" s="1"/>
  <c r="I1517" i="6"/>
  <c r="A1517" i="6" s="1"/>
  <c r="I1463" i="6"/>
  <c r="A1463" i="6" s="1"/>
  <c r="E1454" i="6"/>
  <c r="H46" i="14" s="1"/>
  <c r="E1420" i="6"/>
  <c r="H1398" i="6"/>
  <c r="I1398" i="6" s="1"/>
  <c r="A1398" i="6" s="1"/>
  <c r="G1572" i="6"/>
  <c r="H1444" i="6"/>
  <c r="I1444" i="6" s="1"/>
  <c r="A1444" i="6" s="1"/>
  <c r="H1424" i="6"/>
  <c r="I1424" i="6" s="1"/>
  <c r="A1392" i="6"/>
  <c r="H1186" i="6"/>
  <c r="I1186" i="6" s="1"/>
  <c r="A1186" i="6" s="1"/>
  <c r="F1185" i="6"/>
  <c r="I1214" i="6"/>
  <c r="A1214" i="6" s="1"/>
  <c r="I1362" i="6"/>
  <c r="A1362" i="6" s="1"/>
  <c r="E1247" i="6"/>
  <c r="A1165" i="6"/>
  <c r="H1066" i="6"/>
  <c r="I1066" i="6" s="1"/>
  <c r="A1066" i="6" s="1"/>
  <c r="H1020" i="6"/>
  <c r="I1020" i="6" s="1"/>
  <c r="F1019" i="6"/>
  <c r="J96" i="14" s="1"/>
  <c r="H929" i="6"/>
  <c r="I929" i="6" s="1"/>
  <c r="A929" i="6" s="1"/>
  <c r="I1154" i="6"/>
  <c r="A1154" i="6" s="1"/>
  <c r="A817" i="6"/>
  <c r="A739" i="6"/>
  <c r="A731" i="6"/>
  <c r="A723" i="6"/>
  <c r="A709" i="6"/>
  <c r="E686" i="6"/>
  <c r="I811" i="6"/>
  <c r="A811" i="6" s="1"/>
  <c r="H687" i="6"/>
  <c r="I687" i="6" s="1"/>
  <c r="F686" i="6"/>
  <c r="H686" i="6" s="1"/>
  <c r="I374" i="6"/>
  <c r="A374" i="6" s="1"/>
  <c r="I304" i="6"/>
  <c r="A304" i="6" s="1"/>
  <c r="A250" i="6"/>
  <c r="F154" i="6"/>
  <c r="F150" i="6" s="1"/>
  <c r="I813" i="6"/>
  <c r="A813" i="6" s="1"/>
  <c r="E588" i="6"/>
  <c r="F295" i="6"/>
  <c r="H295" i="6" s="1"/>
  <c r="I295" i="6" s="1"/>
  <c r="A295" i="6" s="1"/>
  <c r="A248" i="6"/>
  <c r="A688" i="6"/>
  <c r="E365" i="6"/>
  <c r="E307" i="6"/>
  <c r="I807" i="6"/>
  <c r="A807" i="6" s="1"/>
  <c r="F575" i="6"/>
  <c r="H576" i="6"/>
  <c r="I576" i="6" s="1"/>
  <c r="L19" i="14"/>
  <c r="H379" i="6"/>
  <c r="I379" i="6" s="1"/>
  <c r="A332" i="6"/>
  <c r="A310" i="6"/>
  <c r="A278" i="6"/>
  <c r="E269" i="6"/>
  <c r="F263" i="6"/>
  <c r="H263" i="6" s="1"/>
  <c r="H254" i="6"/>
  <c r="I254" i="6" s="1"/>
  <c r="F252" i="6"/>
  <c r="H252" i="6" s="1"/>
  <c r="F188" i="6"/>
  <c r="H189" i="6"/>
  <c r="I189" i="6" s="1"/>
  <c r="A189" i="6" s="1"/>
  <c r="E154" i="6"/>
  <c r="E150" i="6" s="1"/>
  <c r="I82" i="6"/>
  <c r="A82" i="6" s="1"/>
  <c r="I37" i="6"/>
  <c r="A37" i="6" s="1"/>
  <c r="G2257" i="6"/>
  <c r="H2251" i="6"/>
  <c r="A97" i="6"/>
  <c r="I60" i="6"/>
  <c r="A60" i="6" s="1"/>
  <c r="I1156" i="6"/>
  <c r="A1156" i="6" s="1"/>
  <c r="I767" i="6"/>
  <c r="A767" i="6" s="1"/>
  <c r="I292" i="6"/>
  <c r="A292" i="6" s="1"/>
  <c r="I198" i="6"/>
  <c r="A198" i="6" s="1"/>
  <c r="I62" i="6"/>
  <c r="A62" i="6" s="1"/>
  <c r="H55" i="6"/>
  <c r="I55" i="6" s="1"/>
  <c r="A55" i="6" s="1"/>
  <c r="E402" i="6"/>
  <c r="I106" i="6"/>
  <c r="H9" i="12" s="1"/>
  <c r="A2208" i="6"/>
  <c r="I1159" i="6"/>
  <c r="A1159" i="6" s="1"/>
  <c r="I743" i="6"/>
  <c r="A743" i="6" s="1"/>
  <c r="I10" i="6"/>
  <c r="A10" i="6" s="1"/>
  <c r="H2195" i="6"/>
  <c r="I2195" i="6" s="1"/>
  <c r="H1935" i="6"/>
  <c r="I1935" i="6" s="1"/>
  <c r="A1935" i="6" s="1"/>
  <c r="F1934" i="6"/>
  <c r="I1796" i="6"/>
  <c r="A1796" i="6" s="1"/>
  <c r="I1872" i="6"/>
  <c r="A1872" i="6" s="1"/>
  <c r="H1652" i="6"/>
  <c r="I1652" i="6" s="1"/>
  <c r="H1606" i="6"/>
  <c r="I1606" i="6" s="1"/>
  <c r="F1605" i="6"/>
  <c r="H1494" i="6"/>
  <c r="I1494" i="6" s="1"/>
  <c r="A1494" i="6" s="1"/>
  <c r="H1466" i="6"/>
  <c r="I1466" i="6" s="1"/>
  <c r="F1465" i="6"/>
  <c r="I1535" i="6"/>
  <c r="A1535" i="6" s="1"/>
  <c r="I1519" i="6"/>
  <c r="A1519" i="6" s="1"/>
  <c r="E1438" i="6"/>
  <c r="I1439" i="6"/>
  <c r="A1439" i="6" s="1"/>
  <c r="A1370" i="6"/>
  <c r="I1368" i="6"/>
  <c r="A1368" i="6" s="1"/>
  <c r="E1160" i="6"/>
  <c r="H1040" i="6"/>
  <c r="I1040" i="6" s="1"/>
  <c r="F1037" i="6"/>
  <c r="H1004" i="6"/>
  <c r="I1004" i="6" s="1"/>
  <c r="A1004" i="6" s="1"/>
  <c r="F1003" i="6"/>
  <c r="H949" i="6"/>
  <c r="I949" i="6" s="1"/>
  <c r="H704" i="6"/>
  <c r="I704" i="6" s="1"/>
  <c r="H224" i="6"/>
  <c r="I224" i="6" s="1"/>
  <c r="F223" i="6"/>
  <c r="E188" i="6"/>
  <c r="E184" i="6" s="1"/>
  <c r="H107" i="6"/>
  <c r="I107" i="6" s="1"/>
  <c r="H543" i="6"/>
  <c r="I543" i="6" s="1"/>
  <c r="F542" i="6"/>
  <c r="H185" i="6"/>
  <c r="H341" i="6"/>
  <c r="I341" i="6" s="1"/>
  <c r="L22" i="15" s="1"/>
  <c r="E128" i="6"/>
  <c r="A72" i="6"/>
  <c r="E1538" i="6"/>
  <c r="A117" i="6"/>
  <c r="G2129" i="6"/>
  <c r="A2047" i="6"/>
  <c r="A2037" i="6"/>
  <c r="H2006" i="6"/>
  <c r="F2067" i="6"/>
  <c r="H2068" i="6"/>
  <c r="I2068" i="6" s="1"/>
  <c r="A2068" i="6" s="1"/>
  <c r="I1800" i="6"/>
  <c r="A1800" i="6" s="1"/>
  <c r="H1871" i="6"/>
  <c r="I1871" i="6" s="1"/>
  <c r="I1878" i="6"/>
  <c r="A1878" i="6" s="1"/>
  <c r="A1866" i="6"/>
  <c r="A1815" i="6"/>
  <c r="I1769" i="6"/>
  <c r="A1769" i="6" s="1"/>
  <c r="E1740" i="6"/>
  <c r="A1751" i="6"/>
  <c r="H1666" i="6"/>
  <c r="F1665" i="6"/>
  <c r="H1665" i="6" s="1"/>
  <c r="H1558" i="6"/>
  <c r="I1558" i="6" s="1"/>
  <c r="F1557" i="6"/>
  <c r="H1446" i="6"/>
  <c r="I1446" i="6" s="1"/>
  <c r="A1639" i="6"/>
  <c r="H1642" i="6"/>
  <c r="I1642" i="6" s="1"/>
  <c r="A1642" i="6" s="1"/>
  <c r="A1684" i="6"/>
  <c r="A1643" i="6"/>
  <c r="E1635" i="6"/>
  <c r="L67" i="14"/>
  <c r="I1543" i="6"/>
  <c r="A1543" i="6" s="1"/>
  <c r="E1530" i="6"/>
  <c r="I1523" i="6"/>
  <c r="A1523" i="6" s="1"/>
  <c r="E1500" i="6"/>
  <c r="H49" i="14" s="1"/>
  <c r="E1493" i="6"/>
  <c r="E1476" i="6"/>
  <c r="H48" i="14" s="1"/>
  <c r="G40" i="7"/>
  <c r="I1451" i="6"/>
  <c r="F40" i="7" s="1"/>
  <c r="I1443" i="6"/>
  <c r="A1443" i="6" s="1"/>
  <c r="H1504" i="6"/>
  <c r="I1504" i="6" s="1"/>
  <c r="H1430" i="6"/>
  <c r="I1430" i="6" s="1"/>
  <c r="A1430" i="6" s="1"/>
  <c r="A1291" i="6"/>
  <c r="H1269" i="6"/>
  <c r="I1269" i="6" s="1"/>
  <c r="F1268" i="6"/>
  <c r="H70" i="14"/>
  <c r="H1432" i="6"/>
  <c r="I1432" i="6" s="1"/>
  <c r="A1158" i="6"/>
  <c r="L97" i="14"/>
  <c r="H1026" i="6"/>
  <c r="I1026" i="6" s="1"/>
  <c r="A1026" i="6" s="1"/>
  <c r="H1010" i="6"/>
  <c r="I1010" i="6" s="1"/>
  <c r="F1009" i="6"/>
  <c r="H1000" i="6"/>
  <c r="I1000" i="6" s="1"/>
  <c r="A1000" i="6" s="1"/>
  <c r="F999" i="6"/>
  <c r="H955" i="6"/>
  <c r="I955" i="6" s="1"/>
  <c r="F954" i="6"/>
  <c r="H947" i="6"/>
  <c r="I947" i="6" s="1"/>
  <c r="E1185" i="6"/>
  <c r="A1067" i="6"/>
  <c r="E1047" i="6"/>
  <c r="I1059" i="6"/>
  <c r="A1059" i="6" s="1"/>
  <c r="I931" i="6"/>
  <c r="A931" i="6" s="1"/>
  <c r="I1163" i="6"/>
  <c r="A1163" i="6" s="1"/>
  <c r="A783" i="6"/>
  <c r="A775" i="6"/>
  <c r="A368" i="6"/>
  <c r="H716" i="6"/>
  <c r="F715" i="6"/>
  <c r="E706" i="6"/>
  <c r="H557" i="6"/>
  <c r="I557" i="6" s="1"/>
  <c r="A557" i="6" s="1"/>
  <c r="A324" i="6"/>
  <c r="H302" i="6"/>
  <c r="I302" i="6" s="1"/>
  <c r="A302" i="6" s="1"/>
  <c r="F300" i="6"/>
  <c r="H300" i="6" s="1"/>
  <c r="I300" i="6" s="1"/>
  <c r="H258" i="6"/>
  <c r="E247" i="6"/>
  <c r="F91" i="6"/>
  <c r="H707" i="6"/>
  <c r="F706" i="6"/>
  <c r="H385" i="6"/>
  <c r="I385" i="6" s="1"/>
  <c r="A385" i="6" s="1"/>
  <c r="H377" i="6"/>
  <c r="I377" i="6" s="1"/>
  <c r="A218" i="6"/>
  <c r="H535" i="6"/>
  <c r="I535" i="6" s="1"/>
  <c r="A535" i="6" s="1"/>
  <c r="A296" i="6"/>
  <c r="E212" i="6"/>
  <c r="E207" i="6" s="1"/>
  <c r="E952" i="6"/>
  <c r="I805" i="6"/>
  <c r="A805" i="6" s="1"/>
  <c r="F524" i="6"/>
  <c r="H525" i="6"/>
  <c r="I525" i="6" s="1"/>
  <c r="H403" i="6"/>
  <c r="I403" i="6" s="1"/>
  <c r="F328" i="6"/>
  <c r="H329" i="6"/>
  <c r="I329" i="6" s="1"/>
  <c r="A305" i="6"/>
  <c r="A288" i="6"/>
  <c r="H244" i="6"/>
  <c r="I244" i="6" s="1"/>
  <c r="A244" i="6" s="1"/>
  <c r="F242" i="6"/>
  <c r="H242" i="6" s="1"/>
  <c r="I242" i="6" s="1"/>
  <c r="A242" i="6" s="1"/>
  <c r="H220" i="6"/>
  <c r="I141" i="6"/>
  <c r="A141" i="6" s="1"/>
  <c r="I306" i="6"/>
  <c r="A306" i="6" s="1"/>
  <c r="I182" i="6"/>
  <c r="A182" i="6" s="1"/>
  <c r="A83" i="6"/>
  <c r="P25" i="12"/>
  <c r="H44" i="6"/>
  <c r="H15" i="6"/>
  <c r="I15" i="6" s="1"/>
  <c r="F2257" i="6"/>
  <c r="G2248" i="6"/>
  <c r="I68" i="6"/>
  <c r="A68" i="6" s="1"/>
  <c r="P26" i="12"/>
  <c r="H52" i="6"/>
  <c r="I2215" i="6"/>
  <c r="A2215" i="6" s="1"/>
  <c r="I64" i="6"/>
  <c r="A64" i="6" s="1"/>
  <c r="G6" i="6"/>
  <c r="E7" i="6"/>
  <c r="H31" i="6"/>
  <c r="H1247" i="6"/>
  <c r="F1246" i="6"/>
  <c r="H589" i="6"/>
  <c r="I589" i="6" s="1"/>
  <c r="F588" i="6"/>
  <c r="H353" i="6"/>
  <c r="I353" i="6" s="1"/>
  <c r="A353" i="6" s="1"/>
  <c r="F352" i="6"/>
  <c r="H308" i="6"/>
  <c r="I308" i="6" s="1"/>
  <c r="F307" i="6"/>
  <c r="H276" i="6"/>
  <c r="I276" i="6" s="1"/>
  <c r="F274" i="6"/>
  <c r="H274" i="6" s="1"/>
  <c r="I274" i="6" s="1"/>
  <c r="A274" i="6" s="1"/>
  <c r="E199" i="6"/>
  <c r="H174" i="6"/>
  <c r="I174" i="6" s="1"/>
  <c r="A174" i="6" s="1"/>
  <c r="H71" i="6"/>
  <c r="I71" i="6" s="1"/>
  <c r="F70" i="6"/>
  <c r="E252" i="6"/>
  <c r="E223" i="6"/>
  <c r="E177" i="6"/>
  <c r="E258" i="6"/>
  <c r="H200" i="6"/>
  <c r="I200" i="6" s="1"/>
  <c r="A200" i="6" s="1"/>
  <c r="F199" i="6"/>
  <c r="L27" i="13"/>
  <c r="L32" i="13" s="1"/>
  <c r="F32" i="13"/>
  <c r="H2132" i="6"/>
  <c r="I2132" i="6" s="1"/>
  <c r="F2131" i="6"/>
  <c r="H2084" i="6"/>
  <c r="I2084" i="6" s="1"/>
  <c r="F78" i="15" s="1"/>
  <c r="E2026" i="6"/>
  <c r="A2023" i="6"/>
  <c r="H1946" i="6"/>
  <c r="A1930" i="6"/>
  <c r="H1894" i="6"/>
  <c r="I1894" i="6" s="1"/>
  <c r="A1894" i="6" s="1"/>
  <c r="F1888" i="6"/>
  <c r="E2067" i="6"/>
  <c r="H1832" i="6"/>
  <c r="I1832" i="6" s="1"/>
  <c r="A1832" i="6" s="1"/>
  <c r="F1831" i="6"/>
  <c r="F28" i="15" s="1"/>
  <c r="E1897" i="6"/>
  <c r="E1893" i="6" s="1"/>
  <c r="I1798" i="6"/>
  <c r="A1798" i="6" s="1"/>
  <c r="E1918" i="6"/>
  <c r="H1807" i="6"/>
  <c r="I1807" i="6" s="1"/>
  <c r="N21" i="15" s="1"/>
  <c r="F1806" i="6"/>
  <c r="E1789" i="6"/>
  <c r="A1813" i="6"/>
  <c r="A1690" i="6"/>
  <c r="E1734" i="6"/>
  <c r="H1722" i="6"/>
  <c r="F1721" i="6"/>
  <c r="H1712" i="6"/>
  <c r="F1711" i="6"/>
  <c r="H1711" i="6" s="1"/>
  <c r="H1688" i="6"/>
  <c r="H1552" i="6"/>
  <c r="I1552" i="6" s="1"/>
  <c r="H1502" i="6"/>
  <c r="I1502" i="6" s="1"/>
  <c r="F1501" i="6"/>
  <c r="H1470" i="6"/>
  <c r="I1470" i="6" s="1"/>
  <c r="A1470" i="6" s="1"/>
  <c r="H1741" i="6"/>
  <c r="I1741" i="6" s="1"/>
  <c r="A1741" i="6" s="1"/>
  <c r="F1640" i="6"/>
  <c r="E1587" i="6"/>
  <c r="I1567" i="6"/>
  <c r="A1567" i="6" s="1"/>
  <c r="I1521" i="6"/>
  <c r="A1521" i="6" s="1"/>
  <c r="E1441" i="6"/>
  <c r="F1441" i="6"/>
  <c r="H1441" i="6" s="1"/>
  <c r="H1442" i="6"/>
  <c r="I1442" i="6" s="1"/>
  <c r="F39" i="7" s="1"/>
  <c r="H1220" i="6"/>
  <c r="I1220" i="6" s="1"/>
  <c r="A1220" i="6" s="1"/>
  <c r="F1219" i="6"/>
  <c r="A1184" i="6"/>
  <c r="E1268" i="6"/>
  <c r="A1155" i="6"/>
  <c r="H937" i="6"/>
  <c r="I937" i="6" s="1"/>
  <c r="F936" i="6"/>
  <c r="H927" i="6"/>
  <c r="I927" i="6" s="1"/>
  <c r="F926" i="6"/>
  <c r="E925" i="6"/>
  <c r="A771" i="6"/>
  <c r="A735" i="6"/>
  <c r="A719" i="6"/>
  <c r="A583" i="6"/>
  <c r="A550" i="6"/>
  <c r="A699" i="6"/>
  <c r="H375" i="6"/>
  <c r="I375" i="6" s="1"/>
  <c r="E340" i="6"/>
  <c r="F22" i="14" s="1"/>
  <c r="E237" i="6"/>
  <c r="F212" i="6"/>
  <c r="H213" i="6"/>
  <c r="I213" i="6" s="1"/>
  <c r="H178" i="6"/>
  <c r="I178" i="6" s="1"/>
  <c r="A178" i="6" s="1"/>
  <c r="F177" i="6"/>
  <c r="H549" i="6"/>
  <c r="I549" i="6" s="1"/>
  <c r="F365" i="6"/>
  <c r="A282" i="6"/>
  <c r="A272" i="6"/>
  <c r="A214" i="6"/>
  <c r="H399" i="6"/>
  <c r="I399" i="6" s="1"/>
  <c r="A399" i="6" s="1"/>
  <c r="E294" i="6"/>
  <c r="A228" i="6"/>
  <c r="F581" i="6"/>
  <c r="H582" i="6"/>
  <c r="I582" i="6" s="1"/>
  <c r="A582" i="6" s="1"/>
  <c r="L21" i="14"/>
  <c r="H383" i="6"/>
  <c r="I383" i="6" s="1"/>
  <c r="E335" i="6"/>
  <c r="H323" i="6"/>
  <c r="I323" i="6" s="1"/>
  <c r="H234" i="6"/>
  <c r="F232" i="6"/>
  <c r="E166" i="6"/>
  <c r="E162" i="6" s="1"/>
  <c r="F2248" i="6"/>
  <c r="I2213" i="6"/>
  <c r="A2213" i="6" s="1"/>
  <c r="A20" i="6"/>
  <c r="L76" i="14"/>
  <c r="F79" i="14"/>
  <c r="J13" i="12"/>
  <c r="H11" i="6"/>
  <c r="I11" i="6" s="1"/>
  <c r="I1555" i="6"/>
  <c r="A1555" i="6" s="1"/>
  <c r="I1068" i="6"/>
  <c r="A1068" i="6" s="1"/>
  <c r="C179" i="3"/>
  <c r="C176" i="3"/>
  <c r="C130" i="4"/>
  <c r="C18" i="4"/>
  <c r="L30" i="12" l="1"/>
  <c r="A2013" i="6"/>
  <c r="E1571" i="6"/>
  <c r="A1982" i="6"/>
  <c r="F44" i="15"/>
  <c r="N22" i="15"/>
  <c r="A1701" i="6"/>
  <c r="F1633" i="6"/>
  <c r="G2222" i="6" s="1"/>
  <c r="H1888" i="6"/>
  <c r="I1888" i="6" s="1"/>
  <c r="F30" i="15"/>
  <c r="F32" i="15" s="1"/>
  <c r="A2106" i="6"/>
  <c r="A2016" i="6"/>
  <c r="E715" i="6"/>
  <c r="A118" i="6"/>
  <c r="H11" i="13"/>
  <c r="H12" i="13" s="1"/>
  <c r="A1969" i="6"/>
  <c r="F42" i="15"/>
  <c r="A1987" i="6"/>
  <c r="F45" i="15"/>
  <c r="G1244" i="6"/>
  <c r="L78" i="14"/>
  <c r="L79" i="14" s="1"/>
  <c r="H103" i="6"/>
  <c r="I103" i="6" s="1"/>
  <c r="A103" i="6" s="1"/>
  <c r="F1945" i="6"/>
  <c r="F1933" i="6" s="1"/>
  <c r="E389" i="6"/>
  <c r="G230" i="6"/>
  <c r="H232" i="6"/>
  <c r="I232" i="6" s="1"/>
  <c r="F231" i="6"/>
  <c r="H231" i="6" s="1"/>
  <c r="E2193" i="6"/>
  <c r="F61" i="14"/>
  <c r="H61" i="14"/>
  <c r="A1280" i="6"/>
  <c r="F66" i="14"/>
  <c r="E1537" i="6"/>
  <c r="E1945" i="6"/>
  <c r="E1933" i="6" s="1"/>
  <c r="F1820" i="6"/>
  <c r="G1453" i="6"/>
  <c r="G1687" i="6"/>
  <c r="F1733" i="6" s="1"/>
  <c r="A1098" i="6"/>
  <c r="F1096" i="6"/>
  <c r="F1084" i="6" s="1"/>
  <c r="H1097" i="6"/>
  <c r="I1097" i="6" s="1"/>
  <c r="A1097" i="6" s="1"/>
  <c r="G388" i="6"/>
  <c r="I2225" i="6"/>
  <c r="A2225" i="6" s="1"/>
  <c r="F16" i="8"/>
  <c r="H391" i="6"/>
  <c r="I391" i="6" s="1"/>
  <c r="A391" i="6" s="1"/>
  <c r="H1635" i="6"/>
  <c r="I1635" i="6" s="1"/>
  <c r="A1635" i="6" s="1"/>
  <c r="F340" i="6"/>
  <c r="H22" i="14" s="1"/>
  <c r="H24" i="14" s="1"/>
  <c r="H91" i="6"/>
  <c r="I91" i="6" s="1"/>
  <c r="A91" i="6" s="1"/>
  <c r="H166" i="6"/>
  <c r="I166" i="6" s="1"/>
  <c r="A166" i="6" s="1"/>
  <c r="H706" i="6"/>
  <c r="I706" i="6" s="1"/>
  <c r="A706" i="6" s="1"/>
  <c r="I906" i="6"/>
  <c r="A906" i="6" s="1"/>
  <c r="F162" i="6"/>
  <c r="H162" i="6" s="1"/>
  <c r="I162" i="6" s="1"/>
  <c r="A162" i="6" s="1"/>
  <c r="H102" i="6"/>
  <c r="I102" i="6" s="1"/>
  <c r="F13" i="7" s="1"/>
  <c r="I716" i="6"/>
  <c r="A716" i="6" s="1"/>
  <c r="H188" i="6"/>
  <c r="I188" i="6" s="1"/>
  <c r="A188" i="6" s="1"/>
  <c r="H2086" i="6"/>
  <c r="I2086" i="6" s="1"/>
  <c r="A2086" i="6" s="1"/>
  <c r="H715" i="6"/>
  <c r="F184" i="6"/>
  <c r="H184" i="6" s="1"/>
  <c r="I184" i="6" s="1"/>
  <c r="A184" i="6" s="1"/>
  <c r="H1557" i="6"/>
  <c r="I1557" i="6" s="1"/>
  <c r="A1557" i="6" s="1"/>
  <c r="H1321" i="6"/>
  <c r="I1321" i="6" s="1"/>
  <c r="F39" i="14" s="1"/>
  <c r="H39" i="14" s="1"/>
  <c r="F1651" i="6"/>
  <c r="H1651" i="6" s="1"/>
  <c r="I1651" i="6" s="1"/>
  <c r="A1651" i="6" s="1"/>
  <c r="I1272" i="6"/>
  <c r="A1272" i="6" s="1"/>
  <c r="H177" i="6"/>
  <c r="I177" i="6" s="1"/>
  <c r="A177" i="6" s="1"/>
  <c r="H1721" i="6"/>
  <c r="F1678" i="6"/>
  <c r="H1678" i="6" s="1"/>
  <c r="I1678" i="6" s="1"/>
  <c r="H2248" i="6"/>
  <c r="I2248" i="6" s="1"/>
  <c r="A2248" i="6" s="1"/>
  <c r="H223" i="6"/>
  <c r="I223" i="6" s="1"/>
  <c r="A223" i="6" s="1"/>
  <c r="G1007" i="6"/>
  <c r="H95" i="14" s="1"/>
  <c r="H99" i="14" s="1"/>
  <c r="F87" i="14"/>
  <c r="A2099" i="6"/>
  <c r="I2011" i="6"/>
  <c r="A2011" i="6" s="1"/>
  <c r="H365" i="6"/>
  <c r="I365" i="6" s="1"/>
  <c r="A365" i="6" s="1"/>
  <c r="H70" i="6"/>
  <c r="I70" i="6" s="1"/>
  <c r="A70" i="6" s="1"/>
  <c r="G5" i="6"/>
  <c r="H1897" i="6"/>
  <c r="I1897" i="6" s="1"/>
  <c r="A1897" i="6" s="1"/>
  <c r="H1476" i="6"/>
  <c r="I1476" i="6" s="1"/>
  <c r="F48" i="14" s="1"/>
  <c r="G695" i="6"/>
  <c r="G694" i="6" s="1"/>
  <c r="H1622" i="6"/>
  <c r="I1622" i="6" s="1"/>
  <c r="A1622" i="6" s="1"/>
  <c r="F1616" i="6"/>
  <c r="H1616" i="6" s="1"/>
  <c r="I1616" i="6" s="1"/>
  <c r="A1616" i="6" s="1"/>
  <c r="H1136" i="6"/>
  <c r="I2098" i="6"/>
  <c r="F81" i="15" s="1"/>
  <c r="H307" i="6"/>
  <c r="I307" i="6" s="1"/>
  <c r="A307" i="6" s="1"/>
  <c r="A1955" i="6"/>
  <c r="H128" i="6"/>
  <c r="I128" i="6" s="1"/>
  <c r="A128" i="6" s="1"/>
  <c r="H1664" i="6"/>
  <c r="I1664" i="6" s="1"/>
  <c r="A1664" i="6" s="1"/>
  <c r="H1605" i="6"/>
  <c r="I1605" i="6" s="1"/>
  <c r="A1605" i="6" s="1"/>
  <c r="I1284" i="6"/>
  <c r="G149" i="6"/>
  <c r="H352" i="6"/>
  <c r="I352" i="6" s="1"/>
  <c r="F12" i="14" s="1"/>
  <c r="J12" i="14" s="1"/>
  <c r="F390" i="6"/>
  <c r="H390" i="6" s="1"/>
  <c r="I390" i="6" s="1"/>
  <c r="E1687" i="6"/>
  <c r="E1135" i="6"/>
  <c r="A2093" i="6"/>
  <c r="A1689" i="6"/>
  <c r="E1007" i="6"/>
  <c r="F95" i="14" s="1"/>
  <c r="F89" i="14"/>
  <c r="H1419" i="6"/>
  <c r="H1420" i="6"/>
  <c r="I1420" i="6" s="1"/>
  <c r="A1420" i="6" s="1"/>
  <c r="F1135" i="6"/>
  <c r="H1572" i="6"/>
  <c r="I1572" i="6" s="1"/>
  <c r="A1572" i="6" s="1"/>
  <c r="A1287" i="6"/>
  <c r="I1665" i="6"/>
  <c r="A1665" i="6" s="1"/>
  <c r="F6" i="6"/>
  <c r="H6" i="6" s="1"/>
  <c r="A2031" i="6"/>
  <c r="I2152" i="6"/>
  <c r="A2152" i="6" s="1"/>
  <c r="F219" i="6"/>
  <c r="H219" i="6" s="1"/>
  <c r="A286" i="6"/>
  <c r="F257" i="6"/>
  <c r="H257" i="6" s="1"/>
  <c r="H23" i="6"/>
  <c r="I23" i="6" s="1"/>
  <c r="I1711" i="6"/>
  <c r="A1711" i="6" s="1"/>
  <c r="F1599" i="6"/>
  <c r="G2245" i="6"/>
  <c r="H2245" i="6" s="1"/>
  <c r="I2245" i="6" s="1"/>
  <c r="A2245" i="6" s="1"/>
  <c r="H1804" i="6"/>
  <c r="I1804" i="6" s="1"/>
  <c r="A1804" i="6" s="1"/>
  <c r="I185" i="6"/>
  <c r="A185" i="6" s="1"/>
  <c r="I58" i="6"/>
  <c r="F12" i="7" s="1"/>
  <c r="H10" i="12"/>
  <c r="J10" i="12" s="1"/>
  <c r="F28" i="12"/>
  <c r="P28" i="12" s="1"/>
  <c r="F14" i="12"/>
  <c r="J14" i="12" s="1"/>
  <c r="A1442" i="6"/>
  <c r="A2084" i="6"/>
  <c r="F7" i="12"/>
  <c r="F21" i="12"/>
  <c r="A1539" i="6"/>
  <c r="F28" i="7"/>
  <c r="A254" i="6"/>
  <c r="F8" i="14"/>
  <c r="J8" i="14" s="1"/>
  <c r="G32" i="7"/>
  <c r="G34" i="7" s="1"/>
  <c r="F41" i="15"/>
  <c r="H86" i="14"/>
  <c r="A1525" i="6"/>
  <c r="F23" i="12"/>
  <c r="P23" i="12" s="1"/>
  <c r="A106" i="6"/>
  <c r="A107" i="6"/>
  <c r="A955" i="6"/>
  <c r="L69" i="14"/>
  <c r="A403" i="6"/>
  <c r="A1040" i="6"/>
  <c r="J79" i="14"/>
  <c r="A2195" i="6"/>
  <c r="I31" i="6"/>
  <c r="A31" i="6" s="1"/>
  <c r="I1722" i="6"/>
  <c r="A1722" i="6" s="1"/>
  <c r="I247" i="6"/>
  <c r="A247" i="6" s="1"/>
  <c r="I1438" i="6"/>
  <c r="A1438" i="6" s="1"/>
  <c r="I2251" i="6"/>
  <c r="A2251" i="6" s="1"/>
  <c r="A589" i="6"/>
  <c r="A687" i="6"/>
  <c r="I263" i="6"/>
  <c r="A263" i="6" s="1"/>
  <c r="P38" i="12"/>
  <c r="P42" i="12" s="1"/>
  <c r="F42" i="12"/>
  <c r="A15" i="6"/>
  <c r="A323" i="6"/>
  <c r="H1219" i="6"/>
  <c r="I1219" i="6" s="1"/>
  <c r="A1219" i="6" s="1"/>
  <c r="H1831" i="6"/>
  <c r="I1831" i="6" s="1"/>
  <c r="A1831" i="6" s="1"/>
  <c r="E2066" i="6"/>
  <c r="E206" i="6"/>
  <c r="F173" i="6"/>
  <c r="H173" i="6" s="1"/>
  <c r="A109" i="6"/>
  <c r="L18" i="14"/>
  <c r="I707" i="6"/>
  <c r="A707" i="6" s="1"/>
  <c r="I1047" i="6"/>
  <c r="A1047" i="6" s="1"/>
  <c r="E1634" i="6"/>
  <c r="I1538" i="6"/>
  <c r="A1538" i="6" s="1"/>
  <c r="I402" i="6"/>
  <c r="A402" i="6" s="1"/>
  <c r="F12" i="13"/>
  <c r="J7" i="13"/>
  <c r="H575" i="6"/>
  <c r="I575" i="6" s="1"/>
  <c r="A575" i="6" s="1"/>
  <c r="F574" i="6"/>
  <c r="E219" i="6"/>
  <c r="E1246" i="6"/>
  <c r="I1247" i="6"/>
  <c r="A1247" i="6" s="1"/>
  <c r="I1454" i="6"/>
  <c r="F46" i="14" s="1"/>
  <c r="E1453" i="6"/>
  <c r="A1504" i="6"/>
  <c r="F1537" i="6"/>
  <c r="H1537" i="6" s="1"/>
  <c r="I1600" i="6"/>
  <c r="A1600" i="6" s="1"/>
  <c r="I1898" i="6"/>
  <c r="A1898" i="6" s="1"/>
  <c r="J30" i="12"/>
  <c r="H697" i="6"/>
  <c r="I697" i="6" s="1"/>
  <c r="A697" i="6" s="1"/>
  <c r="F696" i="6"/>
  <c r="H1029" i="6"/>
  <c r="A1606" i="6"/>
  <c r="A213" i="6"/>
  <c r="A224" i="6"/>
  <c r="E1267" i="6"/>
  <c r="H954" i="6"/>
  <c r="I954" i="6" s="1"/>
  <c r="A954" i="6" s="1"/>
  <c r="F953" i="6"/>
  <c r="F2246" i="6"/>
  <c r="H2192" i="6"/>
  <c r="I2192" i="6" s="1"/>
  <c r="A2192" i="6" s="1"/>
  <c r="G2183" i="6"/>
  <c r="L17" i="13"/>
  <c r="L22" i="13" s="1"/>
  <c r="F22" i="13"/>
  <c r="I220" i="6"/>
  <c r="A220" i="6" s="1"/>
  <c r="H1740" i="6"/>
  <c r="I1740" i="6" s="1"/>
  <c r="E2130" i="6"/>
  <c r="A1582" i="6"/>
  <c r="H212" i="6"/>
  <c r="I212" i="6" s="1"/>
  <c r="A212" i="6" s="1"/>
  <c r="F207" i="6"/>
  <c r="H936" i="6"/>
  <c r="I936" i="6" s="1"/>
  <c r="I1587" i="6"/>
  <c r="A1587" i="6" s="1"/>
  <c r="I1294" i="6"/>
  <c r="I335" i="6"/>
  <c r="H581" i="6"/>
  <c r="I581" i="6" s="1"/>
  <c r="I294" i="6"/>
  <c r="A294" i="6" s="1"/>
  <c r="A549" i="6"/>
  <c r="I237" i="6"/>
  <c r="A237" i="6" s="1"/>
  <c r="A341" i="6"/>
  <c r="A375" i="6"/>
  <c r="H926" i="6"/>
  <c r="I926" i="6" s="1"/>
  <c r="A926" i="6" s="1"/>
  <c r="F925" i="6"/>
  <c r="H925" i="6" s="1"/>
  <c r="I925" i="6" s="1"/>
  <c r="A937" i="6"/>
  <c r="A1269" i="6"/>
  <c r="I1441" i="6"/>
  <c r="A1441" i="6" s="1"/>
  <c r="H1640" i="6"/>
  <c r="I1640" i="6" s="1"/>
  <c r="A1640" i="6" s="1"/>
  <c r="H1501" i="6"/>
  <c r="I1501" i="6" s="1"/>
  <c r="A1501" i="6" s="1"/>
  <c r="F1500" i="6"/>
  <c r="H1500" i="6" s="1"/>
  <c r="I1500" i="6" s="1"/>
  <c r="F49" i="14" s="1"/>
  <c r="I1712" i="6"/>
  <c r="A1707" i="6"/>
  <c r="I1734" i="6"/>
  <c r="F68" i="15" s="1"/>
  <c r="I1974" i="6"/>
  <c r="H2131" i="6"/>
  <c r="I2131" i="6" s="1"/>
  <c r="F2130" i="6"/>
  <c r="A71" i="6"/>
  <c r="H199" i="6"/>
  <c r="I199" i="6" s="1"/>
  <c r="F195" i="6"/>
  <c r="H195" i="6" s="1"/>
  <c r="I252" i="6"/>
  <c r="A252" i="6" s="1"/>
  <c r="A308" i="6"/>
  <c r="I52" i="6"/>
  <c r="A52" i="6" s="1"/>
  <c r="A1552" i="6"/>
  <c r="I44" i="6"/>
  <c r="A329" i="6"/>
  <c r="A525" i="6"/>
  <c r="I234" i="6"/>
  <c r="A234" i="6" s="1"/>
  <c r="L98" i="14"/>
  <c r="A947" i="6"/>
  <c r="H1009" i="6"/>
  <c r="I1009" i="6" s="1"/>
  <c r="F44" i="16" s="1"/>
  <c r="F1008" i="6"/>
  <c r="A1451" i="6"/>
  <c r="I1530" i="6"/>
  <c r="A1530" i="6" s="1"/>
  <c r="A1558" i="6"/>
  <c r="A1446" i="6"/>
  <c r="E1739" i="6"/>
  <c r="F2238" i="6"/>
  <c r="G2128" i="6"/>
  <c r="H2129" i="6"/>
  <c r="I2129" i="6" s="1"/>
  <c r="H542" i="6"/>
  <c r="F541" i="6"/>
  <c r="H541" i="6" s="1"/>
  <c r="I541" i="6" s="1"/>
  <c r="A704" i="6"/>
  <c r="A949" i="6"/>
  <c r="H2224" i="6"/>
  <c r="H1465" i="6"/>
  <c r="H1934" i="6"/>
  <c r="I1934" i="6" s="1"/>
  <c r="A11" i="6"/>
  <c r="I269" i="6"/>
  <c r="A269" i="6" s="1"/>
  <c r="E268" i="6"/>
  <c r="A379" i="6"/>
  <c r="L96" i="14"/>
  <c r="H1019" i="6"/>
  <c r="A1424" i="6"/>
  <c r="E1419" i="6"/>
  <c r="G1932" i="6"/>
  <c r="A2201" i="6"/>
  <c r="A2132" i="6"/>
  <c r="I2176" i="6"/>
  <c r="A2176" i="6" s="1"/>
  <c r="L42" i="12"/>
  <c r="A1030" i="6"/>
  <c r="I1946" i="6"/>
  <c r="F40" i="15" s="1"/>
  <c r="A1865" i="6"/>
  <c r="A276" i="6"/>
  <c r="A1871" i="6"/>
  <c r="A1807" i="6"/>
  <c r="I1789" i="6"/>
  <c r="A1789" i="6" s="1"/>
  <c r="E257" i="6"/>
  <c r="I258" i="6"/>
  <c r="A258" i="6" s="1"/>
  <c r="E6" i="6"/>
  <c r="G11" i="7" s="1"/>
  <c r="I7" i="6"/>
  <c r="A7" i="6" s="1"/>
  <c r="E195" i="6"/>
  <c r="H524" i="6"/>
  <c r="I524" i="6" s="1"/>
  <c r="F523" i="6"/>
  <c r="H1003" i="6"/>
  <c r="I1003" i="6" s="1"/>
  <c r="A1003" i="6" s="1"/>
  <c r="C177" i="3"/>
  <c r="C181" i="3" s="1"/>
  <c r="C180" i="3"/>
  <c r="C183" i="3" s="1"/>
  <c r="A383" i="6"/>
  <c r="A1014" i="6"/>
  <c r="A927" i="6"/>
  <c r="A1502" i="6"/>
  <c r="I1688" i="6"/>
  <c r="A1688" i="6" s="1"/>
  <c r="I2006" i="6"/>
  <c r="A2006" i="6" s="1"/>
  <c r="I2026" i="6"/>
  <c r="A2026" i="6" s="1"/>
  <c r="E173" i="6"/>
  <c r="H588" i="6"/>
  <c r="I588" i="6" s="1"/>
  <c r="A588" i="6" s="1"/>
  <c r="F587" i="6"/>
  <c r="H1246" i="6"/>
  <c r="F1245" i="6"/>
  <c r="H2257" i="6"/>
  <c r="I2257" i="6" s="1"/>
  <c r="A2257" i="6" s="1"/>
  <c r="A325" i="6"/>
  <c r="H328" i="6"/>
  <c r="I328" i="6" s="1"/>
  <c r="H556" i="6"/>
  <c r="I556" i="6" s="1"/>
  <c r="F32" i="14" s="1"/>
  <c r="H32" i="14" s="1"/>
  <c r="E1182" i="6"/>
  <c r="H999" i="6"/>
  <c r="I999" i="6" s="1"/>
  <c r="A1010" i="6"/>
  <c r="A1432" i="6"/>
  <c r="H1268" i="6"/>
  <c r="F1267" i="6"/>
  <c r="H1267" i="6" s="1"/>
  <c r="I1493" i="6"/>
  <c r="A1493" i="6" s="1"/>
  <c r="I1666" i="6"/>
  <c r="A1666" i="6" s="1"/>
  <c r="H2067" i="6"/>
  <c r="I2067" i="6" s="1"/>
  <c r="F77" i="15" s="1"/>
  <c r="F92" i="15" s="1"/>
  <c r="F2066" i="6"/>
  <c r="A543" i="6"/>
  <c r="H1037" i="6"/>
  <c r="I1160" i="6"/>
  <c r="A1160" i="6" s="1"/>
  <c r="A1466" i="6"/>
  <c r="A1652" i="6"/>
  <c r="H2194" i="6"/>
  <c r="I2194" i="6" s="1"/>
  <c r="F30" i="7" s="1"/>
  <c r="A300" i="6"/>
  <c r="A576" i="6"/>
  <c r="E587" i="6"/>
  <c r="H154" i="6"/>
  <c r="I154" i="6" s="1"/>
  <c r="I686" i="6"/>
  <c r="A686" i="6" s="1"/>
  <c r="A1020" i="6"/>
  <c r="H1185" i="6"/>
  <c r="I1185" i="6" s="1"/>
  <c r="F1182" i="6"/>
  <c r="A1488" i="6"/>
  <c r="J70" i="14"/>
  <c r="I1919" i="6"/>
  <c r="A1919" i="6" s="1"/>
  <c r="A2082" i="6"/>
  <c r="A2163" i="6"/>
  <c r="E231" i="6"/>
  <c r="E696" i="6"/>
  <c r="A1012" i="6"/>
  <c r="A2175" i="6"/>
  <c r="A377" i="6"/>
  <c r="H16" i="12" l="1"/>
  <c r="H1599" i="6"/>
  <c r="I1599" i="6" s="1"/>
  <c r="A1599" i="6" s="1"/>
  <c r="G1633" i="6"/>
  <c r="F2222" i="6" s="1"/>
  <c r="F1571" i="6"/>
  <c r="A23" i="6"/>
  <c r="F9" i="12"/>
  <c r="J9" i="12" s="1"/>
  <c r="A1888" i="6"/>
  <c r="G20" i="7"/>
  <c r="F111" i="14"/>
  <c r="H111" i="14" s="1"/>
  <c r="A1974" i="6"/>
  <c r="F43" i="15"/>
  <c r="J11" i="13"/>
  <c r="J12" i="13" s="1"/>
  <c r="A44" i="6"/>
  <c r="F11" i="12"/>
  <c r="J11" i="12" s="1"/>
  <c r="F39" i="15"/>
  <c r="A1294" i="6"/>
  <c r="F1244" i="6"/>
  <c r="H1244" i="6" s="1"/>
  <c r="A1284" i="6"/>
  <c r="A232" i="6"/>
  <c r="E695" i="6"/>
  <c r="E694" i="6" s="1"/>
  <c r="G148" i="6"/>
  <c r="G147" i="6" s="1"/>
  <c r="H1945" i="6"/>
  <c r="I1945" i="6" s="1"/>
  <c r="F1453" i="6"/>
  <c r="H1453" i="6" s="1"/>
  <c r="I1453" i="6" s="1"/>
  <c r="F1036" i="6"/>
  <c r="H1036" i="6" s="1"/>
  <c r="H1135" i="6"/>
  <c r="I1135" i="6" s="1"/>
  <c r="F108" i="14" s="1"/>
  <c r="H108" i="14" s="1"/>
  <c r="F1133" i="6"/>
  <c r="G2233" i="6"/>
  <c r="H1733" i="6"/>
  <c r="I1733" i="6" s="1"/>
  <c r="A1733" i="6" s="1"/>
  <c r="F1687" i="6"/>
  <c r="H1687" i="6" s="1"/>
  <c r="I1687" i="6" s="1"/>
  <c r="A1687" i="6" s="1"/>
  <c r="H1096" i="6"/>
  <c r="I1096" i="6" s="1"/>
  <c r="A1096" i="6" s="1"/>
  <c r="G42" i="7"/>
  <c r="I2224" i="6"/>
  <c r="A2224" i="6" s="1"/>
  <c r="F12" i="8"/>
  <c r="H340" i="6"/>
  <c r="I340" i="6" s="1"/>
  <c r="F11" i="14" s="1"/>
  <c r="I715" i="6"/>
  <c r="A715" i="6" s="1"/>
  <c r="G2226" i="6"/>
  <c r="H2226" i="6" s="1"/>
  <c r="I1721" i="6"/>
  <c r="A1721" i="6" s="1"/>
  <c r="I1136" i="6"/>
  <c r="F36" i="14" s="1"/>
  <c r="H36" i="14" s="1"/>
  <c r="F389" i="6"/>
  <c r="A2098" i="6"/>
  <c r="F90" i="14"/>
  <c r="G387" i="6"/>
  <c r="A352" i="6"/>
  <c r="F21" i="16"/>
  <c r="F29" i="7"/>
  <c r="A1321" i="6"/>
  <c r="A58" i="6"/>
  <c r="F230" i="6"/>
  <c r="H230" i="6" s="1"/>
  <c r="F5" i="6"/>
  <c r="A1734" i="6"/>
  <c r="F38" i="15"/>
  <c r="F9" i="14"/>
  <c r="J9" i="14" s="1"/>
  <c r="F65" i="15"/>
  <c r="F26" i="16"/>
  <c r="A1009" i="6"/>
  <c r="F10" i="14"/>
  <c r="J10" i="14" s="1"/>
  <c r="A2067" i="6"/>
  <c r="H150" i="6"/>
  <c r="I150" i="6" s="1"/>
  <c r="A150" i="6" s="1"/>
  <c r="F149" i="6"/>
  <c r="G2127" i="6"/>
  <c r="H553" i="6"/>
  <c r="I553" i="6" s="1"/>
  <c r="A553" i="6" s="1"/>
  <c r="F2229" i="6"/>
  <c r="G1918" i="6"/>
  <c r="H1932" i="6"/>
  <c r="I1932" i="6" s="1"/>
  <c r="H2238" i="6"/>
  <c r="F2239" i="6"/>
  <c r="F2236" i="6" s="1"/>
  <c r="H1008" i="6"/>
  <c r="I1008" i="6" s="1"/>
  <c r="A1008" i="6" s="1"/>
  <c r="F1007" i="6"/>
  <c r="J95" i="14" s="1"/>
  <c r="I1268" i="6"/>
  <c r="A1268" i="6" s="1"/>
  <c r="H696" i="6"/>
  <c r="I696" i="6" s="1"/>
  <c r="F695" i="6"/>
  <c r="L66" i="14"/>
  <c r="L70" i="14" s="1"/>
  <c r="F70" i="14"/>
  <c r="L22" i="14"/>
  <c r="L24" i="14" s="1"/>
  <c r="F24" i="14"/>
  <c r="I1037" i="6"/>
  <c r="A1037" i="6" s="1"/>
  <c r="E1181" i="6"/>
  <c r="A556" i="6"/>
  <c r="A328" i="6"/>
  <c r="G15" i="7"/>
  <c r="I6" i="6"/>
  <c r="F11" i="7" s="1"/>
  <c r="E5" i="6"/>
  <c r="I257" i="6"/>
  <c r="A257" i="6" s="1"/>
  <c r="H90" i="14"/>
  <c r="L86" i="14"/>
  <c r="L90" i="14" s="1"/>
  <c r="I542" i="6"/>
  <c r="A542" i="6" s="1"/>
  <c r="A2129" i="6"/>
  <c r="A390" i="6"/>
  <c r="G2182" i="6"/>
  <c r="A1712" i="6"/>
  <c r="A335" i="6"/>
  <c r="H207" i="6"/>
  <c r="F206" i="6"/>
  <c r="H206" i="6" s="1"/>
  <c r="I206" i="6" s="1"/>
  <c r="A206" i="6" s="1"/>
  <c r="A2131" i="6"/>
  <c r="H2183" i="6"/>
  <c r="I2183" i="6" s="1"/>
  <c r="H953" i="6"/>
  <c r="I953" i="6" s="1"/>
  <c r="A953" i="6" s="1"/>
  <c r="F952" i="6"/>
  <c r="A1454" i="6"/>
  <c r="H574" i="6"/>
  <c r="I574" i="6" s="1"/>
  <c r="A154" i="6"/>
  <c r="I1537" i="6"/>
  <c r="F20" i="16" s="1"/>
  <c r="A1476" i="6"/>
  <c r="F2227" i="6"/>
  <c r="H1819" i="6"/>
  <c r="I1819" i="6" s="1"/>
  <c r="G1806" i="6"/>
  <c r="E1570" i="6"/>
  <c r="E586" i="6"/>
  <c r="E388" i="6" s="1"/>
  <c r="H1245" i="6"/>
  <c r="A1934" i="6"/>
  <c r="H587" i="6"/>
  <c r="I587" i="6" s="1"/>
  <c r="F586" i="6"/>
  <c r="H586" i="6" s="1"/>
  <c r="C184" i="3"/>
  <c r="C189" i="3"/>
  <c r="C190" i="3" s="1"/>
  <c r="I195" i="6"/>
  <c r="A195" i="6" s="1"/>
  <c r="I268" i="6"/>
  <c r="A268" i="6" s="1"/>
  <c r="A1740" i="6"/>
  <c r="A925" i="6"/>
  <c r="I1267" i="6"/>
  <c r="I1029" i="6"/>
  <c r="A1029" i="6" s="1"/>
  <c r="I1246" i="6"/>
  <c r="A1246" i="6" s="1"/>
  <c r="E1245" i="6"/>
  <c r="A1500" i="6"/>
  <c r="A541" i="6"/>
  <c r="A199" i="6"/>
  <c r="A2194" i="6"/>
  <c r="I173" i="6"/>
  <c r="A173" i="6" s="1"/>
  <c r="H523" i="6"/>
  <c r="I523" i="6" s="1"/>
  <c r="F522" i="6"/>
  <c r="E1820" i="6"/>
  <c r="A1185" i="6"/>
  <c r="J7" i="12"/>
  <c r="E230" i="6"/>
  <c r="I231" i="6"/>
  <c r="A231" i="6" s="1"/>
  <c r="H1182" i="6"/>
  <c r="I1182" i="6" s="1"/>
  <c r="F1181" i="6"/>
  <c r="H1181" i="6" s="1"/>
  <c r="A999" i="6"/>
  <c r="E149" i="6"/>
  <c r="A524" i="6"/>
  <c r="F30" i="12"/>
  <c r="P21" i="12"/>
  <c r="P30" i="12" s="1"/>
  <c r="A1946" i="6"/>
  <c r="F99" i="14"/>
  <c r="A1678" i="6"/>
  <c r="I1419" i="6"/>
  <c r="I1019" i="6"/>
  <c r="I1465" i="6"/>
  <c r="H2128" i="6"/>
  <c r="I2128" i="6" s="1"/>
  <c r="F80" i="15" s="1"/>
  <c r="A581" i="6"/>
  <c r="A936" i="6"/>
  <c r="H2246" i="6"/>
  <c r="F2247" i="6"/>
  <c r="F2244" i="6" s="1"/>
  <c r="A102" i="6"/>
  <c r="H51" i="14"/>
  <c r="I219" i="6"/>
  <c r="A219" i="6" s="1"/>
  <c r="F16" i="12" l="1"/>
  <c r="F20" i="7"/>
  <c r="J16" i="12"/>
  <c r="F388" i="6"/>
  <c r="G21" i="7"/>
  <c r="G47" i="7"/>
  <c r="H5" i="6"/>
  <c r="I5" i="6" s="1"/>
  <c r="A1945" i="6"/>
  <c r="H1133" i="6"/>
  <c r="I1133" i="6" s="1"/>
  <c r="H1084" i="6"/>
  <c r="H2233" i="6"/>
  <c r="I2233" i="6" s="1"/>
  <c r="A2233" i="6" s="1"/>
  <c r="A1135" i="6"/>
  <c r="H389" i="6"/>
  <c r="I389" i="6" s="1"/>
  <c r="F30" i="14" s="1"/>
  <c r="H30" i="14" s="1"/>
  <c r="I2226" i="6"/>
  <c r="A2226" i="6" s="1"/>
  <c r="F17" i="8"/>
  <c r="G2065" i="6"/>
  <c r="A1136" i="6"/>
  <c r="F47" i="14"/>
  <c r="F51" i="14" s="1"/>
  <c r="F38" i="16"/>
  <c r="F38" i="14"/>
  <c r="H38" i="14" s="1"/>
  <c r="F33" i="14"/>
  <c r="H33" i="14" s="1"/>
  <c r="A1019" i="6"/>
  <c r="A574" i="6"/>
  <c r="A6" i="6"/>
  <c r="G1917" i="6"/>
  <c r="F1805" i="6"/>
  <c r="E1244" i="6"/>
  <c r="I1245" i="6"/>
  <c r="H1806" i="6"/>
  <c r="I1806" i="6" s="1"/>
  <c r="I230" i="6"/>
  <c r="A230" i="6" s="1"/>
  <c r="J11" i="14"/>
  <c r="I586" i="6"/>
  <c r="A696" i="6"/>
  <c r="H952" i="6"/>
  <c r="I952" i="6" s="1"/>
  <c r="F34" i="14" s="1"/>
  <c r="H34" i="14" s="1"/>
  <c r="I6" i="10"/>
  <c r="F15" i="7"/>
  <c r="I1181" i="6"/>
  <c r="F109" i="14" s="1"/>
  <c r="H109" i="14" s="1"/>
  <c r="A1453" i="6"/>
  <c r="H1007" i="6"/>
  <c r="I1007" i="6" s="1"/>
  <c r="H1918" i="6"/>
  <c r="I1918" i="6" s="1"/>
  <c r="A1918" i="6" s="1"/>
  <c r="A587" i="6"/>
  <c r="A1819" i="6"/>
  <c r="F28" i="16"/>
  <c r="A1182" i="6"/>
  <c r="I2238" i="6"/>
  <c r="A2238" i="6" s="1"/>
  <c r="G2239" i="6"/>
  <c r="H2239" i="6" s="1"/>
  <c r="I2239" i="6" s="1"/>
  <c r="H2229" i="6"/>
  <c r="H149" i="6"/>
  <c r="I149" i="6" s="1"/>
  <c r="A149" i="6" s="1"/>
  <c r="F148" i="6"/>
  <c r="H522" i="6"/>
  <c r="I522" i="6" s="1"/>
  <c r="A522" i="6" s="1"/>
  <c r="A1465" i="6"/>
  <c r="E148" i="6"/>
  <c r="I2246" i="6"/>
  <c r="A2246" i="6" s="1"/>
  <c r="G2247" i="6"/>
  <c r="F39" i="16"/>
  <c r="E1805" i="6"/>
  <c r="G2258" i="6"/>
  <c r="A2128" i="6"/>
  <c r="A1419" i="6"/>
  <c r="A523" i="6"/>
  <c r="A1267" i="6"/>
  <c r="H2227" i="6"/>
  <c r="A1537" i="6"/>
  <c r="A2183" i="6"/>
  <c r="I207" i="6"/>
  <c r="A207" i="6" s="1"/>
  <c r="F2242" i="6"/>
  <c r="G2130" i="6"/>
  <c r="H2182" i="6"/>
  <c r="I2182" i="6" s="1"/>
  <c r="H695" i="6"/>
  <c r="F694" i="6"/>
  <c r="H694" i="6" s="1"/>
  <c r="G2255" i="6"/>
  <c r="A1932" i="6"/>
  <c r="F2234" i="6"/>
  <c r="H2127" i="6"/>
  <c r="I2127" i="6" s="1"/>
  <c r="G2066" i="6"/>
  <c r="A340" i="6"/>
  <c r="F21" i="7" l="1"/>
  <c r="F47" i="7"/>
  <c r="F110" i="14"/>
  <c r="H110" i="14" s="1"/>
  <c r="A586" i="6"/>
  <c r="F106" i="14"/>
  <c r="H106" i="14" s="1"/>
  <c r="H2065" i="6"/>
  <c r="I2065" i="6" s="1"/>
  <c r="A2065" i="6" s="1"/>
  <c r="A5" i="6"/>
  <c r="G2235" i="6"/>
  <c r="F2254" i="6" s="1"/>
  <c r="F2235" i="6"/>
  <c r="G2254" i="6" s="1"/>
  <c r="A1133" i="6"/>
  <c r="A389" i="6"/>
  <c r="F387" i="6"/>
  <c r="H387" i="6" s="1"/>
  <c r="I2229" i="6"/>
  <c r="A2229" i="6" s="1"/>
  <c r="F20" i="8"/>
  <c r="I2227" i="6"/>
  <c r="A2227" i="6" s="1"/>
  <c r="F18" i="8"/>
  <c r="F2230" i="6"/>
  <c r="H2230" i="6" s="1"/>
  <c r="F40" i="16"/>
  <c r="F45" i="16"/>
  <c r="A1181" i="6"/>
  <c r="F37" i="14"/>
  <c r="H37" i="14" s="1"/>
  <c r="F31" i="14"/>
  <c r="H31" i="14" s="1"/>
  <c r="I695" i="6"/>
  <c r="N23" i="15"/>
  <c r="H2234" i="6"/>
  <c r="I2234" i="6" s="1"/>
  <c r="A2234" i="6" s="1"/>
  <c r="H2130" i="6"/>
  <c r="I2130" i="6" s="1"/>
  <c r="A2130" i="6" s="1"/>
  <c r="F2258" i="6"/>
  <c r="H2258" i="6" s="1"/>
  <c r="I2258" i="6" s="1"/>
  <c r="G2244" i="6"/>
  <c r="A1007" i="6"/>
  <c r="A952" i="6"/>
  <c r="A1806" i="6"/>
  <c r="I1244" i="6"/>
  <c r="A1244" i="6" s="1"/>
  <c r="F2228" i="6"/>
  <c r="H1917" i="6"/>
  <c r="I1917" i="6" s="1"/>
  <c r="A1917" i="6" s="1"/>
  <c r="G1820" i="6"/>
  <c r="A2127" i="6"/>
  <c r="A2182" i="6"/>
  <c r="H148" i="6"/>
  <c r="I148" i="6" s="1"/>
  <c r="F147" i="6"/>
  <c r="E147" i="6"/>
  <c r="F21" i="15" s="1"/>
  <c r="H2066" i="6"/>
  <c r="I2066" i="6" s="1"/>
  <c r="A2066" i="6" s="1"/>
  <c r="A2239" i="6"/>
  <c r="H2242" i="6"/>
  <c r="I2242" i="6" s="1"/>
  <c r="H2247" i="6"/>
  <c r="F42" i="7"/>
  <c r="H388" i="6"/>
  <c r="I694" i="6"/>
  <c r="F2255" i="6"/>
  <c r="H2255" i="6" s="1"/>
  <c r="F27" i="8" s="1"/>
  <c r="G2236" i="6"/>
  <c r="J99" i="14"/>
  <c r="L99" i="14" s="1"/>
  <c r="L95" i="14"/>
  <c r="A1245" i="6"/>
  <c r="F104" i="14" l="1"/>
  <c r="H104" i="14" s="1"/>
  <c r="A148" i="6"/>
  <c r="F7" i="14"/>
  <c r="F23" i="15"/>
  <c r="H2061" i="6"/>
  <c r="I2061" i="6" s="1"/>
  <c r="F48" i="15" s="1"/>
  <c r="G2040" i="6"/>
  <c r="G1933" i="6" s="1"/>
  <c r="F2232" i="6"/>
  <c r="I2230" i="6"/>
  <c r="A2230" i="6" s="1"/>
  <c r="F21" i="8"/>
  <c r="F43" i="16"/>
  <c r="F46" i="16" s="1"/>
  <c r="F48" i="16" s="1"/>
  <c r="F50" i="16" s="1"/>
  <c r="F15" i="16"/>
  <c r="G18" i="7"/>
  <c r="A695" i="6"/>
  <c r="I2255" i="6"/>
  <c r="I2247" i="6"/>
  <c r="A2247" i="6" s="1"/>
  <c r="H147" i="6"/>
  <c r="H1893" i="6"/>
  <c r="I1893" i="6" s="1"/>
  <c r="H2236" i="6"/>
  <c r="I2236" i="6" s="1"/>
  <c r="A2236" i="6" s="1"/>
  <c r="H2254" i="6"/>
  <c r="F26" i="8" s="1"/>
  <c r="G2232" i="6"/>
  <c r="A694" i="6"/>
  <c r="I388" i="6"/>
  <c r="A2242" i="6"/>
  <c r="H2244" i="6"/>
  <c r="I2244" i="6" s="1"/>
  <c r="H2228" i="6"/>
  <c r="A2258" i="6"/>
  <c r="H2235" i="6"/>
  <c r="I2235" i="6" s="1"/>
  <c r="A2235" i="6" s="1"/>
  <c r="J7" i="14" l="1"/>
  <c r="J13" i="14" s="1"/>
  <c r="F13" i="14"/>
  <c r="A2061" i="6"/>
  <c r="H1933" i="6"/>
  <c r="I1933" i="6" s="1"/>
  <c r="A1933" i="6" s="1"/>
  <c r="H2040" i="6"/>
  <c r="I2040" i="6" s="1"/>
  <c r="H2232" i="6"/>
  <c r="I2232" i="6" s="1"/>
  <c r="I2228" i="6"/>
  <c r="A2228" i="6" s="1"/>
  <c r="F19" i="8"/>
  <c r="A388" i="6"/>
  <c r="A2255" i="6"/>
  <c r="I147" i="6"/>
  <c r="L21" i="15" s="1"/>
  <c r="H21" i="15" s="1"/>
  <c r="G1805" i="6"/>
  <c r="H1820" i="6"/>
  <c r="I1820" i="6" s="1"/>
  <c r="A2244" i="6"/>
  <c r="A1893" i="6"/>
  <c r="F46" i="15" l="1"/>
  <c r="F49" i="15" s="1"/>
  <c r="A2040" i="6"/>
  <c r="A147" i="6"/>
  <c r="A2232" i="6"/>
  <c r="I2254" i="6"/>
  <c r="F23" i="8"/>
  <c r="F14" i="16"/>
  <c r="F16" i="16" s="1"/>
  <c r="F18" i="16" s="1"/>
  <c r="F18" i="7"/>
  <c r="A1820" i="6"/>
  <c r="H1805" i="6"/>
  <c r="A2254" i="6" l="1"/>
  <c r="I1805" i="6"/>
  <c r="I2260" i="6" l="1"/>
  <c r="A2260" i="6" s="1"/>
  <c r="A1805" i="6"/>
  <c r="I2262" i="6" l="1"/>
  <c r="A2262" i="6" s="1"/>
  <c r="G2261" i="6"/>
  <c r="H2261" i="6" l="1"/>
  <c r="I2261" i="6" s="1"/>
  <c r="A2261" i="6" s="1"/>
  <c r="A1091" i="6" l="1"/>
  <c r="A1090" i="6"/>
  <c r="E1094" i="6" l="1"/>
  <c r="A1095" i="6"/>
  <c r="I1094" i="6" l="1"/>
  <c r="A1094" i="6" s="1"/>
  <c r="E1089" i="6"/>
  <c r="E1084" i="6" s="1"/>
  <c r="E1036" i="6" l="1"/>
  <c r="I1089" i="6"/>
  <c r="A1089" i="6" s="1"/>
  <c r="G19" i="7" l="1"/>
  <c r="G22" i="7" s="1"/>
  <c r="G24" i="7" s="1"/>
  <c r="G45" i="7"/>
  <c r="G48" i="7" s="1"/>
  <c r="G50" i="7" s="1"/>
  <c r="G52" i="7" s="1"/>
  <c r="E387" i="6"/>
  <c r="E3" i="6" s="1"/>
  <c r="I1036" i="6"/>
  <c r="I1084" i="6"/>
  <c r="F19" i="7" l="1"/>
  <c r="F45" i="7"/>
  <c r="F107" i="14"/>
  <c r="H107" i="14" s="1"/>
  <c r="A1036" i="6"/>
  <c r="J52" i="7"/>
  <c r="I387" i="6"/>
  <c r="E2264" i="6"/>
  <c r="F35" i="14"/>
  <c r="H35" i="14" s="1"/>
  <c r="A1084" i="6"/>
  <c r="F22" i="7" l="1"/>
  <c r="F24" i="7" s="1"/>
  <c r="I16" i="10" s="1"/>
  <c r="H41" i="14"/>
  <c r="F41" i="14"/>
  <c r="F48" i="7"/>
  <c r="F50" i="7" s="1"/>
  <c r="A387" i="6"/>
  <c r="H112" i="14"/>
  <c r="F112" i="14"/>
  <c r="I34" i="10" l="1"/>
  <c r="I14" i="10"/>
  <c r="I36" i="10"/>
  <c r="I10" i="10"/>
  <c r="I18" i="10"/>
  <c r="I22" i="10"/>
  <c r="I26" i="10"/>
  <c r="I20" i="10"/>
  <c r="I12" i="10"/>
  <c r="I30" i="10"/>
  <c r="I8" i="10"/>
  <c r="I32" i="10"/>
  <c r="I38" i="10"/>
  <c r="I24" i="10"/>
  <c r="I28" i="10"/>
  <c r="I40" i="10"/>
  <c r="H23" i="15"/>
  <c r="L23" i="15"/>
  <c r="G33" i="8" l="1"/>
  <c r="G14" i="8"/>
  <c r="F1650" i="6" l="1"/>
  <c r="H1650" i="6" s="1"/>
  <c r="I1650" i="6" s="1"/>
  <c r="F1634" i="6" l="1"/>
  <c r="A1650" i="6"/>
  <c r="G2223" i="6"/>
  <c r="H1634" i="6" l="1"/>
  <c r="I1634" i="6" s="1"/>
  <c r="H2223" i="6"/>
  <c r="A1634" i="6" l="1"/>
  <c r="F11" i="8"/>
  <c r="I2223" i="6"/>
  <c r="A2223" i="6" s="1"/>
  <c r="G1571" i="6"/>
  <c r="H1571" i="6" l="1"/>
  <c r="I1571" i="6" s="1"/>
  <c r="H1633" i="6"/>
  <c r="I1633" i="6" s="1"/>
  <c r="F6" i="15"/>
  <c r="F9" i="15" s="1"/>
  <c r="H2222" i="6" l="1"/>
  <c r="F2231" i="6"/>
  <c r="G2231" i="6"/>
  <c r="F2253" i="6" s="1"/>
  <c r="A1633" i="6"/>
  <c r="A1571" i="6"/>
  <c r="G2221" i="6" l="1"/>
  <c r="H2231" i="6"/>
  <c r="I2231" i="6" s="1"/>
  <c r="F2221" i="6"/>
  <c r="G2253" i="6"/>
  <c r="F10" i="8"/>
  <c r="I2222" i="6"/>
  <c r="A2222" i="6" s="1"/>
  <c r="A2231" i="6" l="1"/>
  <c r="H2253" i="6"/>
  <c r="F14" i="8"/>
  <c r="I6" i="11" s="1"/>
  <c r="H2221" i="6"/>
  <c r="I2221" i="6" s="1"/>
  <c r="A2221" i="6" l="1"/>
  <c r="I18" i="11"/>
  <c r="I20" i="11"/>
  <c r="I30" i="11"/>
  <c r="I10" i="11"/>
  <c r="I8" i="11"/>
  <c r="I24" i="11"/>
  <c r="I22" i="11"/>
  <c r="I26" i="11"/>
  <c r="I16" i="11"/>
  <c r="I12" i="11"/>
  <c r="I14" i="11"/>
  <c r="F25" i="8"/>
  <c r="I2253" i="6"/>
  <c r="A2253" i="6" s="1"/>
  <c r="F2241" i="6"/>
  <c r="G1739" i="6"/>
  <c r="G1570" i="6" s="1"/>
  <c r="G2241" i="6" l="1"/>
  <c r="G2243" i="6" s="1"/>
  <c r="F2256" i="6" s="1"/>
  <c r="F1739" i="6"/>
  <c r="F1570" i="6" s="1"/>
  <c r="H1788" i="6"/>
  <c r="I1788" i="6" s="1"/>
  <c r="H2241" i="6" l="1"/>
  <c r="I2241" i="6" s="1"/>
  <c r="F2252" i="6"/>
  <c r="H1739" i="6"/>
  <c r="I1739" i="6" s="1"/>
  <c r="F75" i="15" s="1"/>
  <c r="F2243" i="6"/>
  <c r="A1788" i="6"/>
  <c r="G2240" i="6"/>
  <c r="A2241" i="6" l="1"/>
  <c r="H1570" i="6"/>
  <c r="H2243" i="6"/>
  <c r="I2243" i="6" s="1"/>
  <c r="G2256" i="6"/>
  <c r="F2240" i="6"/>
  <c r="A1739" i="6"/>
  <c r="A2243" i="6" l="1"/>
  <c r="I1570" i="6"/>
  <c r="A1570" i="6" s="1"/>
  <c r="F2193" i="6"/>
  <c r="F2264" i="6" s="1"/>
  <c r="H2240" i="6"/>
  <c r="I2240" i="6" s="1"/>
  <c r="G2252" i="6"/>
  <c r="H2256" i="6"/>
  <c r="A2240" i="6" l="1"/>
  <c r="F3" i="6"/>
  <c r="G2193" i="6"/>
  <c r="H2252" i="6"/>
  <c r="I2252" i="6" s="1"/>
  <c r="F28" i="8"/>
  <c r="I2256" i="6"/>
  <c r="A2256" i="6" s="1"/>
  <c r="F31" i="7" l="1"/>
  <c r="F32" i="7" s="1"/>
  <c r="F34" i="7" s="1"/>
  <c r="F52" i="7" s="1"/>
  <c r="I52" i="7" s="1"/>
  <c r="H1" i="5" s="1"/>
  <c r="A2252" i="6"/>
  <c r="G3" i="6"/>
  <c r="S3" i="6" s="1"/>
  <c r="G2264" i="6"/>
  <c r="G2266" i="6" s="1"/>
  <c r="H2193" i="6"/>
  <c r="F29" i="8"/>
  <c r="F30" i="8" s="1"/>
  <c r="I28" i="11"/>
  <c r="I32" i="11" l="1"/>
  <c r="F31" i="8"/>
  <c r="F33" i="8" s="1"/>
  <c r="I2193" i="6"/>
  <c r="H2264" i="6"/>
  <c r="H3" i="6"/>
  <c r="I3" i="6" l="1"/>
  <c r="I2264" i="6"/>
  <c r="I2266" i="6" s="1"/>
  <c r="A2193" i="6"/>
  <c r="F1" i="5" l="1"/>
  <c r="G1" i="5" s="1"/>
</calcChain>
</file>

<file path=xl/sharedStrings.xml><?xml version="1.0" encoding="utf-8"?>
<sst xmlns="http://schemas.openxmlformats.org/spreadsheetml/2006/main" count="7965" uniqueCount="2100">
  <si>
    <t>Relatório de Contas</t>
  </si>
  <si>
    <t>PRESSUPOSTOS</t>
  </si>
  <si>
    <t>Ano:</t>
  </si>
  <si>
    <t>Cliente:</t>
  </si>
  <si>
    <t>NIF:</t>
  </si>
  <si>
    <t>N.º de Empregados</t>
  </si>
  <si>
    <t>BALANÇO EM</t>
  </si>
  <si>
    <t>Datas de Fecho:</t>
  </si>
  <si>
    <t>DEMONSTRAÇÃO DE RESULTADOS EM</t>
  </si>
  <si>
    <t xml:space="preserve">DEMONSTRAÇÃO DE FLUXOS DE CAIXA EM </t>
  </si>
  <si>
    <t>Lançamentos</t>
  </si>
  <si>
    <t>Salários</t>
  </si>
  <si>
    <t>Pag_Sal</t>
  </si>
  <si>
    <t>Salários Pagto</t>
  </si>
  <si>
    <t>Salários IRT</t>
  </si>
  <si>
    <t>Salários INSS</t>
  </si>
  <si>
    <t>Salários INSS (Trab.)</t>
  </si>
  <si>
    <t>Salários INSS (Ent.)</t>
  </si>
  <si>
    <t>Subs_Natal</t>
  </si>
  <si>
    <t>Subsidio de Natal Pagto</t>
  </si>
  <si>
    <t>Subsidio de Natal</t>
  </si>
  <si>
    <t>Subs_Férias</t>
  </si>
  <si>
    <t>Subsidio de Férias</t>
  </si>
  <si>
    <t>Imp_Selo</t>
  </si>
  <si>
    <t>Liquidação Imp. Selo</t>
  </si>
  <si>
    <t>Tel_Net</t>
  </si>
  <si>
    <t>Dsp_FST</t>
  </si>
  <si>
    <t>UNITEL Recarga</t>
  </si>
  <si>
    <t>Gasolina</t>
  </si>
  <si>
    <t>Gás</t>
  </si>
  <si>
    <t>Água</t>
  </si>
  <si>
    <t>Eletricidade</t>
  </si>
  <si>
    <t>Outras Desp.</t>
  </si>
  <si>
    <t>Pagamento Diversos</t>
  </si>
  <si>
    <t>Limpeza</t>
  </si>
  <si>
    <t>Compra Mat. Limp. Hig.</t>
  </si>
  <si>
    <t>PrtSegConf</t>
  </si>
  <si>
    <t>Compra Mat. PrtSegConf</t>
  </si>
  <si>
    <t>Recargas</t>
  </si>
  <si>
    <t>Rest_Hotel</t>
  </si>
  <si>
    <t>Despesas Diversas</t>
  </si>
  <si>
    <t>Representação</t>
  </si>
  <si>
    <t>Publicidade</t>
  </si>
  <si>
    <t>Ferramentas</t>
  </si>
  <si>
    <t>Gasoleo</t>
  </si>
  <si>
    <t>Mat_Contrução</t>
  </si>
  <si>
    <t>Mat. Const. Divrs</t>
  </si>
  <si>
    <t>Obras</t>
  </si>
  <si>
    <t>Mão-de-obra 3º</t>
  </si>
  <si>
    <t>Revisões</t>
  </si>
  <si>
    <t>Revisões Viaturas</t>
  </si>
  <si>
    <t>Revisões Viaturas material</t>
  </si>
  <si>
    <t>Revisões Viaturas mão-de-obra</t>
  </si>
  <si>
    <t>Outr_Mat</t>
  </si>
  <si>
    <t>Mat. Divrs</t>
  </si>
  <si>
    <t>Alimentação</t>
  </si>
  <si>
    <t>Alimentação Pessoal</t>
  </si>
  <si>
    <t>Compra Alimentos</t>
  </si>
  <si>
    <t>Caixa Kwanza</t>
  </si>
  <si>
    <t>Mat_Escrt</t>
  </si>
  <si>
    <t>Compra diversos estritório</t>
  </si>
  <si>
    <t>Eqpt_Adm</t>
  </si>
  <si>
    <t>Compra diversos</t>
  </si>
  <si>
    <t>Contabilidade</t>
  </si>
  <si>
    <t>Rendas</t>
  </si>
  <si>
    <t>Renda Instalações</t>
  </si>
  <si>
    <t>Cpr_ViatPes</t>
  </si>
  <si>
    <t>Cmpr_Imo</t>
  </si>
  <si>
    <t>Compra Camião</t>
  </si>
  <si>
    <t>Cpr_ViatLig</t>
  </si>
  <si>
    <t>Compra Automóvel</t>
  </si>
  <si>
    <t>Imobilizado</t>
  </si>
  <si>
    <t>Amrtz_Imo</t>
  </si>
  <si>
    <t>Amortização Sinotruck</t>
  </si>
  <si>
    <t>Alg_TPA</t>
  </si>
  <si>
    <t>Conc_Bnk_CxAng</t>
  </si>
  <si>
    <t>Aluguer TPA</t>
  </si>
  <si>
    <t>Cheques</t>
  </si>
  <si>
    <t>Livro de cheques</t>
  </si>
  <si>
    <t>Imp_Selo_Bnk</t>
  </si>
  <si>
    <t>Imposto selo</t>
  </si>
  <si>
    <t>Acrt_Sld</t>
  </si>
  <si>
    <t>Acerto Saldo</t>
  </si>
  <si>
    <t>Desp_Bnk</t>
  </si>
  <si>
    <t>Despesas Bancárias</t>
  </si>
  <si>
    <t>Amrtzc_ELD</t>
  </si>
  <si>
    <t>Exportação</t>
  </si>
  <si>
    <t>Exp_Mer</t>
  </si>
  <si>
    <t>Venda a clientes (Exportação)</t>
  </si>
  <si>
    <t>Venda a clientes Merc (Exportação)</t>
  </si>
  <si>
    <t>Venda a clientes (Exportação) Pagto</t>
  </si>
  <si>
    <t>Venda a clientes (Exportação) TX Pagto</t>
  </si>
  <si>
    <t>Importação</t>
  </si>
  <si>
    <t>Imp_Mrc</t>
  </si>
  <si>
    <t>Compra Merc. Diversas (Importação)</t>
  </si>
  <si>
    <t>Compra Merc. Diversas (Importação) Armz</t>
  </si>
  <si>
    <t>Compra Merc. Diversas (Importação) Pagto</t>
  </si>
  <si>
    <t>Compra Merc. Diversas (importação) Pagto</t>
  </si>
  <si>
    <t>Impostos sobre importação</t>
  </si>
  <si>
    <t>Custos Impostos sobre importação</t>
  </si>
  <si>
    <t>Pagamentos Imp. Importação</t>
  </si>
  <si>
    <t>Vnd_Mer_Nac</t>
  </si>
  <si>
    <t>Vnd_Merc</t>
  </si>
  <si>
    <t>Venda a clientes</t>
  </si>
  <si>
    <t>Venda a clientes Merc</t>
  </si>
  <si>
    <t>Venda a clientes Pagto</t>
  </si>
  <si>
    <t>Compr_Merc</t>
  </si>
  <si>
    <t>Compra Mercadorias Diversas</t>
  </si>
  <si>
    <t>Compra Mercadorias Diversas Armz</t>
  </si>
  <si>
    <t>Compra Mercadorias Diversas Pagto</t>
  </si>
  <si>
    <t>Pres_Serv</t>
  </si>
  <si>
    <t>Prestação de Serviços Obra Nº</t>
  </si>
  <si>
    <t>Prestação de Serviços Obra Nº Ret. Fonte</t>
  </si>
  <si>
    <t>Prestação de Serviços Obra Nº Pagto</t>
  </si>
  <si>
    <t>Prestação de Serviços Obra Nº Serv. Terceiros</t>
  </si>
  <si>
    <t>ABR_IsLucros</t>
  </si>
  <si>
    <t>Pag_IsL</t>
  </si>
  <si>
    <t>Pagamento IsL</t>
  </si>
  <si>
    <t>ABR_Pag_Div</t>
  </si>
  <si>
    <t>Pag_Div</t>
  </si>
  <si>
    <t>Pagamento de Dividendos</t>
  </si>
  <si>
    <t>ABR_Lucros</t>
  </si>
  <si>
    <t>Lucros</t>
  </si>
  <si>
    <t>ABERTURA  ANO 2015</t>
  </si>
  <si>
    <t>Seguros</t>
  </si>
  <si>
    <t>Desp_Pess</t>
  </si>
  <si>
    <t>Seguros Trabalho</t>
  </si>
  <si>
    <t>21 Caixa</t>
  </si>
  <si>
    <t>Pgto</t>
  </si>
  <si>
    <t>Pgto Taxas</t>
  </si>
  <si>
    <t>Rcbto</t>
  </si>
  <si>
    <t>Rcbto Empréstimo</t>
  </si>
  <si>
    <t>INSS</t>
  </si>
  <si>
    <t>Pgto INSS</t>
  </si>
  <si>
    <t>IRT</t>
  </si>
  <si>
    <t>Pgto IRT</t>
  </si>
  <si>
    <t>IPC</t>
  </si>
  <si>
    <t>Pgto IPC</t>
  </si>
  <si>
    <t>Pgto Imposto Selo</t>
  </si>
  <si>
    <t>IsL 2%</t>
  </si>
  <si>
    <t>Pgto IsL 2%</t>
  </si>
  <si>
    <t>Rf_6,5%</t>
  </si>
  <si>
    <t>Pgto Rf Fornecedor</t>
  </si>
  <si>
    <t>31 Bancos</t>
  </si>
  <si>
    <t>Recibo Cliente</t>
  </si>
  <si>
    <t>Dep_Num</t>
  </si>
  <si>
    <t>Depósito Numerário</t>
  </si>
  <si>
    <t>Adtmto</t>
  </si>
  <si>
    <t>Adiantamento Cliente Cliente</t>
  </si>
  <si>
    <t>Dsp_Bnk</t>
  </si>
  <si>
    <t>Chq_Bnk</t>
  </si>
  <si>
    <t>Emissão Cheques</t>
  </si>
  <si>
    <t>Cms_Bnk</t>
  </si>
  <si>
    <t>Comissão</t>
  </si>
  <si>
    <t>Chq_Cx</t>
  </si>
  <si>
    <t>Cheque de caixa</t>
  </si>
  <si>
    <t>Chq_Erp</t>
  </si>
  <si>
    <t>Cheque de caixa ERP</t>
  </si>
  <si>
    <t>Tranf_Ent</t>
  </si>
  <si>
    <t>Transf. Para Iberestradas</t>
  </si>
  <si>
    <t>32 Bancos</t>
  </si>
  <si>
    <t>Pgto_Fncd</t>
  </si>
  <si>
    <t>Pgto Fornecedor</t>
  </si>
  <si>
    <t>41 Compras</t>
  </si>
  <si>
    <t>Cmp_Crd</t>
  </si>
  <si>
    <t>Compra a fornecedor</t>
  </si>
  <si>
    <t>Cmp_Dnh</t>
  </si>
  <si>
    <t>42 FST</t>
  </si>
  <si>
    <t>51 Vendas</t>
  </si>
  <si>
    <t>56 VD</t>
  </si>
  <si>
    <t>Vnd_Dinh</t>
  </si>
  <si>
    <t>Venda a Dinheiro</t>
  </si>
  <si>
    <t>61 Salários</t>
  </si>
  <si>
    <t>Proc_Sal</t>
  </si>
  <si>
    <t>Processamento de salários</t>
  </si>
  <si>
    <t>Pgto_Sal</t>
  </si>
  <si>
    <t>Pgto Salários</t>
  </si>
  <si>
    <t>Amortização Transf. 500 Kva</t>
  </si>
  <si>
    <t>DATA</t>
  </si>
  <si>
    <t xml:space="preserve">N.º </t>
  </si>
  <si>
    <t>CÓD. CONTA</t>
  </si>
  <si>
    <t>NOME DA CONTA</t>
  </si>
  <si>
    <t>DESCRITIVO</t>
  </si>
  <si>
    <t>DÉBITO</t>
  </si>
  <si>
    <t>CRÉDITO</t>
  </si>
  <si>
    <t>Prest_Sup</t>
  </si>
  <si>
    <t>Prestações Suplementares</t>
  </si>
  <si>
    <t>Imposto de Produção e Consumo</t>
  </si>
  <si>
    <t>Prestação de Serviços</t>
  </si>
  <si>
    <t>x</t>
  </si>
  <si>
    <t>BALANCETE ANALÍTICO APURAMENTO RESULTADOS</t>
  </si>
  <si>
    <t>CRL 0,00</t>
  </si>
  <si>
    <t>TIPO</t>
  </si>
  <si>
    <t>CÓDIGO</t>
  </si>
  <si>
    <t>DESCRICAO</t>
  </si>
  <si>
    <t>SALDO ANTERIOR</t>
  </si>
  <si>
    <t>DÉBITO PERIODO</t>
  </si>
  <si>
    <t>CRÉDITO PERIODO</t>
  </si>
  <si>
    <t>SALDO PERIODO</t>
  </si>
  <si>
    <t>SALDO ACUMULADO</t>
  </si>
  <si>
    <t>CL</t>
  </si>
  <si>
    <t>MEIOS FIXOS E INVESTIMENTOS</t>
  </si>
  <si>
    <t>R</t>
  </si>
  <si>
    <t>IMOBILIZAÇÕES CORPÓREAS</t>
  </si>
  <si>
    <t>I</t>
  </si>
  <si>
    <t>Terrenos e Recursos Naturais</t>
  </si>
  <si>
    <t>M</t>
  </si>
  <si>
    <t>Terrenos em Bruto</t>
  </si>
  <si>
    <t>Terrenos com Arranjos</t>
  </si>
  <si>
    <t>Subsolos</t>
  </si>
  <si>
    <t>Terrenos com edificios</t>
  </si>
  <si>
    <t>Relativos edificios industriais</t>
  </si>
  <si>
    <t>Relativos edi. administrativos/come</t>
  </si>
  <si>
    <t>Relativos a outros edificios</t>
  </si>
  <si>
    <t>Edificios e outras Construções</t>
  </si>
  <si>
    <t>Edificios</t>
  </si>
  <si>
    <t>Integrados em conjuntos industriais</t>
  </si>
  <si>
    <t>Integrados em conj.adm.e comerciais</t>
  </si>
  <si>
    <t>Outros conjuntos industriais</t>
  </si>
  <si>
    <t>Implantados em propriedade alheia</t>
  </si>
  <si>
    <t>Outras construções</t>
  </si>
  <si>
    <t>Instalações posto transformador</t>
  </si>
  <si>
    <t>Equipamento básico</t>
  </si>
  <si>
    <t>Material Industrial</t>
  </si>
  <si>
    <t>Contentor Marítimo</t>
  </si>
  <si>
    <t>Ferramentas industriais</t>
  </si>
  <si>
    <t>Melhoramentos em equip.básicos</t>
  </si>
  <si>
    <t>Empilhadora</t>
  </si>
  <si>
    <t>Equipamento de carga e transporte</t>
  </si>
  <si>
    <t>Veiculos pesados</t>
  </si>
  <si>
    <t>Veiculos mistos e ligeiros</t>
  </si>
  <si>
    <t>Nissan Navara LD -07-66 DQ</t>
  </si>
  <si>
    <t>Suzuki Grand Vitara LD-05-65-EF</t>
  </si>
  <si>
    <t>Nissan Micra LD-95-52-FZ</t>
  </si>
  <si>
    <t>Plataforma Articulado Piego 1985x750</t>
  </si>
  <si>
    <t>SSANGYON Rexton RX LD-28-34-GD</t>
  </si>
  <si>
    <t xml:space="preserve">Nissan Micra HB 4AT </t>
  </si>
  <si>
    <t>JMC Conquer 3360 LD-88-46-GK</t>
  </si>
  <si>
    <t>Motorizada</t>
  </si>
  <si>
    <t>Equipamento administrativo</t>
  </si>
  <si>
    <t>Equipamento informatico</t>
  </si>
  <si>
    <t xml:space="preserve">Equipamento social </t>
  </si>
  <si>
    <t>Equipamento Social</t>
  </si>
  <si>
    <t>Mobiliário</t>
  </si>
  <si>
    <t>AR Condicionado SPLIT 9000BTU MS9A- 09CR</t>
  </si>
  <si>
    <t>Outros</t>
  </si>
  <si>
    <t>Cofre</t>
  </si>
  <si>
    <t>Taras e vasilhame</t>
  </si>
  <si>
    <t>Embalagens retornáveis</t>
  </si>
  <si>
    <t>Outras taras e outras embalagens</t>
  </si>
  <si>
    <t>Outras imobilizações corpóreas</t>
  </si>
  <si>
    <t>Obras em edíficios alheios</t>
  </si>
  <si>
    <t>Tanque de Água</t>
  </si>
  <si>
    <t>IMOBILIZAÇÕES INCORPOREAS</t>
  </si>
  <si>
    <t>Banco.......</t>
  </si>
  <si>
    <t>Trespasses</t>
  </si>
  <si>
    <t>Trespasse ......</t>
  </si>
  <si>
    <t>Desp.investiga. e desenvolvimento</t>
  </si>
  <si>
    <t xml:space="preserve">Propriedade industrial e outros </t>
  </si>
  <si>
    <t>Despesas de constituição</t>
  </si>
  <si>
    <t>Outras imobilizações incorporeas</t>
  </si>
  <si>
    <t>INVESTIMENTOS FINANCEIROS</t>
  </si>
  <si>
    <t>Empresas subsidiarias</t>
  </si>
  <si>
    <t>Partes de capital</t>
  </si>
  <si>
    <t>Obrigações e tít.de participação</t>
  </si>
  <si>
    <t>Empréstimos</t>
  </si>
  <si>
    <t>Empresas associadas</t>
  </si>
  <si>
    <t>Outras empresas</t>
  </si>
  <si>
    <t>Investimentos em imoveis</t>
  </si>
  <si>
    <t>...</t>
  </si>
  <si>
    <t>Fundos</t>
  </si>
  <si>
    <t>Outros investimentos financeiros</t>
  </si>
  <si>
    <t>Diamantes</t>
  </si>
  <si>
    <t>Ouro</t>
  </si>
  <si>
    <t>Depósitps bancários</t>
  </si>
  <si>
    <t>IMOBILIZAÇÕES EM CURSO</t>
  </si>
  <si>
    <t>Obra em curso</t>
  </si>
  <si>
    <t>Imobilizações em curso</t>
  </si>
  <si>
    <t>Obras Balneário refeitório e escritório</t>
  </si>
  <si>
    <t>Obras em Moradia</t>
  </si>
  <si>
    <t>Adiantamentos p/conta imob.incorp.</t>
  </si>
  <si>
    <t>Adiantamentos p/conta de investim.</t>
  </si>
  <si>
    <t>AMORTIZAÇÕES ACUMULADAS</t>
  </si>
  <si>
    <t>Imobilizações corporeas</t>
  </si>
  <si>
    <t>Terrenos e recursos naturais</t>
  </si>
  <si>
    <t>Edificios e outras construções</t>
  </si>
  <si>
    <t>Ac</t>
  </si>
  <si>
    <t>Imobilizações incorporeas</t>
  </si>
  <si>
    <t>Investimentos financ.em imoveis</t>
  </si>
  <si>
    <t>PROVISOES P/ INVEST.FINANCEIROS</t>
  </si>
  <si>
    <t>Empresas subsidiarais</t>
  </si>
  <si>
    <t>Outros investi. financeiros</t>
  </si>
  <si>
    <t>Depósitos bancários</t>
  </si>
  <si>
    <t>EXISTÊNCIAS</t>
  </si>
  <si>
    <t>COMPRAS</t>
  </si>
  <si>
    <t>Materias-primas, subs. e de consumo</t>
  </si>
  <si>
    <t>Matérias primas</t>
  </si>
  <si>
    <t>Mp.-Mercado Nacional</t>
  </si>
  <si>
    <t>Mp.MN-Custo de factura</t>
  </si>
  <si>
    <t>Mp.MN-imputações</t>
  </si>
  <si>
    <t>Mp.-Mercado Estrangeiro</t>
  </si>
  <si>
    <t>Mp.-Mercado Africano</t>
  </si>
  <si>
    <t>Mp.MA-Custo de factura</t>
  </si>
  <si>
    <t>Mp.MA-imputações</t>
  </si>
  <si>
    <t>Mp.-Outros Mercados</t>
  </si>
  <si>
    <t>Mp.OM-Custo de factura</t>
  </si>
  <si>
    <t>Mp.OM-imputações</t>
  </si>
  <si>
    <t>Matérias subsídiárias</t>
  </si>
  <si>
    <t>Ms.-Mercado Nacional</t>
  </si>
  <si>
    <t>Ms.MN-Custo de factura</t>
  </si>
  <si>
    <t>Ms.MN-imputações</t>
  </si>
  <si>
    <t>Ms.-Mercado Africano</t>
  </si>
  <si>
    <t>Ms.MA-Custo de factura</t>
  </si>
  <si>
    <t>Ms.MA-imputações</t>
  </si>
  <si>
    <t>Ms.-Outros Mercados</t>
  </si>
  <si>
    <t>Ms.OM-Custo de factura</t>
  </si>
  <si>
    <t>Ms.OM-imputações</t>
  </si>
  <si>
    <t>Materiais diversos</t>
  </si>
  <si>
    <t>Md.-Mercado Nacional</t>
  </si>
  <si>
    <t>Md.MN-Custo de factura</t>
  </si>
  <si>
    <t>Md.MN-imputações</t>
  </si>
  <si>
    <t>Md.-Mercado Africano</t>
  </si>
  <si>
    <t>Md.MA-Custo de factura</t>
  </si>
  <si>
    <t>Md.MA-imputações</t>
  </si>
  <si>
    <t>Md.-Outros Mercados</t>
  </si>
  <si>
    <t>Md.OM-Custo de factura</t>
  </si>
  <si>
    <t>Md.OM-imputações</t>
  </si>
  <si>
    <t>Embalagens de consumo</t>
  </si>
  <si>
    <t>Ec.-Mercado Nacional</t>
  </si>
  <si>
    <t>Ec.MN-Custo de factura</t>
  </si>
  <si>
    <t>Ec.MN-imputações</t>
  </si>
  <si>
    <t>Ec.Mercado estrangeiro</t>
  </si>
  <si>
    <t>Ec.-Mercado Africano</t>
  </si>
  <si>
    <t>Ec.MA-Custo de factura</t>
  </si>
  <si>
    <t>Ec.MA-imputações</t>
  </si>
  <si>
    <t>Ec.-Outros Mercados</t>
  </si>
  <si>
    <t>Ec.OM-Custo de factura</t>
  </si>
  <si>
    <t>Ec.OM-imputações</t>
  </si>
  <si>
    <t>Outros materiais</t>
  </si>
  <si>
    <t>Om.-Mercado Nacional</t>
  </si>
  <si>
    <t>Om.MN-Custo de factura</t>
  </si>
  <si>
    <t>Om.MN-imputações</t>
  </si>
  <si>
    <t>Om.-Mercado estrangeiro</t>
  </si>
  <si>
    <t>Om.-Mercado Africano</t>
  </si>
  <si>
    <t>Om.MA-Custo de factura</t>
  </si>
  <si>
    <t>Om.MA-imputações</t>
  </si>
  <si>
    <t>Om.-Outros Mercados</t>
  </si>
  <si>
    <t>Om.OM-Custo de factura</t>
  </si>
  <si>
    <t>Om.OM-imputações</t>
  </si>
  <si>
    <t>Mercadorias</t>
  </si>
  <si>
    <t>Mr.-Mercado Nacional</t>
  </si>
  <si>
    <t>Mr.MN-Custo de factura</t>
  </si>
  <si>
    <t>Mr.MN-imputações</t>
  </si>
  <si>
    <t>Mr.-Mercado estrangeiro</t>
  </si>
  <si>
    <t>Mr.-Mercado Africano</t>
  </si>
  <si>
    <t>Mr.MA-Custo de factura</t>
  </si>
  <si>
    <t>Mr.MA-imputações</t>
  </si>
  <si>
    <t>Mr.-Outros Mercados</t>
  </si>
  <si>
    <t>Mr.OM-Custo de factura</t>
  </si>
  <si>
    <t>Mr.OM-imputações</t>
  </si>
  <si>
    <t>Embalagens</t>
  </si>
  <si>
    <t>Em.-Mercado Nacional</t>
  </si>
  <si>
    <t>Em.MN-Custo de factura</t>
  </si>
  <si>
    <t>Em.MN-imputações</t>
  </si>
  <si>
    <t>Em.-Mercado estrangeiro</t>
  </si>
  <si>
    <t>Em.-Mercado Africano</t>
  </si>
  <si>
    <t>Em.MA-Custo de factura</t>
  </si>
  <si>
    <t>Em.MA-imputações</t>
  </si>
  <si>
    <t>Em.-Outros Mercados</t>
  </si>
  <si>
    <t>Em.OM-Custo de factura</t>
  </si>
  <si>
    <t>Em.OM-imputações</t>
  </si>
  <si>
    <t>Devoluções de compras</t>
  </si>
  <si>
    <t>Materias-primas, súbs.e de consumo</t>
  </si>
  <si>
    <t>Mp-Mercado estrangeiro</t>
  </si>
  <si>
    <t>Ms.-Mercado estrangeiro</t>
  </si>
  <si>
    <t xml:space="preserve">Md.-Mercado estrangeiro </t>
  </si>
  <si>
    <t>Ec.-Mercado estrangeiro</t>
  </si>
  <si>
    <t>Descontos Abatimentos em compras</t>
  </si>
  <si>
    <t>Adiantamentos de Clientes</t>
  </si>
  <si>
    <t>MATERIAS PRIMAS SUB. DE CONSUMO</t>
  </si>
  <si>
    <t>Materias primas</t>
  </si>
  <si>
    <t>Mp-Existências</t>
  </si>
  <si>
    <t>Mp-Ap.Custo exist.vend.e cons.</t>
  </si>
  <si>
    <t>Materias subsidiarias</t>
  </si>
  <si>
    <t>Ms-Existências</t>
  </si>
  <si>
    <t>Ms-Ap.Custo exist.vend.e cons.</t>
  </si>
  <si>
    <t>Md-Existências</t>
  </si>
  <si>
    <t>Md-Ap.Custo exist.vend.e cons.</t>
  </si>
  <si>
    <t>Ec-Existências</t>
  </si>
  <si>
    <t>Ec-Ap.Custo exist.vend.e cons.</t>
  </si>
  <si>
    <t>Om-Existências</t>
  </si>
  <si>
    <t>Om-Ap.Custo exist.vend.e cons.</t>
  </si>
  <si>
    <t>Adiantamentos a Fornecedores</t>
  </si>
  <si>
    <t>PRODUTOS E TRABALHOS EM CURSO</t>
  </si>
  <si>
    <t>Ptc-Existências</t>
  </si>
  <si>
    <t>PRODUTOS ACABADOS E INTERMÉDIOS</t>
  </si>
  <si>
    <t>Produtos acabados</t>
  </si>
  <si>
    <t>Pa-Existências</t>
  </si>
  <si>
    <t>Produtos intermedios</t>
  </si>
  <si>
    <t>Pi-Existências</t>
  </si>
  <si>
    <t>Em poder de terceiros</t>
  </si>
  <si>
    <t>Ppt-Existências</t>
  </si>
  <si>
    <t>SUB-PRODUTOS DESP.,RESIDUOS REFUGO</t>
  </si>
  <si>
    <t>Sub-produtos</t>
  </si>
  <si>
    <t>Sp-Existências</t>
  </si>
  <si>
    <t>Desperdicios, residuos e refugos</t>
  </si>
  <si>
    <t>Drr-Existências</t>
  </si>
  <si>
    <t>MERCADORIAS</t>
  </si>
  <si>
    <t>Merc-Existências</t>
  </si>
  <si>
    <t>Merc-Ap.Custo exist.vend.e cons.</t>
  </si>
  <si>
    <t>Em-Existências</t>
  </si>
  <si>
    <t>Em-Ap.Custo exist.vend.e cons.</t>
  </si>
  <si>
    <t>MATERIAS PRIMAS,MERC,MAT,TRANSITO</t>
  </si>
  <si>
    <t>ADIANT.POR CONTA DE COMPRAS</t>
  </si>
  <si>
    <t>Materias-primas e outros materiais</t>
  </si>
  <si>
    <t>PROVISÃO P/DEPRE. DE EXISTENCIAS</t>
  </si>
  <si>
    <t>Materias-primas subsidi. e consumo</t>
  </si>
  <si>
    <t>Produtos e trabalhos em curso</t>
  </si>
  <si>
    <t>Produtos acabados e intermedios</t>
  </si>
  <si>
    <t>Sub-prod.,desperdicios,residuos ref</t>
  </si>
  <si>
    <t>TERCEIROS</t>
  </si>
  <si>
    <t>CLIENTES</t>
  </si>
  <si>
    <t>Clientes correntes</t>
  </si>
  <si>
    <t>Grupo</t>
  </si>
  <si>
    <t>Subsidiarias</t>
  </si>
  <si>
    <t>Nacionais</t>
  </si>
  <si>
    <t>…</t>
  </si>
  <si>
    <t>Estrangeiros</t>
  </si>
  <si>
    <t>Associadas</t>
  </si>
  <si>
    <t>Não grupo</t>
  </si>
  <si>
    <t>Barbara Brito</t>
  </si>
  <si>
    <t>AFROENG-Engenharia e Const S.A</t>
  </si>
  <si>
    <t>Afavias Engª &amp; Const Lda</t>
  </si>
  <si>
    <t>UEM-Unid. Estruturas Metálicas, SA</t>
  </si>
  <si>
    <t>UB-Universal Business,Lda</t>
  </si>
  <si>
    <t>Topoduarte Topografia e Imob, Lda</t>
  </si>
  <si>
    <t>EDIFER Angola, SA</t>
  </si>
  <si>
    <t>SIR- Sociedade Mineira S.A</t>
  </si>
  <si>
    <t>Mota-Engil Angola,S.A</t>
  </si>
  <si>
    <t>Matra Engenharia e Construção, Lda</t>
  </si>
  <si>
    <t>Angolaca Construções, S.A</t>
  </si>
  <si>
    <t>Ludeir Lda</t>
  </si>
  <si>
    <t>José Mateus Adelino Peixoto</t>
  </si>
  <si>
    <t>Zagope Angola-Const. e Engª. SA</t>
  </si>
  <si>
    <t>Tecnasol FGE- Fundações e Geotecnica</t>
  </si>
  <si>
    <t>A.E.M.R. -Angola Exploration M. Resources, SA</t>
  </si>
  <si>
    <t>NALCO Angola, Lda.</t>
  </si>
  <si>
    <t>Engevia- Const Civil Obras Públicas, Lda</t>
  </si>
  <si>
    <t>Urasul Lda</t>
  </si>
  <si>
    <t>Obradek Angola, Lda</t>
  </si>
  <si>
    <t>CND - Comp Nac Distribuição Lda</t>
  </si>
  <si>
    <t>UTGSL-Unid Téc Gestão Saneamento Luanda</t>
  </si>
  <si>
    <t>Cedrus Lda</t>
  </si>
  <si>
    <t>Nicon Lda</t>
  </si>
  <si>
    <t>Soc. Const. Soares da Costa SA</t>
  </si>
  <si>
    <t>NBR-Eng. c. Civil O.Pub. e Proj Lda</t>
  </si>
  <si>
    <t>Grupo Dezema, Lda</t>
  </si>
  <si>
    <t>OMATAPALO-Eng. e Construção, Lda.</t>
  </si>
  <si>
    <t>CLEAR- Instalações Mecânicas,Lda</t>
  </si>
  <si>
    <t>MSF Engenharia Angola, Lda</t>
  </si>
  <si>
    <t>Ibersol Angola,S.A.</t>
  </si>
  <si>
    <t>Novacâmbios Angola SARL</t>
  </si>
  <si>
    <t>Realtransfer - Agência Pagtos de Angola,Lda</t>
  </si>
  <si>
    <t>Bascotecnica,Lda</t>
  </si>
  <si>
    <t>Pumangol, SA</t>
  </si>
  <si>
    <t>Cummins Angola, Lda</t>
  </si>
  <si>
    <t>Casais Angola, Lda.</t>
  </si>
  <si>
    <t>TV Cabo Angola, SA</t>
  </si>
  <si>
    <t>ALL Dores Open Corp, Lda</t>
  </si>
  <si>
    <t>Queirós Ribeiro Angola, Lda</t>
  </si>
  <si>
    <t>Quinzolda - C.G. Prest.Serviços, Lda</t>
  </si>
  <si>
    <t>COMIDIS - (Angola) Prod. Farmacetica, Lda</t>
  </si>
  <si>
    <t>Empedra, Lda</t>
  </si>
  <si>
    <t>Clube Naval de Luanda</t>
  </si>
  <si>
    <t>Fidelis Transitários - Unipessoal, Lda</t>
  </si>
  <si>
    <t>Grimaldi A. Navegação</t>
  </si>
  <si>
    <t>Steel Shape Modular System, Lda</t>
  </si>
  <si>
    <t>Dibaia</t>
  </si>
  <si>
    <t>CRCL Consultória e Logistica, Lda</t>
  </si>
  <si>
    <t>Alfermetal</t>
  </si>
  <si>
    <t>Alaturca Pedras Naturais, Lda</t>
  </si>
  <si>
    <t>LYON- Contrução e Manut.Met.</t>
  </si>
  <si>
    <t>Vendap EF-Estruturas Metálicas e Alug. Equip, LDA</t>
  </si>
  <si>
    <t>SANGOBIAR-Metalomecânica e Serrelharia, SA</t>
  </si>
  <si>
    <t>MOKBEL Internacional Trading</t>
  </si>
  <si>
    <t>COFRIANG- Cofragens &amp; Andaimes, Lda</t>
  </si>
  <si>
    <t>FECOMAR- Rep. de Contentores e Transp</t>
  </si>
  <si>
    <t>PRUMO - Empreendimentos e Materiais Construção,Lda</t>
  </si>
  <si>
    <t>Grupo Amazona Holding</t>
  </si>
  <si>
    <t>IMPORMÁQUINAS - Comércio de Máquinas, Lda</t>
  </si>
  <si>
    <t>CORY, LDA</t>
  </si>
  <si>
    <t>CRISGUNZA</t>
  </si>
  <si>
    <t>CARMON Reestrutura Engenharia Serv.Tecn.Especiais</t>
  </si>
  <si>
    <t>GRINER - Engenharia, S.A.</t>
  </si>
  <si>
    <t>SICIM Angola, Lda</t>
  </si>
  <si>
    <t>ENTEK - Construção Civil e Obras Públicas, Lda</t>
  </si>
  <si>
    <t>Administração Municipal do N'Zeto</t>
  </si>
  <si>
    <t>DILANDA - Prestação Serviços e Construção Civil</t>
  </si>
  <si>
    <t>GRACYESPERANÇA, Lda</t>
  </si>
  <si>
    <t>José António Martins da Costa</t>
  </si>
  <si>
    <t>Normetal Construcción Modular, S.L.</t>
  </si>
  <si>
    <t>Alfredo Francisco de Oliveira</t>
  </si>
  <si>
    <t>COMATEL, Lda</t>
  </si>
  <si>
    <t>MARINA BAÍA</t>
  </si>
  <si>
    <t>PISONORT Engenharia, Lda</t>
  </si>
  <si>
    <t>Rudi-Água, Lda</t>
  </si>
  <si>
    <t>CATOCA - Sociedade Mineira de Catoca, Lda</t>
  </si>
  <si>
    <t>PUENTES Y CALZADAS INFRAESTRUCTURAS,SLU-Suc.Angola</t>
  </si>
  <si>
    <t>Organizações Jorge Afonso</t>
  </si>
  <si>
    <t>PROMETEUS - Serviços Limpeza e Higiene, Lda</t>
  </si>
  <si>
    <t>NOVANGOLA - Nova Agência Geral Angolana</t>
  </si>
  <si>
    <t>COPEBE-Security Service Angola, Lda</t>
  </si>
  <si>
    <t>CIMONTUBO Angola</t>
  </si>
  <si>
    <t>Banco Económico, S.A.</t>
  </si>
  <si>
    <t>EFACEC Angola, Lda</t>
  </si>
  <si>
    <t>BEYOND - Logistic Service e Distribuition, Lda</t>
  </si>
  <si>
    <t>ALPAR - Finanças e Investimentos, S.A.</t>
  </si>
  <si>
    <t>IMOGESTIN, S.A</t>
  </si>
  <si>
    <t>Clinica Sagrada Esperança, Lda</t>
  </si>
  <si>
    <t>Edyachts, Lda</t>
  </si>
  <si>
    <t>LUBRITEC, Lda</t>
  </si>
  <si>
    <t>LTP Energias, Lda</t>
  </si>
  <si>
    <t>CEIFAR - INVESTIMENTOS, LDA</t>
  </si>
  <si>
    <t>ROBERT HUDSON, LDA</t>
  </si>
  <si>
    <t>SUSHI LOUNGE, LDA</t>
  </si>
  <si>
    <t>Filipa Romeu Pedreira</t>
  </si>
  <si>
    <t>Ferrum</t>
  </si>
  <si>
    <t>Luzia António Dos Santos E Silva</t>
  </si>
  <si>
    <t>INBOBE</t>
  </si>
  <si>
    <t>Motortech serviços</t>
  </si>
  <si>
    <t>Angomart</t>
  </si>
  <si>
    <t>Grupo F.Kulalame</t>
  </si>
  <si>
    <t>Jeammireh Comércio e serviços (SU), Lda</t>
  </si>
  <si>
    <t>Grupo Terra Sul. Lda</t>
  </si>
  <si>
    <t>Asperbras Veículos Comerciais, Lda</t>
  </si>
  <si>
    <t>Diversos</t>
  </si>
  <si>
    <t>Clientes-titulos a receber</t>
  </si>
  <si>
    <t>….</t>
  </si>
  <si>
    <t>Clientes-titulos descontados</t>
  </si>
  <si>
    <t>Compras-Embalagens</t>
  </si>
  <si>
    <t>Compras-Mat. Primas,Subsid.,Consumo</t>
  </si>
  <si>
    <t>Compras-Matérias Subsidiárias</t>
  </si>
  <si>
    <t>Compras-Materiais Diversos</t>
  </si>
  <si>
    <t>Clientes Retenções</t>
  </si>
  <si>
    <t>Retenções Lei7/97</t>
  </si>
  <si>
    <t>Engevia, Lda</t>
  </si>
  <si>
    <t>Griner-Engenharia, S.A</t>
  </si>
  <si>
    <t>Banco Economico</t>
  </si>
  <si>
    <t>Nalco Angola Lda</t>
  </si>
  <si>
    <t>Efacec Angola, Lda</t>
  </si>
  <si>
    <t>Devoluções-Matérias Subsidiárias</t>
  </si>
  <si>
    <t>Clientes de cobrança duvidosa</t>
  </si>
  <si>
    <t>Clientes-titulos</t>
  </si>
  <si>
    <t>Desc.Abat.Cmp-Matérias Subsidiárias</t>
  </si>
  <si>
    <t>Clientes-saldos credores</t>
  </si>
  <si>
    <t>Adiantamentos</t>
  </si>
  <si>
    <t>Angolaca - Construções S.A</t>
  </si>
  <si>
    <t>EDIFER-Angola, SA</t>
  </si>
  <si>
    <t>SIR - Sociedade Mineira S.A</t>
  </si>
  <si>
    <t>UB - Universal Bussiness, Lda</t>
  </si>
  <si>
    <t>Afavias Engª e Const Lda</t>
  </si>
  <si>
    <t>Mota-Engil Angola S.A</t>
  </si>
  <si>
    <t>Engevia-Const. Civil Ob. Públicas, Lda</t>
  </si>
  <si>
    <t>OMATAPALO-Eng. e Construção, Lda</t>
  </si>
  <si>
    <t>Cummins Angola Lda</t>
  </si>
  <si>
    <t>Casais Angola, Lda</t>
  </si>
  <si>
    <t>Soc. Const. Soares da Costa, SA</t>
  </si>
  <si>
    <t>José M. Adelino Peixoto</t>
  </si>
  <si>
    <t>Imocozi Cozinhas e Ropeiros</t>
  </si>
  <si>
    <t>Ibersol Angola, S.A</t>
  </si>
  <si>
    <t>Pumangola, SA</t>
  </si>
  <si>
    <t>Dilanda, Construções Angola</t>
  </si>
  <si>
    <t>SILUZ- Distribuidora,Lda</t>
  </si>
  <si>
    <t>Prumo-Empreendimentos e Materiais Construção, Lda</t>
  </si>
  <si>
    <t>IBERSOL ANGOLA, SA</t>
  </si>
  <si>
    <t>NOVACÂMBIOS ANGOLA - Casa de Câmbios S.A.R.L.</t>
  </si>
  <si>
    <t>REALTRANSFER - Agência Pagamentos de Angola, Lda</t>
  </si>
  <si>
    <t>BASCOTECNICA, LDA</t>
  </si>
  <si>
    <t>PUMANGOL, LDA</t>
  </si>
  <si>
    <t>CASAIS ANGOLA</t>
  </si>
  <si>
    <t>TV CABO ANGOLA, LDA</t>
  </si>
  <si>
    <t>ALL DORS OPEN CORP., LDA</t>
  </si>
  <si>
    <t>QUEIRÓS RIBEIRO ANGOLA, LDA</t>
  </si>
  <si>
    <t>QUINZOLADA - Com Geral e Prest. de Serviço, LDA</t>
  </si>
  <si>
    <t>COMIDIS (ANGOLA) PROD. FARMACEUTICOS, LDA</t>
  </si>
  <si>
    <t>EMPEDRA, LDA</t>
  </si>
  <si>
    <t>FIDELIS TRANSITÁRIOS - UNIPESSOAL, LDA</t>
  </si>
  <si>
    <t>STEEL SHAPE MODULAR SYSTEM, LDA</t>
  </si>
  <si>
    <t>CRCL Consultoria e Logística, LDA</t>
  </si>
  <si>
    <t>ALFERMETAL</t>
  </si>
  <si>
    <t>ALATURCA PEDRAS NATURAIS, LDA</t>
  </si>
  <si>
    <t>LYON - Construções e Manut. Metalomecânicas, SA</t>
  </si>
  <si>
    <t>VENDAP EF-Estruturas Metálicas e Alug. Equip, Lda</t>
  </si>
  <si>
    <t>SANGOBIAR Metalomecânica e Serrelharia, SA</t>
  </si>
  <si>
    <t>COFRIANG - Cofragens &amp; Andaimes, Lda</t>
  </si>
  <si>
    <t>FECOMAR - Rep. de Contentores e Transportes, Lda</t>
  </si>
  <si>
    <t>Embalagens a devolver</t>
  </si>
  <si>
    <t>Material á consignação</t>
  </si>
  <si>
    <t>FORNECEDORES</t>
  </si>
  <si>
    <t>Fornecedores-correntes</t>
  </si>
  <si>
    <t>HIPER ELECTRO</t>
  </si>
  <si>
    <t>AKI Cómercio &amp; Serviços, Lda</t>
  </si>
  <si>
    <t>Angoeléctrica - Soc.Dist.Material Eléctrico, Lda</t>
  </si>
  <si>
    <t>PERFISA ANGOLA - Comércio e Indústria, Lda</t>
  </si>
  <si>
    <t>IRMALEX, S.A</t>
  </si>
  <si>
    <t>Gameiro Advogados, Lda.</t>
  </si>
  <si>
    <t>CCTS-Consultoria,Contas,Tec. e Serviços,Lda</t>
  </si>
  <si>
    <t>Viana Hotel, Lda</t>
  </si>
  <si>
    <t>O Feliz Angola, Lda</t>
  </si>
  <si>
    <t>Hertz</t>
  </si>
  <si>
    <t>GA-Agola Seguros, SA.</t>
  </si>
  <si>
    <t>SM - Solda Metal-Estruturas Metálicas</t>
  </si>
  <si>
    <t>GARCH-Auditoria e Consultoria, S.A</t>
  </si>
  <si>
    <t>GA- Angola Seguros Insurance</t>
  </si>
  <si>
    <t>RAR - Comérico e Indústria, Lda.</t>
  </si>
  <si>
    <t>R.O.C- Riverstone Oaks Corporation</t>
  </si>
  <si>
    <t>LTI-Logistica e Transportes Integrados, Lda</t>
  </si>
  <si>
    <t>Prefor Betão Forte, Lda</t>
  </si>
  <si>
    <t xml:space="preserve">CONSTRUÇÕES ARC, SA </t>
  </si>
  <si>
    <t>Eurostral, Lda.</t>
  </si>
  <si>
    <t>EUROGRUAS Angola, SA</t>
  </si>
  <si>
    <t>ICC Angola, Lda</t>
  </si>
  <si>
    <t>Transguedes, Lda</t>
  </si>
  <si>
    <t>Metalosul -  Grupo Chicoil</t>
  </si>
  <si>
    <t>Mestre &amp; Mestres Lda</t>
  </si>
  <si>
    <t>Côry Lda</t>
  </si>
  <si>
    <t>Serra e Coelho Elect Eletro Domest, Lda</t>
  </si>
  <si>
    <t>SSANGYON Auto Competição Angola Lda</t>
  </si>
  <si>
    <t>Construobras Lda</t>
  </si>
  <si>
    <t>Iris-Fast, Lda.</t>
  </si>
  <si>
    <t>UB-Universal Business,S.A.</t>
  </si>
  <si>
    <t>Cimertex Angola-Soc.Maq. e Equip. Lda</t>
  </si>
  <si>
    <t>Iniciativa Comunicações Angola, Lda</t>
  </si>
  <si>
    <t>Américo Bastos Marquier Abreu, Lda</t>
  </si>
  <si>
    <t>MMC-Maria Manuela Correia advogados</t>
  </si>
  <si>
    <t>Confidencial-Aud. e Consultoria,Lda</t>
  </si>
  <si>
    <t>SA - Só Angola, SA</t>
  </si>
  <si>
    <t>Tepsol Angola,Lda</t>
  </si>
  <si>
    <t>Sun Life- Hotelaria e Turismo,Lda</t>
  </si>
  <si>
    <t>LMP-Indust de Perfis e Portas Lda</t>
  </si>
  <si>
    <t>Imporquímica Angola</t>
  </si>
  <si>
    <t>Tecansil-Prestação de serviços</t>
  </si>
  <si>
    <t>Pisocentro - Construção Civil Lda</t>
  </si>
  <si>
    <t>Mestre &amp; Mestres</t>
  </si>
  <si>
    <t>Socassoma, Lda</t>
  </si>
  <si>
    <t>Miquilina Serv.Canalizadora</t>
  </si>
  <si>
    <t>Unitel,SA.</t>
  </si>
  <si>
    <t>Zamba, Lda</t>
  </si>
  <si>
    <t>VilaEspa</t>
  </si>
  <si>
    <t>Trading Constroi</t>
  </si>
  <si>
    <t>Muniferas, Lda.</t>
  </si>
  <si>
    <t>Maria J.C.de Almeida</t>
  </si>
  <si>
    <t>Vidreira de Viana, Lda.</t>
  </si>
  <si>
    <t>Mundifer - M. Ferramentas, Lda</t>
  </si>
  <si>
    <t>ServeSegura- Serv. Seg. e Vigilânc., Lda</t>
  </si>
  <si>
    <t>Bela Business</t>
  </si>
  <si>
    <t>Metalica de Angola, Lda.</t>
  </si>
  <si>
    <t>Edifer Angola, S.A</t>
  </si>
  <si>
    <t>GEOIDE - Gabinete Apoio Topografico</t>
  </si>
  <si>
    <t>Grupo Japlomar, Comercio Geral</t>
  </si>
  <si>
    <t>Extruang</t>
  </si>
  <si>
    <t>Maria Odete Ferreira Seixas</t>
  </si>
  <si>
    <t>Abreaão Serafim Zengo</t>
  </si>
  <si>
    <t>Imocozi - Cozinhas e Roupeiros</t>
  </si>
  <si>
    <t>CI&amp;MA-Compostos. &amp; Maq.Angola, Lda</t>
  </si>
  <si>
    <t>MOPIC-Sociedade Comercial de Angola, Lda</t>
  </si>
  <si>
    <t>Importrading Comercio Geral</t>
  </si>
  <si>
    <t>Armazens Continental, Lda</t>
  </si>
  <si>
    <t>Multimec(ANGOLA)</t>
  </si>
  <si>
    <t>Afriperfil</t>
  </si>
  <si>
    <t>TV Cabo</t>
  </si>
  <si>
    <t>NEUCE - O Futuro da Tinta</t>
  </si>
  <si>
    <t>SILUZ- Distribuidora A. de Maerial Electrico, Lda</t>
  </si>
  <si>
    <t>Pêra Produtos de Interior</t>
  </si>
  <si>
    <t>Sotal, Lda</t>
  </si>
  <si>
    <t>ITAG-Instituto Tecnologico de Gás</t>
  </si>
  <si>
    <t>Nova Sintra</t>
  </si>
  <si>
    <t>LISMOD-Direct Imobiliaria</t>
  </si>
  <si>
    <t>Bermor comercial</t>
  </si>
  <si>
    <t>Perfisa Angola</t>
  </si>
  <si>
    <t>INTEL- Geradores e Purificadores de Agua</t>
  </si>
  <si>
    <t>Organizações Capita</t>
  </si>
  <si>
    <t>SOFTBAS</t>
  </si>
  <si>
    <t>H.F.M</t>
  </si>
  <si>
    <t>FAUSPINTA</t>
  </si>
  <si>
    <t>JJ MARTINS</t>
  </si>
  <si>
    <t>MP e Irmão ,LDA</t>
  </si>
  <si>
    <t>Naiber Lobito</t>
  </si>
  <si>
    <t>Ferpinta Angola,LDA</t>
  </si>
  <si>
    <t>Epic Sana</t>
  </si>
  <si>
    <t>T-Maq_Tratomaquinas</t>
  </si>
  <si>
    <t>Decor Stone, SU</t>
  </si>
  <si>
    <t>Pinto Basto Angola</t>
  </si>
  <si>
    <t>BONWS Seguros</t>
  </si>
  <si>
    <t>HFM</t>
  </si>
  <si>
    <t>Prometeus-Soluções de Higiene</t>
  </si>
  <si>
    <t>TDA</t>
  </si>
  <si>
    <t>SLE-Comércio e Indústria de Material Elétrico Lda</t>
  </si>
  <si>
    <t>GracyEsperança, Lda</t>
  </si>
  <si>
    <t>Mendac (SU), Lda</t>
  </si>
  <si>
    <t>Sabores de Luanda,  Lda</t>
  </si>
  <si>
    <t>Kinda Home</t>
  </si>
  <si>
    <t xml:space="preserve">Socinger, Lda </t>
  </si>
  <si>
    <t xml:space="preserve">Rev - Stone, Lda </t>
  </si>
  <si>
    <t xml:space="preserve">R.G.P., Lda </t>
  </si>
  <si>
    <t xml:space="preserve">Ferpinta Angola </t>
  </si>
  <si>
    <t xml:space="preserve">HSA - Protenção, Lda </t>
  </si>
  <si>
    <t xml:space="preserve">Hotel Tropico </t>
  </si>
  <si>
    <t>Formação e Manutenção Médica</t>
  </si>
  <si>
    <t>Grupo Pão Doce</t>
  </si>
  <si>
    <t>Kustus</t>
  </si>
  <si>
    <t>Alprome</t>
  </si>
  <si>
    <t>Perfis Palanca</t>
  </si>
  <si>
    <t>Joma Alves</t>
  </si>
  <si>
    <t>Vendap EF</t>
  </si>
  <si>
    <t>Catoca-Sociedade Mineira de Catoca Lda</t>
  </si>
  <si>
    <t>CBJB Serviços de Estafetas, Lda</t>
  </si>
  <si>
    <t>Kexi-Empreendimentos Hoteleiros,Lda</t>
  </si>
  <si>
    <t>Creat2inspire Media, Lda</t>
  </si>
  <si>
    <t>PrintLab</t>
  </si>
  <si>
    <t>Certar</t>
  </si>
  <si>
    <t>Solar Luboia, Lda</t>
  </si>
  <si>
    <t>TranspOliveiras, Lda</t>
  </si>
  <si>
    <t>Carpinangola</t>
  </si>
  <si>
    <t>WINS,SA</t>
  </si>
  <si>
    <t>Sérgio Espirito Santos Soares</t>
  </si>
  <si>
    <t>Prime Conta-Contabilidade e Impostos, Lda</t>
  </si>
  <si>
    <t>Tangola-const. Civil e Obras Publicas, Lda</t>
  </si>
  <si>
    <t>Limpágua Angola, Lda</t>
  </si>
  <si>
    <t>Oxigem-Gráfica Digital, Lda</t>
  </si>
  <si>
    <t>Consultores Ambientais, Empresas e espaços Lda</t>
  </si>
  <si>
    <t>Second Life</t>
  </si>
  <si>
    <t>Proaluga</t>
  </si>
  <si>
    <t>David Pereira Delgado</t>
  </si>
  <si>
    <t>Massiv Bau</t>
  </si>
  <si>
    <t>Irmalex</t>
  </si>
  <si>
    <t>Modus-Transportes, SA</t>
  </si>
  <si>
    <t>Transerra Angola,Lda</t>
  </si>
  <si>
    <t>Olicargo Angola</t>
  </si>
  <si>
    <t>Turbocar</t>
  </si>
  <si>
    <t>VCAngola, Cozinhas e Equipamentos Lda</t>
  </si>
  <si>
    <t>Realvitur Angola</t>
  </si>
  <si>
    <t>Domingos Alberto Holeno</t>
  </si>
  <si>
    <t>Lumona</t>
  </si>
  <si>
    <t>Sistec</t>
  </si>
  <si>
    <t>Trirumo</t>
  </si>
  <si>
    <t>Travel Alive</t>
  </si>
  <si>
    <t>Grupo Pmetal - Projectos Metalicos (SU), Lda</t>
  </si>
  <si>
    <t>PIAGGIO</t>
  </si>
  <si>
    <t>Toyota de Angola</t>
  </si>
  <si>
    <t>Manuel de Jesus Teixeira</t>
  </si>
  <si>
    <t>Carpe Diem</t>
  </si>
  <si>
    <t>Leonel Pedro Audiovisuais</t>
  </si>
  <si>
    <t>Malu Frio</t>
  </si>
  <si>
    <t>Fernando Virgílio de Almeida Mendes</t>
  </si>
  <si>
    <t>Agrinsul</t>
  </si>
  <si>
    <t xml:space="preserve">José Brinco e Filhos </t>
  </si>
  <si>
    <t>Metrok</t>
  </si>
  <si>
    <t>Bricomat</t>
  </si>
  <si>
    <t>Acail</t>
  </si>
  <si>
    <t>Superview</t>
  </si>
  <si>
    <t>Madtec-Mecânica Auto</t>
  </si>
  <si>
    <t>Pulicações Directas,S.A.</t>
  </si>
  <si>
    <t>JLR-Construções Unip, Lda</t>
  </si>
  <si>
    <t>SOLVANG - Sistemas Informaticos, Lda</t>
  </si>
  <si>
    <t xml:space="preserve"> BTM-Viagem e Turismo,Lda</t>
  </si>
  <si>
    <t>Nortravel, Lda.</t>
  </si>
  <si>
    <t>Aegis Information Tecnologies</t>
  </si>
  <si>
    <t>Alivé, Lda.</t>
  </si>
  <si>
    <t>Corte Ingés, SA</t>
  </si>
  <si>
    <t xml:space="preserve"> Transitex - Trânsitos de Extremadura, S.A</t>
  </si>
  <si>
    <t>Sorebel, Lda.</t>
  </si>
  <si>
    <t>P.S.L. Navegação</t>
  </si>
  <si>
    <t>Normetal Construccion Modular, S.L</t>
  </si>
  <si>
    <t>DJDIN-Industria e Comercio,Lda</t>
  </si>
  <si>
    <t>Armasul-Distribuidor de materiais eléctrico,SA</t>
  </si>
  <si>
    <t>Fornecedores-titulos a pagar</t>
  </si>
  <si>
    <t>CAPI38 COMÉRCIO E INDUSTRIA</t>
  </si>
  <si>
    <t>PINTASOYO, LDA</t>
  </si>
  <si>
    <t>Fornecedores-fac.em rec.conferencia</t>
  </si>
  <si>
    <t xml:space="preserve">   </t>
  </si>
  <si>
    <t>Fornecedores-saldos devedores</t>
  </si>
  <si>
    <t>Carlos José da Silva e Sousa</t>
  </si>
  <si>
    <t>FERMAT- Ferramentas e Materiais, S.A.</t>
  </si>
  <si>
    <t>R&amp; Som Tuning Com. G. Ind. Imp. Exp., Lda - LUB</t>
  </si>
  <si>
    <t>Alfredo José da Cruz Passos</t>
  </si>
  <si>
    <t>Mestre&amp;Mestres Lda</t>
  </si>
  <si>
    <t>Trading Constroi, Lda</t>
  </si>
  <si>
    <t>Vidreira de Vianai, Lda</t>
  </si>
  <si>
    <t>Vendap EF-Estruturas Met. e Equip. Lda</t>
  </si>
  <si>
    <t>Cimertex Angola- Soc. Maq. e Equip. Lda</t>
  </si>
  <si>
    <t>Filfogo Angola, S.A</t>
  </si>
  <si>
    <t>Grupo Japlomar, Lda.</t>
  </si>
  <si>
    <t>Conspral Lda</t>
  </si>
  <si>
    <t>JMF Angola Lda</t>
  </si>
  <si>
    <t>Socassoma Lda</t>
  </si>
  <si>
    <t>Mundifardas Lda</t>
  </si>
  <si>
    <t>O Feliz Angola, Lda.</t>
  </si>
  <si>
    <t>RAR - Comercio e Industria, Lda.</t>
  </si>
  <si>
    <t>MP- Irmão, Lda</t>
  </si>
  <si>
    <t>Afriperfil - Indústria de Perfiis, Lda.</t>
  </si>
  <si>
    <t>IMOCOZI-Cozinhas e Roupeiros, Lda</t>
  </si>
  <si>
    <t>Multimac (Angola)</t>
  </si>
  <si>
    <t>L &amp; M Exprress</t>
  </si>
  <si>
    <t>Ferpinta Angola-Comercial</t>
  </si>
  <si>
    <t>Dilanda - Construções-Angola</t>
  </si>
  <si>
    <t>Santos - Pintasoyo</t>
  </si>
  <si>
    <t>Jardim de viana</t>
  </si>
  <si>
    <t>Robert Hudson</t>
  </si>
  <si>
    <t>Olicargo Transitario Angola, S.A</t>
  </si>
  <si>
    <t>FAMO</t>
  </si>
  <si>
    <t>EMPRESTIMOS</t>
  </si>
  <si>
    <t>Emprestimos bancários</t>
  </si>
  <si>
    <t>Curto prazo</t>
  </si>
  <si>
    <t>Moeda nacional</t>
  </si>
  <si>
    <t>Banco Millennium</t>
  </si>
  <si>
    <t>Moeda estrangeira</t>
  </si>
  <si>
    <t>Banco................</t>
  </si>
  <si>
    <t>Médio e longo prazo</t>
  </si>
  <si>
    <t>Banco….</t>
  </si>
  <si>
    <t>Banco ....</t>
  </si>
  <si>
    <t>Emprestimos por obrigações</t>
  </si>
  <si>
    <t>Convertiveis</t>
  </si>
  <si>
    <t>Entidade grupo</t>
  </si>
  <si>
    <t>Entidade não grupo</t>
  </si>
  <si>
    <t>Não convertiveis</t>
  </si>
  <si>
    <t xml:space="preserve">Emprestimos p/tittulos de particip </t>
  </si>
  <si>
    <t>Outros emprestimos obtidos</t>
  </si>
  <si>
    <t>ESTADO</t>
  </si>
  <si>
    <t>Imposto s/ lucros</t>
  </si>
  <si>
    <t>IL- imposto corrente</t>
  </si>
  <si>
    <t>IL- pagamentos por conta</t>
  </si>
  <si>
    <t>IL- retenção na fonte</t>
  </si>
  <si>
    <t>Rf - juros bancarios</t>
  </si>
  <si>
    <t>6.5%</t>
  </si>
  <si>
    <t>3.5%</t>
  </si>
  <si>
    <t>IL - apuramento</t>
  </si>
  <si>
    <t>IL - apagar</t>
  </si>
  <si>
    <t>IL - a recuperar</t>
  </si>
  <si>
    <t>Imposto de produção e consumo</t>
  </si>
  <si>
    <t>taxa reduzida</t>
  </si>
  <si>
    <t>IPC-LIQ.-PR.SERV.-TXRED-MERC. NAC.</t>
  </si>
  <si>
    <t>IPC-LIQ.-OP.GER-VND-TXRED-MERC.NAC.</t>
  </si>
  <si>
    <t>IPC-LIQ.-OP.GER-VND-TXNOR-MERC.NAC.</t>
  </si>
  <si>
    <t>IPC LIQ.OP.GERAIS VND TX.AG.I MN.</t>
  </si>
  <si>
    <t>IPC LIQ.OP.GERAIS VND TX.AG.II MN.</t>
  </si>
  <si>
    <t>IPC-LIQ.-PR.SERV.-TXNOR-MERC. NAC.</t>
  </si>
  <si>
    <t>IPC-REG. FE-VENDAS-TXRED-MERC. NAC.</t>
  </si>
  <si>
    <t>IPC-REG. FE-VENDAS-TXNOR-MERC. NAC.</t>
  </si>
  <si>
    <t>IPC REG. FE VENDAS TAXA AGR.I-MERC.</t>
  </si>
  <si>
    <t>IPC REG. FE VENDAS TAXA AGR.II-MERC</t>
  </si>
  <si>
    <t>IPC REG.FE P.S.TX RED MERC. NAC.</t>
  </si>
  <si>
    <t>IPC-REG.FE-PR.SERV.-TXNOR-MERC.NAC.</t>
  </si>
  <si>
    <t>Imposto de rendimento de trabalho</t>
  </si>
  <si>
    <t>IRT dependentes</t>
  </si>
  <si>
    <t>IRT independentes</t>
  </si>
  <si>
    <t>Imposto de circulação</t>
  </si>
  <si>
    <t>Segurança Social</t>
  </si>
  <si>
    <t>Segurança social</t>
  </si>
  <si>
    <t xml:space="preserve">Retenções </t>
  </si>
  <si>
    <t>Retenção 6,50%</t>
  </si>
  <si>
    <t>Retenção 3,5%</t>
  </si>
  <si>
    <t>IS - liquidado</t>
  </si>
  <si>
    <t>i</t>
  </si>
  <si>
    <t>IS - livros Comerciais</t>
  </si>
  <si>
    <t>IS - livros meia folha</t>
  </si>
  <si>
    <t>IS - recibos</t>
  </si>
  <si>
    <t>IS - recibos rendas</t>
  </si>
  <si>
    <t>IS - recibos outros</t>
  </si>
  <si>
    <t>Subsidios a preços</t>
  </si>
  <si>
    <t>Outros impostos</t>
  </si>
  <si>
    <t>IPU</t>
  </si>
  <si>
    <t>Contribuição Especial Sobre Operações Cambiais de Invisiveis Correntes</t>
  </si>
  <si>
    <t>ENTIDADES PART.E PARTICIPADAS</t>
  </si>
  <si>
    <t>Entidades Participantes</t>
  </si>
  <si>
    <t>Estado</t>
  </si>
  <si>
    <t>c/ subscrição</t>
  </si>
  <si>
    <t>c/ adiantamento sobre lucros</t>
  </si>
  <si>
    <t>c/ lucros</t>
  </si>
  <si>
    <t>Empresas do grupo-subsidiarias</t>
  </si>
  <si>
    <t>Empresas do grupo associadas</t>
  </si>
  <si>
    <t>UEM-Unidade de Estruturas Metalúrgicas,S.A.</t>
  </si>
  <si>
    <t>Joaquim Filipe Baptista</t>
  </si>
  <si>
    <t>António Luís da Graça Gameiro</t>
  </si>
  <si>
    <t>Entidades Participadas</t>
  </si>
  <si>
    <t>PESSOAL</t>
  </si>
  <si>
    <t>Pessoal - remunerações</t>
  </si>
  <si>
    <t>Orgaõs sociais</t>
  </si>
  <si>
    <t>Empregados</t>
  </si>
  <si>
    <t>Rodrigo Miguel M. da Costa</t>
  </si>
  <si>
    <t>Luís Miguel de Alcantâra Oliveira Sá</t>
  </si>
  <si>
    <t>Augusto António Tavares</t>
  </si>
  <si>
    <t>Miguel Pedro Duarte P. Baptista</t>
  </si>
  <si>
    <t>Adão Gonçalves Matos</t>
  </si>
  <si>
    <t>Alfredo Francisco Oliveira</t>
  </si>
  <si>
    <t>Sónia Pinto G. Boavida</t>
  </si>
  <si>
    <t>Manuel João Bongo Simão</t>
  </si>
  <si>
    <t>Edvaldo Pimbal da Cruz</t>
  </si>
  <si>
    <t>Eugénio Matos</t>
  </si>
  <si>
    <t>Venancia Alfredo</t>
  </si>
  <si>
    <t>José Manuel Muholo</t>
  </si>
  <si>
    <t>Maria Miguel Gongo</t>
  </si>
  <si>
    <t>Pinto Alberto</t>
  </si>
  <si>
    <t>Francisco Alexandre João</t>
  </si>
  <si>
    <t>João Augusto Gonga</t>
  </si>
  <si>
    <t>Bejamim Quitumba Simão</t>
  </si>
  <si>
    <t>Domingos Zenga</t>
  </si>
  <si>
    <t>Dario Silva</t>
  </si>
  <si>
    <t>Alice Pineu</t>
  </si>
  <si>
    <t>Nuno Manuel Freire Antunes</t>
  </si>
  <si>
    <t>Mário Nobre Fernandes</t>
  </si>
  <si>
    <t>Hotância Manuel Malungo</t>
  </si>
  <si>
    <t>Marcelo Neves</t>
  </si>
  <si>
    <t>Justino João Miguel</t>
  </si>
  <si>
    <t>Francisco Ernesto Calengue</t>
  </si>
  <si>
    <t>Pessoal Participações  Resultados</t>
  </si>
  <si>
    <t>Orgãos sociais</t>
  </si>
  <si>
    <t>Pessoal adiantamentos</t>
  </si>
  <si>
    <t>Francisco Alexandre</t>
  </si>
  <si>
    <t>Ana Bernardo</t>
  </si>
  <si>
    <t>Domingo Zenga</t>
  </si>
  <si>
    <t>Benjamin Simão</t>
  </si>
  <si>
    <t>Maria Gongo</t>
  </si>
  <si>
    <t>Justino Miguel</t>
  </si>
  <si>
    <t>marcelo Neves</t>
  </si>
  <si>
    <t>Antonio Carlos Fernandes da Silva</t>
  </si>
  <si>
    <t>Pessoal outros</t>
  </si>
  <si>
    <t>OUTROS VALORES A RECEBER E A PAGAR</t>
  </si>
  <si>
    <t>Compras de Imobilizado</t>
  </si>
  <si>
    <t>Corporeo</t>
  </si>
  <si>
    <t>MIllennium Leasing</t>
  </si>
  <si>
    <t>Vicente</t>
  </si>
  <si>
    <t>Millennium Leasing-Ford Ranger</t>
  </si>
  <si>
    <t>Millennium Leasing - Conquer 3360 D/C Luxury</t>
  </si>
  <si>
    <t xml:space="preserve">Millennium Leasing LS1001522 - Rexton </t>
  </si>
  <si>
    <t>Millennium Leasing LS1001523 - Conquer JMC</t>
  </si>
  <si>
    <t>Millennium Leasing LS2000028 - Ford Ranger</t>
  </si>
  <si>
    <t>FIDELIS-Transitários Unipessoal,Lda</t>
  </si>
  <si>
    <t>Incorporeo</t>
  </si>
  <si>
    <t>Financeiro</t>
  </si>
  <si>
    <t>37132-2</t>
  </si>
  <si>
    <t>Vendas de Imobilizado</t>
  </si>
  <si>
    <t>Proveitos a facturar</t>
  </si>
  <si>
    <t>Vendas</t>
  </si>
  <si>
    <t>Prestações de serviço</t>
  </si>
  <si>
    <t>Juros</t>
  </si>
  <si>
    <t>Encargos a repartir p/periodos fut.</t>
  </si>
  <si>
    <t>Descontos de emissão de obrigações</t>
  </si>
  <si>
    <t>Descontos  emissão tit.de part.</t>
  </si>
  <si>
    <t>Ramo Acidente de Trabalho</t>
  </si>
  <si>
    <t>Ramo Viatura</t>
  </si>
  <si>
    <t>Ramo saúde</t>
  </si>
  <si>
    <t>Outros Encargos</t>
  </si>
  <si>
    <t>IPU - Imp Predial Urbano</t>
  </si>
  <si>
    <t>Encargos a pagar</t>
  </si>
  <si>
    <t>Remunerações</t>
  </si>
  <si>
    <t>Férias e Subsídio de Férias</t>
  </si>
  <si>
    <t>Duodécimos Férias,Sub Férias e Natal</t>
  </si>
  <si>
    <t>Juros - Encargos a pagar</t>
  </si>
  <si>
    <t>Encargos c/ Imp. Selo s/ Vendas</t>
  </si>
  <si>
    <t>Acrescimos de Custo</t>
  </si>
  <si>
    <t>Proveitos a rep.p/ periodos futuros</t>
  </si>
  <si>
    <t>Premios de emissão de obrigações</t>
  </si>
  <si>
    <t>Premios de emissão tít.de partic.</t>
  </si>
  <si>
    <t>Subsídios para investimento</t>
  </si>
  <si>
    <t>Diferenças de cambio favor.revers.</t>
  </si>
  <si>
    <t>Contas transitorias</t>
  </si>
  <si>
    <t>Transacções sede/dep. da empr.</t>
  </si>
  <si>
    <t>Cauções</t>
  </si>
  <si>
    <t>Dário Rafael da Silva</t>
  </si>
  <si>
    <t>Inter Rent Angola Lda</t>
  </si>
  <si>
    <t>Clementina</t>
  </si>
  <si>
    <t>Mário Fernandes</t>
  </si>
  <si>
    <t>Nuno Manuel Freire Antunes Ferreira</t>
  </si>
  <si>
    <t>Outros valores a rec. e a pagar</t>
  </si>
  <si>
    <t>Outros Valores a Receber</t>
  </si>
  <si>
    <t>Victor Pinto</t>
  </si>
  <si>
    <t>Miguel Pedro Duarte P.  Baptista</t>
  </si>
  <si>
    <t>Luis Miguel de ALcantra Oliveira Sa</t>
  </si>
  <si>
    <t>Augusto Tavares</t>
  </si>
  <si>
    <t>Alfredo F. Oliveira</t>
  </si>
  <si>
    <t>Milco Nunés ( Despesas Obra.Mixico)</t>
  </si>
  <si>
    <t>Caixa Estaleiro</t>
  </si>
  <si>
    <t>Manuel Cristão</t>
  </si>
  <si>
    <t>Alberto Tome Matos</t>
  </si>
  <si>
    <t>José Tavares Varela</t>
  </si>
  <si>
    <t>SIMICO-Sistema d Inform Integ do Ministério do Com</t>
  </si>
  <si>
    <t>Electricista Santos</t>
  </si>
  <si>
    <t>Rámon Vecino</t>
  </si>
  <si>
    <t>Marcolino Victor Alberto Manuel Sa Polonga</t>
  </si>
  <si>
    <t>José Manuel Soares Duarte</t>
  </si>
  <si>
    <t>Henrique Luis Sabalalo</t>
  </si>
  <si>
    <t>MINAZ -Logistica Despachante</t>
  </si>
  <si>
    <t>Arlindo Furtado</t>
  </si>
  <si>
    <t>Emilio Tavares</t>
  </si>
  <si>
    <t>Rodrigo Miguel Costa</t>
  </si>
  <si>
    <t>Maninho Lopes</t>
  </si>
  <si>
    <t>Eugenio Matos</t>
  </si>
  <si>
    <t>Rui Silva</t>
  </si>
  <si>
    <t>Mario Fernandes</t>
  </si>
  <si>
    <t>Dumitilia Jesus Lopes</t>
  </si>
  <si>
    <t>Joaquim Alberto</t>
  </si>
  <si>
    <t>Domingo Bartolomeu da Silva</t>
  </si>
  <si>
    <t>Sónia Boavida</t>
  </si>
  <si>
    <t>Major</t>
  </si>
  <si>
    <t>Bejamim</t>
  </si>
  <si>
    <t>Stolino da Silva David</t>
  </si>
  <si>
    <t>Eurico Coelho</t>
  </si>
  <si>
    <t>Moisés</t>
  </si>
  <si>
    <t>Cartão Visa</t>
  </si>
  <si>
    <t>Verónica António</t>
  </si>
  <si>
    <t>Luís Ferreira</t>
  </si>
  <si>
    <t>M.TEC-Material Electrico</t>
  </si>
  <si>
    <t>Pedro João</t>
  </si>
  <si>
    <t>José António M. da Costa</t>
  </si>
  <si>
    <t>UEM - Unidade Estruturas metalicas</t>
  </si>
  <si>
    <t>Ramon Vecino</t>
  </si>
  <si>
    <t>Faustino Armando</t>
  </si>
  <si>
    <t>João Paulo Rodrigues Arede</t>
  </si>
  <si>
    <t>António José de Carvalho Barradas</t>
  </si>
  <si>
    <t>Luis Miguel Henriques Nunes</t>
  </si>
  <si>
    <t>Cartão de Crédito Millennium</t>
  </si>
  <si>
    <t>Marçal Manuel Vigário</t>
  </si>
  <si>
    <t>Nuno Ferreira</t>
  </si>
  <si>
    <t>Sérgio Espirito Santo Soares</t>
  </si>
  <si>
    <t>Francisca Paciência</t>
  </si>
  <si>
    <t>Kizedico Filipe Paulo</t>
  </si>
  <si>
    <t>Francisco Calengue</t>
  </si>
  <si>
    <t>Rodrigo Costa</t>
  </si>
  <si>
    <t>António Fernandes Silva</t>
  </si>
  <si>
    <t>Viecente Fortuna</t>
  </si>
  <si>
    <t>Francisco Ernesto Calangue</t>
  </si>
  <si>
    <t>Alberto Morais</t>
  </si>
  <si>
    <t>Outros valores a pagar</t>
  </si>
  <si>
    <t>CCTS</t>
  </si>
  <si>
    <t>Garch-Auditoria e Consultoria,S.A</t>
  </si>
  <si>
    <t>António Luis da Graça Gameiro</t>
  </si>
  <si>
    <t>Nuno Sousa Antunes</t>
  </si>
  <si>
    <t>Miguel Pedro Duarte P. Bptista</t>
  </si>
  <si>
    <t>Rui Jorge de Sequeira e Carvalho</t>
  </si>
  <si>
    <t>João Carlos</t>
  </si>
  <si>
    <t>Satolino da Silva David</t>
  </si>
  <si>
    <t>António Silva</t>
  </si>
  <si>
    <t>Confidencial-Aud. e Consultoria, Lda.</t>
  </si>
  <si>
    <t>Naiber</t>
  </si>
  <si>
    <t>Edel</t>
  </si>
  <si>
    <t>Rui Martins</t>
  </si>
  <si>
    <t>Caixa a regularizar</t>
  </si>
  <si>
    <t>PROVISÕES P/ COBRANÇAS DUVIDOSAS</t>
  </si>
  <si>
    <t>Provisões para Clientes</t>
  </si>
  <si>
    <t>Clientes - correntes</t>
  </si>
  <si>
    <t>Clientes - títulos a receber</t>
  </si>
  <si>
    <t>Clientes - cobranças duvidosa</t>
  </si>
  <si>
    <t>Provisões p/ saldos dev. fornecedor</t>
  </si>
  <si>
    <t>Provisões p/particip.e participadas</t>
  </si>
  <si>
    <t>Participantes</t>
  </si>
  <si>
    <t>Participadas</t>
  </si>
  <si>
    <t>Provisões p/dividas do pessoal</t>
  </si>
  <si>
    <t>Provisões p/outros saldos a receber</t>
  </si>
  <si>
    <t>Vendas imobilizado</t>
  </si>
  <si>
    <t>PROVISÕES P/ OUTROS RISCOS  ENCARGO</t>
  </si>
  <si>
    <t>Provisões para pensões</t>
  </si>
  <si>
    <t>Provisões p/processos judiciais cur</t>
  </si>
  <si>
    <t>Provisões p/acidentes de trabalho</t>
  </si>
  <si>
    <t>Provisões p/garantias dadas a cli.</t>
  </si>
  <si>
    <t>Provisões p/ outros riscos e encargos</t>
  </si>
  <si>
    <t>Provisões p/ férias do pessoal</t>
  </si>
  <si>
    <t>MEIOS MONETÁRIOS</t>
  </si>
  <si>
    <t>TITULOS NEGOCIÁVEIS</t>
  </si>
  <si>
    <t>Acções</t>
  </si>
  <si>
    <t>empresas do grupo</t>
  </si>
  <si>
    <t>Obrigações</t>
  </si>
  <si>
    <t>Empresas do grupo</t>
  </si>
  <si>
    <t>Titulos divida pública</t>
  </si>
  <si>
    <t>DEPOSITOS A PRAZO</t>
  </si>
  <si>
    <t>Moeda Nacional</t>
  </si>
  <si>
    <t>BPA</t>
  </si>
  <si>
    <t>BE nº 00009845986</t>
  </si>
  <si>
    <t>MILLENNIUM</t>
  </si>
  <si>
    <t>Banco</t>
  </si>
  <si>
    <t>Equipamento de Transporte</t>
  </si>
  <si>
    <t>Ferramentas e Utensílios</t>
  </si>
  <si>
    <t>Equipamento Administrativo</t>
  </si>
  <si>
    <t>DEPOSITOS Á ORDEM</t>
  </si>
  <si>
    <t>Banco - BFA</t>
  </si>
  <si>
    <t>Banco - BECN. nº 0000984586</t>
  </si>
  <si>
    <t>Milénnium 500471734904 Kz</t>
  </si>
  <si>
    <t>BPA - 11020129.10.001 kz</t>
  </si>
  <si>
    <t>Banco Valor- 00022736510001</t>
  </si>
  <si>
    <t>Banco BIC - 118133685.15.1</t>
  </si>
  <si>
    <t>BAI nº 72519374.10.001</t>
  </si>
  <si>
    <t>BMA Conta Cativa- 06078645532001</t>
  </si>
  <si>
    <t>Despesas de Constituição</t>
  </si>
  <si>
    <t>Despesas com Aumento de Capital</t>
  </si>
  <si>
    <t>Banco BPC</t>
  </si>
  <si>
    <t>Banco Caixa Angola</t>
  </si>
  <si>
    <t>OUTROS DEPOSITOS</t>
  </si>
  <si>
    <t>Moeda Estrangeira</t>
  </si>
  <si>
    <t>CAIXA</t>
  </si>
  <si>
    <t>Fundo fixo</t>
  </si>
  <si>
    <t>Caixa Geral</t>
  </si>
  <si>
    <t>Caixa Obras</t>
  </si>
  <si>
    <t>Obra Futila</t>
  </si>
  <si>
    <t>Obra Cabinda</t>
  </si>
  <si>
    <t>Obra Estaleiro</t>
  </si>
  <si>
    <t>Caixa Sonaref</t>
  </si>
  <si>
    <t>Caixa Catoca</t>
  </si>
  <si>
    <t>Caixa Matra</t>
  </si>
  <si>
    <t>Caixa Sumbe</t>
  </si>
  <si>
    <t>Caixa (Obra Kibala)</t>
  </si>
  <si>
    <t>Caixa (Saurimo e Benguela)</t>
  </si>
  <si>
    <t>Caixa Elecnor</t>
  </si>
  <si>
    <t>Obra cabo ledo</t>
  </si>
  <si>
    <t>Caixa Dólares</t>
  </si>
  <si>
    <t>Valores para depositar</t>
  </si>
  <si>
    <t>Valores destinados a pagamentos esp</t>
  </si>
  <si>
    <t>Salarios</t>
  </si>
  <si>
    <t>CONTA TRANSITORIA</t>
  </si>
  <si>
    <t>Banco Millenium</t>
  </si>
  <si>
    <t>De Imobilizações Corpóreas</t>
  </si>
  <si>
    <t>De Imobilizações Incorpóreas</t>
  </si>
  <si>
    <t>PROV.P/APLICAÇÕES DE TESOURARIA</t>
  </si>
  <si>
    <t>Titulos Negociaveis</t>
  </si>
  <si>
    <t>Outras aplicaçoes de tesouraria</t>
  </si>
  <si>
    <t>CAPITAL E RESERVAS</t>
  </si>
  <si>
    <t>CAPITAL</t>
  </si>
  <si>
    <t>Capital Inicial</t>
  </si>
  <si>
    <t>UEM- Unidade de Estruturas Metálicas,S.A</t>
  </si>
  <si>
    <t>António Luís da graça Gameiro</t>
  </si>
  <si>
    <t>ACÇÕES/QUOTAS PROPRIAS</t>
  </si>
  <si>
    <t>Valor nominal</t>
  </si>
  <si>
    <t>Descontos</t>
  </si>
  <si>
    <t>Prémios</t>
  </si>
  <si>
    <t>PREMIOS DE EMISSÃO</t>
  </si>
  <si>
    <t>Prémios de emissão</t>
  </si>
  <si>
    <t>PRESTAÇÕES SUPLEMENTARES</t>
  </si>
  <si>
    <t>Prestações suplementares</t>
  </si>
  <si>
    <t>Prestações suplementares- Reforço</t>
  </si>
  <si>
    <t>RESERVAS LEGAIS</t>
  </si>
  <si>
    <t>Reservas legais</t>
  </si>
  <si>
    <t>RESERVAS DE REAVALIAÇÃO</t>
  </si>
  <si>
    <t>Legais</t>
  </si>
  <si>
    <t>Decreto lei</t>
  </si>
  <si>
    <t>Autonomas</t>
  </si>
  <si>
    <t>Avaliação</t>
  </si>
  <si>
    <t>Realização</t>
  </si>
  <si>
    <t>RESERVAS COM FINS ESPECIAIS</t>
  </si>
  <si>
    <t>Reservas com fins especiais</t>
  </si>
  <si>
    <t>Reservas Estatutárias</t>
  </si>
  <si>
    <t>RESERVAS LIVRES</t>
  </si>
  <si>
    <t>Reservas livres</t>
  </si>
  <si>
    <t>PROVEITOS E GANHOS POR NATUREZA</t>
  </si>
  <si>
    <t>VENDAS</t>
  </si>
  <si>
    <t>Vnd Mercado nacional</t>
  </si>
  <si>
    <t>Mercado estrangeiro</t>
  </si>
  <si>
    <t>Mercado africano</t>
  </si>
  <si>
    <t>Outros mercados</t>
  </si>
  <si>
    <t>Sub-produtos, desp., res. e refugos</t>
  </si>
  <si>
    <t>Mercado nacional</t>
  </si>
  <si>
    <t>Subídios a preços</t>
  </si>
  <si>
    <t>Matérias Primas - CMPVC</t>
  </si>
  <si>
    <t>Matérias Subsidiárias - CMPVC</t>
  </si>
  <si>
    <t>Materiais Diversos - CMPVC</t>
  </si>
  <si>
    <t>Embalagens de Consumo - CMPVC</t>
  </si>
  <si>
    <t>Devoluções</t>
  </si>
  <si>
    <t>Descontos e abatimentos</t>
  </si>
  <si>
    <t>F</t>
  </si>
  <si>
    <t>Transferência p/ res.operacionais</t>
  </si>
  <si>
    <t>PRESTAÇÕES DE SERVIÇO</t>
  </si>
  <si>
    <t>Serviços principais</t>
  </si>
  <si>
    <t>Serviços secundários</t>
  </si>
  <si>
    <t>OUTROS PROVEITOS OPERACIONAIS</t>
  </si>
  <si>
    <t>Serviços suplementares</t>
  </si>
  <si>
    <t>Aluguer de equipamento</t>
  </si>
  <si>
    <t>Cedência de pessoal</t>
  </si>
  <si>
    <t>Cedência de energia</t>
  </si>
  <si>
    <t>Estudos, projectos e asist. Técnica</t>
  </si>
  <si>
    <t>Serviço de transporte</t>
  </si>
  <si>
    <t xml:space="preserve">Serviço de Montagem </t>
  </si>
  <si>
    <t>Royalties</t>
  </si>
  <si>
    <t>Subsidios á exploração</t>
  </si>
  <si>
    <t>Subsidios a investimento</t>
  </si>
  <si>
    <t>Outros proveitos ganhos oper.</t>
  </si>
  <si>
    <t>VAR.NOS INVENT.PROD.ACABA.PRO.CURSO</t>
  </si>
  <si>
    <t>Prémios p/Pensões</t>
  </si>
  <si>
    <t>Encargos sobre Remunerações</t>
  </si>
  <si>
    <t>Seg. Acid. Trab. e Doenças Prof.</t>
  </si>
  <si>
    <t>Custos de Acção Social</t>
  </si>
  <si>
    <t>Outros Custos c/Pessoal</t>
  </si>
  <si>
    <t>TRABALHOS P/ PROPRIA EMPRESA</t>
  </si>
  <si>
    <t>Para Imobilizado</t>
  </si>
  <si>
    <t>Em curso</t>
  </si>
  <si>
    <t>P/encargos repartir p/exercicios fu</t>
  </si>
  <si>
    <t>PROVEITOS GANHOS FINANCEIROS GERAIS</t>
  </si>
  <si>
    <t>De investimentos financeiros</t>
  </si>
  <si>
    <t>Títulos de participação</t>
  </si>
  <si>
    <t>Emprestimos</t>
  </si>
  <si>
    <t>Depósito a prazo</t>
  </si>
  <si>
    <t>De mora relat.a dívidas terceiros</t>
  </si>
  <si>
    <t xml:space="preserve">Dívidas recebidas a prestações </t>
  </si>
  <si>
    <t>De empréstimos de terceiros</t>
  </si>
  <si>
    <t>Descontos de títulos</t>
  </si>
  <si>
    <t>De aplicações de tesouraria</t>
  </si>
  <si>
    <t>Diferenças de cambio favoraveis</t>
  </si>
  <si>
    <t>Realizadas</t>
  </si>
  <si>
    <t>Não realizadas</t>
  </si>
  <si>
    <t>Descontos pronto pag. obtidos</t>
  </si>
  <si>
    <t>Rendimentos investimento em imoveis</t>
  </si>
  <si>
    <t>Rendimentos participação de capital</t>
  </si>
  <si>
    <t>Acções, quotas em outras empresas</t>
  </si>
  <si>
    <t>Acções, quotas incluidas nos fundos</t>
  </si>
  <si>
    <t>Acções quotas incl.tit.negociáveis</t>
  </si>
  <si>
    <t>Ganhos na alienação aplic. Financ.</t>
  </si>
  <si>
    <t>Investimentos financeiros</t>
  </si>
  <si>
    <t>Subsidiárias</t>
  </si>
  <si>
    <t>Imóveis</t>
  </si>
  <si>
    <t>Outros investimentos</t>
  </si>
  <si>
    <t>Títulos negociáveis</t>
  </si>
  <si>
    <t>Reposição de provisões</t>
  </si>
  <si>
    <t>Aplicações de tesouraria</t>
  </si>
  <si>
    <t>Depósitos a prazo</t>
  </si>
  <si>
    <t>Outros depósitos</t>
  </si>
  <si>
    <t>PROV. GANHOS FINAN.FILIAIS ASSOC.</t>
  </si>
  <si>
    <t>Rendimento  participações  Capital</t>
  </si>
  <si>
    <t>Tranferência p/ res. filiais e assoc.</t>
  </si>
  <si>
    <t>OUTROS PROVEITOS E GANHOS NAO OPERACIONAIS</t>
  </si>
  <si>
    <t>Existencias</t>
  </si>
  <si>
    <t>Materias-primas subs.e de consumo</t>
  </si>
  <si>
    <t>Produtos acabadas e intermédios</t>
  </si>
  <si>
    <t>Sub-produtos, desperd.,res.,refugos</t>
  </si>
  <si>
    <t>Cobranças duvidosas</t>
  </si>
  <si>
    <t>Clientes</t>
  </si>
  <si>
    <t>Clientes - cobrança duvidosa</t>
  </si>
  <si>
    <t>Saldos devedores de fornecedores</t>
  </si>
  <si>
    <t>Participantes e participadas</t>
  </si>
  <si>
    <t>Dívidas do pessoal</t>
  </si>
  <si>
    <t>Outros  saldos a receber</t>
  </si>
  <si>
    <t>Riscos e Encargos</t>
  </si>
  <si>
    <t>Pensões</t>
  </si>
  <si>
    <t>Processos judiciais em curso</t>
  </si>
  <si>
    <t>Acidentes de trabalho</t>
  </si>
  <si>
    <t>Garantias dadas a clientes</t>
  </si>
  <si>
    <t>Outros riscos e encargos</t>
  </si>
  <si>
    <t>Anulação amortizações extraordina.</t>
  </si>
  <si>
    <t>Imobilizações corpóreas</t>
  </si>
  <si>
    <t>Imobilizações incorpóreas</t>
  </si>
  <si>
    <t>Ganhos em imobilizações</t>
  </si>
  <si>
    <t>Venda de imobilizações corpóreas</t>
  </si>
  <si>
    <t>Venda de imobilizações incorpóreas</t>
  </si>
  <si>
    <t>Ganhos em existências</t>
  </si>
  <si>
    <t>Recuperação de dívidas</t>
  </si>
  <si>
    <t>Benefícios penalidades contratuais</t>
  </si>
  <si>
    <t>Descontinuidade de operações</t>
  </si>
  <si>
    <t>Alterações de polit.contabilisticas</t>
  </si>
  <si>
    <t>Correcções relat.exerc.anteriores</t>
  </si>
  <si>
    <t>Estimativa de Impostos</t>
  </si>
  <si>
    <t>Restituição de impostos</t>
  </si>
  <si>
    <t>Saldos Iniciais</t>
  </si>
  <si>
    <t>Correcções Relativa ao Exercicio Anterior</t>
  </si>
  <si>
    <t>Outras Correcções</t>
  </si>
  <si>
    <t>Outros ganhos e perdas não operac.</t>
  </si>
  <si>
    <t>Donativos</t>
  </si>
  <si>
    <t>Restituição de Seguros</t>
  </si>
  <si>
    <t>Restituição Acréscimos</t>
  </si>
  <si>
    <t>Outros ganhos extraordinários</t>
  </si>
  <si>
    <t>Sobras</t>
  </si>
  <si>
    <t>Transferência p/ res. não operacionais</t>
  </si>
  <si>
    <t>PROVEITOS GANHOS EXTRAORDINARIOS</t>
  </si>
  <si>
    <t>Ganhos result.catastrofes naturais</t>
  </si>
  <si>
    <t>Ganhos result.de convulsões polit.</t>
  </si>
  <si>
    <t>Ganhos resultantes de expropriações</t>
  </si>
  <si>
    <t>Viaturas</t>
  </si>
  <si>
    <t>Ganhos Resultantes de sinistros</t>
  </si>
  <si>
    <t>Subsídios</t>
  </si>
  <si>
    <t>Anulação de passivos não exigiveis</t>
  </si>
  <si>
    <t>OUTROS PROVEITOS GANHOS EXTRAORDINARIOS</t>
  </si>
  <si>
    <t>Transf. p/ Resultado extraordinário</t>
  </si>
  <si>
    <t>CUSTO E PERDAS POR NATUREZA</t>
  </si>
  <si>
    <t>CUSTOS DAS EXISTENCIAS VENDIDAS</t>
  </si>
  <si>
    <t>Materias Primas</t>
  </si>
  <si>
    <t>Mp - cevc</t>
  </si>
  <si>
    <t>Materias Subsidiarias</t>
  </si>
  <si>
    <t>Ms - cevc</t>
  </si>
  <si>
    <t>Md - cevc</t>
  </si>
  <si>
    <t>Ec - cevc</t>
  </si>
  <si>
    <t xml:space="preserve">Om - cevc </t>
  </si>
  <si>
    <t>Mr - cevc</t>
  </si>
  <si>
    <t>CUSTOS COM PESSOAL</t>
  </si>
  <si>
    <t>Remunerações - Orgâos sociais</t>
  </si>
  <si>
    <t>Vencimento base</t>
  </si>
  <si>
    <t>Ajuda de custo</t>
  </si>
  <si>
    <t>Ordenados</t>
  </si>
  <si>
    <t>Subsídio de férias</t>
  </si>
  <si>
    <t>Subsídio de natal</t>
  </si>
  <si>
    <t>Subsídio de alimentação</t>
  </si>
  <si>
    <t>Prémios/Horas extras</t>
  </si>
  <si>
    <t>Sub Responsabilidade</t>
  </si>
  <si>
    <t>Remunerações - Pessoal</t>
  </si>
  <si>
    <t xml:space="preserve">Rp - Administratrativo/Outros </t>
  </si>
  <si>
    <t>Subsidio de Alojamento</t>
  </si>
  <si>
    <t>Férias não gozadas</t>
  </si>
  <si>
    <t>Subsidio de Responsabilidade</t>
  </si>
  <si>
    <t>Trabalho nocturno</t>
  </si>
  <si>
    <t>Subsidio de transporte</t>
  </si>
  <si>
    <t>Abono p/falhas</t>
  </si>
  <si>
    <t>Abono de Familia</t>
  </si>
  <si>
    <t>Rp - Produção</t>
  </si>
  <si>
    <t>Subsídio de Transporte</t>
  </si>
  <si>
    <t>Abono de Família</t>
  </si>
  <si>
    <t>Rp - Comercial</t>
  </si>
  <si>
    <t>Vencimento base.</t>
  </si>
  <si>
    <t>Órgãos sociais</t>
  </si>
  <si>
    <t>Pessoal</t>
  </si>
  <si>
    <t>Administrativo/outros</t>
  </si>
  <si>
    <t>Produção</t>
  </si>
  <si>
    <t xml:space="preserve">Prémios para pensões </t>
  </si>
  <si>
    <t>Encargos sobre remunerações</t>
  </si>
  <si>
    <t>Seguros acidente trab.doenç.prof.</t>
  </si>
  <si>
    <t>Formação</t>
  </si>
  <si>
    <t>Outros despesas com pessoal</t>
  </si>
  <si>
    <t>Indeminização por despedimento</t>
  </si>
  <si>
    <t>Ajudas de custo</t>
  </si>
  <si>
    <t>Alimentação/ Compras</t>
  </si>
  <si>
    <t>Acertos</t>
  </si>
  <si>
    <t>Despesas C/ Vistos e Reg. Criminal</t>
  </si>
  <si>
    <t>Outras Despesas</t>
  </si>
  <si>
    <t>Saúde</t>
  </si>
  <si>
    <t>Despesas de copa</t>
  </si>
  <si>
    <t>Estimativas de férias, sub férias e natal</t>
  </si>
  <si>
    <t>Orgãos Sociais</t>
  </si>
  <si>
    <t>Administrativos</t>
  </si>
  <si>
    <t>Comercial</t>
  </si>
  <si>
    <t>AMORTIZAÇÕES DO EXERCICIO</t>
  </si>
  <si>
    <t>Imobilizações Corporeas</t>
  </si>
  <si>
    <t>Edifícios e outras construções</t>
  </si>
  <si>
    <t>Outras imobilizações corporeas</t>
  </si>
  <si>
    <t>Imobilizações Incorporeas</t>
  </si>
  <si>
    <t xml:space="preserve">Trespasses </t>
  </si>
  <si>
    <t>Despesas de investig.e desenv.</t>
  </si>
  <si>
    <t>Propr.ind.e out.direitos e cont.</t>
  </si>
  <si>
    <t>OUTROS CUSTOS E PERDAS OPERACIONAIS</t>
  </si>
  <si>
    <t>Sub-contratos</t>
  </si>
  <si>
    <t>Sc-Nacionais</t>
  </si>
  <si>
    <t>Montadores</t>
  </si>
  <si>
    <t>Sc-Estrangeiros</t>
  </si>
  <si>
    <t>Sc-Mercado Africano</t>
  </si>
  <si>
    <t>Sc-Outros Mercados</t>
  </si>
  <si>
    <t>Fornecimentos Serviços de Terceiros</t>
  </si>
  <si>
    <t>Electricidade</t>
  </si>
  <si>
    <t>Combustíveis</t>
  </si>
  <si>
    <t>Petróleo</t>
  </si>
  <si>
    <t>Conservação e reparação</t>
  </si>
  <si>
    <t>Outras</t>
  </si>
  <si>
    <t>Material protecção, seg.e conforto</t>
  </si>
  <si>
    <t>Ferrament.e utensílios desg.rápido</t>
  </si>
  <si>
    <t>Material de escritório</t>
  </si>
  <si>
    <t>Livros e documentação técnica</t>
  </si>
  <si>
    <t>Outros fornecimentos</t>
  </si>
  <si>
    <t>Material Informatico</t>
  </si>
  <si>
    <t>Condominio</t>
  </si>
  <si>
    <t>Comunicação</t>
  </si>
  <si>
    <t>Telefone Fixo</t>
  </si>
  <si>
    <t>Multichoice/Tv cabo/Zap</t>
  </si>
  <si>
    <t>Correios</t>
  </si>
  <si>
    <t>Rendas e alugueres</t>
  </si>
  <si>
    <t>Rendas de equipamento</t>
  </si>
  <si>
    <t>Aluguer de Equipamentos</t>
  </si>
  <si>
    <t>Aluguer de Viatura</t>
  </si>
  <si>
    <t xml:space="preserve">Seguros </t>
  </si>
  <si>
    <t>Ramo acidente de trabalho</t>
  </si>
  <si>
    <t xml:space="preserve">Ramo </t>
  </si>
  <si>
    <t>Ramo viaturas</t>
  </si>
  <si>
    <t>Deslocações e estadas</t>
  </si>
  <si>
    <t>Estacionamento</t>
  </si>
  <si>
    <t>Despesas de representação</t>
  </si>
  <si>
    <t>Vigilância e segurança</t>
  </si>
  <si>
    <t>Limpeza, higiene e conforto</t>
  </si>
  <si>
    <t>Publicidade e propaganda</t>
  </si>
  <si>
    <t>Contencioso e notariado</t>
  </si>
  <si>
    <t>Comissões a intermediários</t>
  </si>
  <si>
    <t>Ci-Nacionais</t>
  </si>
  <si>
    <t>Ci-Estrangeiros</t>
  </si>
  <si>
    <t>Ci-Mercado Africano</t>
  </si>
  <si>
    <t>Ci-Outros mercados</t>
  </si>
  <si>
    <t>Assistencia Tecnica</t>
  </si>
  <si>
    <t>At-Nacionais</t>
  </si>
  <si>
    <t>At-Estrangeiros</t>
  </si>
  <si>
    <t>At-Mercado Africano</t>
  </si>
  <si>
    <t>At-Outros mercados</t>
  </si>
  <si>
    <t>Trabalhos executados no exterior</t>
  </si>
  <si>
    <t>Serviços informaticos</t>
  </si>
  <si>
    <t>Analises laboratoriais</t>
  </si>
  <si>
    <t>Serviços de Advogados</t>
  </si>
  <si>
    <t>Montagens de Módulos e Escadas</t>
  </si>
  <si>
    <t>Serviços de Contabilidade</t>
  </si>
  <si>
    <t>Cedência de Mão de Obra</t>
  </si>
  <si>
    <t>Serviços de Auditoria</t>
  </si>
  <si>
    <t>Outros Trab executados no exterior</t>
  </si>
  <si>
    <t>Honorários e avenças</t>
  </si>
  <si>
    <t>Trab. Independentes Nacionais</t>
  </si>
  <si>
    <t>Ti-Estrangeiros</t>
  </si>
  <si>
    <t>Ti-Mercado Africano</t>
  </si>
  <si>
    <t>Ti-Outros mercados</t>
  </si>
  <si>
    <t>Rt-Mercado Nacionais</t>
  </si>
  <si>
    <t>Ri-Mercado Estrangeiros</t>
  </si>
  <si>
    <t>Ri-Mercado Africano</t>
  </si>
  <si>
    <t>Devoluções de forn. e serv. terc.</t>
  </si>
  <si>
    <t>Descontos e abat. forn. serv. terc.</t>
  </si>
  <si>
    <t>Outros serviços</t>
  </si>
  <si>
    <t>Impostos</t>
  </si>
  <si>
    <t>Indirectos</t>
  </si>
  <si>
    <t>Imposto de selo</t>
  </si>
  <si>
    <t>Taxa de Circulação</t>
  </si>
  <si>
    <t>Imposto s/ transf. p/ exterior</t>
  </si>
  <si>
    <t>Emolumentos e Taxas diversas</t>
  </si>
  <si>
    <t>Directos</t>
  </si>
  <si>
    <t>Imposto de capitais</t>
  </si>
  <si>
    <t>Contribuição predial</t>
  </si>
  <si>
    <t>Trabalhos tipograficos</t>
  </si>
  <si>
    <t>Estudos e pareceres</t>
  </si>
  <si>
    <t>Serviços contabilisticos</t>
  </si>
  <si>
    <t>Despesas Confidenciais</t>
  </si>
  <si>
    <t>Quotizações</t>
  </si>
  <si>
    <t>Ofertas e amostras de existencias</t>
  </si>
  <si>
    <t>Outros custos e perdas operacionais</t>
  </si>
  <si>
    <t>Despesas não Documentadas</t>
  </si>
  <si>
    <t>Despesas mal Documentadas</t>
  </si>
  <si>
    <t>Regularização amortização mensal</t>
  </si>
  <si>
    <t>CUSTOS PERDAS FINANCEIROS GERAIS</t>
  </si>
  <si>
    <t>De emprestimos</t>
  </si>
  <si>
    <t>Bancários</t>
  </si>
  <si>
    <t>Jb.-curto prazo</t>
  </si>
  <si>
    <t>Jb.-médio e longo prazo</t>
  </si>
  <si>
    <t>De descobertos bancarios</t>
  </si>
  <si>
    <t>De mora relativos a dívidas a terc.</t>
  </si>
  <si>
    <t>De descontos de titulos</t>
  </si>
  <si>
    <t>De locação financeira</t>
  </si>
  <si>
    <t>De Leasing</t>
  </si>
  <si>
    <t>Diferenças de cambios desfavoraveis</t>
  </si>
  <si>
    <t>Descontos pronto pag.concedidos.</t>
  </si>
  <si>
    <t>Descontos a clientes</t>
  </si>
  <si>
    <t>Amortizações invest.em imóveis</t>
  </si>
  <si>
    <t>Provisões p/aplicações financeiras</t>
  </si>
  <si>
    <t>Títulos de negociàveis</t>
  </si>
  <si>
    <t>Perdas na alien.de ap.financeiras</t>
  </si>
  <si>
    <t>Subsiadiárias</t>
  </si>
  <si>
    <t>Aplicações de títulos negociáveis</t>
  </si>
  <si>
    <t>Serviços bancários</t>
  </si>
  <si>
    <t>Sb - livros bancarios</t>
  </si>
  <si>
    <t>Sb - importação e exportação</t>
  </si>
  <si>
    <t>Sb - outros</t>
  </si>
  <si>
    <t>Despesas Operacionais</t>
  </si>
  <si>
    <t>Impost. Selo S/ Despesas Operacionais</t>
  </si>
  <si>
    <t>Comissão Emis. Ordem de Pagamento</t>
  </si>
  <si>
    <t>Imp. Selo S/ Com. Em. Ordem de Pagamento</t>
  </si>
  <si>
    <t>Imp. Selo S/ Comissão</t>
  </si>
  <si>
    <t>Comissão Registo OPE-OUR</t>
  </si>
  <si>
    <t>Imposto de Selo s/comissão registo</t>
  </si>
  <si>
    <t>Comissão Manutenção</t>
  </si>
  <si>
    <t>Imposto de Selo</t>
  </si>
  <si>
    <t>Contribuição Especial P/ Operações Bancarias</t>
  </si>
  <si>
    <t>Comissão TRF Nacional Emitida</t>
  </si>
  <si>
    <t>Despesas de Espediente</t>
  </si>
  <si>
    <t>Despesas de Emissão de Cheque Visado</t>
  </si>
  <si>
    <t>Imposto de Selo S/ Emissão de Cheque Visado</t>
  </si>
  <si>
    <t>Despesas de Tranferencia</t>
  </si>
  <si>
    <t>Imposto de Selo S/ Despesas de Tranferencias</t>
  </si>
  <si>
    <t>Tranferências p/ resultados financeiros</t>
  </si>
  <si>
    <t>CUSTOS PERDAS FINAN. FILIAIS ASSOC.</t>
  </si>
  <si>
    <t>OUTROS CUSTOS PERD. NAO OPERACIONAIS</t>
  </si>
  <si>
    <t>Provisões do exercício</t>
  </si>
  <si>
    <t>Existências</t>
  </si>
  <si>
    <t>Matérias-primas subs.e de consumo</t>
  </si>
  <si>
    <t>Produtos acabados e intermédios</t>
  </si>
  <si>
    <t>Sub-prod., desperd., resíd. Refugos</t>
  </si>
  <si>
    <t>Cobrança duvidosas</t>
  </si>
  <si>
    <t>Clientes-títulos a receber</t>
  </si>
  <si>
    <t>Clientes-cobrança duvidosa</t>
  </si>
  <si>
    <t>Outros saldos a receber</t>
  </si>
  <si>
    <t>Riscos e encargos</t>
  </si>
  <si>
    <t>Amotizações extraordinárias</t>
  </si>
  <si>
    <t>Perdas em imobilizações</t>
  </si>
  <si>
    <t>Venda de imobilizado corporeo</t>
  </si>
  <si>
    <t>Venda de imobilizado incorporeo</t>
  </si>
  <si>
    <t>Abates</t>
  </si>
  <si>
    <t xml:space="preserve">Outras </t>
  </si>
  <si>
    <t>Perdas em existências</t>
  </si>
  <si>
    <t>Quebras</t>
  </si>
  <si>
    <t>Dívidas incobraveis</t>
  </si>
  <si>
    <t>Multas e penalidades contratuais</t>
  </si>
  <si>
    <t>Fiscais</t>
  </si>
  <si>
    <t>Não Fiscais</t>
  </si>
  <si>
    <t>Penalidades contratuais</t>
  </si>
  <si>
    <t>Custos de reestruturação</t>
  </si>
  <si>
    <t>Alterações de politicas contabil.</t>
  </si>
  <si>
    <t>Estimativa impostos</t>
  </si>
  <si>
    <t>Outros custos e perdas não operac.</t>
  </si>
  <si>
    <t>Donativos aceites</t>
  </si>
  <si>
    <t>Donativos não aceites</t>
  </si>
  <si>
    <t>Reembolsos de subsídio à exploração</t>
  </si>
  <si>
    <t>Reembolsos de subsí. a investim.</t>
  </si>
  <si>
    <t>Outras perdas extraordinárias</t>
  </si>
  <si>
    <t>CUSTOS PERDAS EXTRAORDINARIAS</t>
  </si>
  <si>
    <t>Perdas result.de catàstrofes nat.</t>
  </si>
  <si>
    <t>Perdas result.de convulsões polít.</t>
  </si>
  <si>
    <t>Perdas resultantes de expropriações</t>
  </si>
  <si>
    <t>Perdas resultantes de sinistros</t>
  </si>
  <si>
    <t>RESULTADOS</t>
  </si>
  <si>
    <t>RESULTADOS TRANSITADOS</t>
  </si>
  <si>
    <t>Ano</t>
  </si>
  <si>
    <t>Resultado do ano</t>
  </si>
  <si>
    <t>Aplicações de resultados</t>
  </si>
  <si>
    <t>Correc.erros fund., no exerc. seg.</t>
  </si>
  <si>
    <t>Efeitos alter.politicas contab.</t>
  </si>
  <si>
    <t>Imposto rel. cor.erros./alter.pol.</t>
  </si>
  <si>
    <t>Ano …</t>
  </si>
  <si>
    <t>RESULTADOS OPERACIONAIS</t>
  </si>
  <si>
    <t>Prestação de serviço</t>
  </si>
  <si>
    <t>Outros proveitos operacionais</t>
  </si>
  <si>
    <t>Variação inv. prod.acab./vias fab.</t>
  </si>
  <si>
    <t>Trabalhos para a própria empresa</t>
  </si>
  <si>
    <t>Custo merc.vend.e matérias cons.</t>
  </si>
  <si>
    <t>Custo com pessoal</t>
  </si>
  <si>
    <t>Amortizações do exercício</t>
  </si>
  <si>
    <t>Outros custos operacionais</t>
  </si>
  <si>
    <t>Transferencia resultados Liquidos</t>
  </si>
  <si>
    <t>RESULTADOS FINANCEIROS</t>
  </si>
  <si>
    <t>Proveitos e ganhos financ.gerais</t>
  </si>
  <si>
    <t>Custos e perdas financeiros gerais</t>
  </si>
  <si>
    <t>Tranferência p/resultados liquídos</t>
  </si>
  <si>
    <t>RESULT.FINAN.FILIAIS ASSOCIADAS</t>
  </si>
  <si>
    <t>Proveitos e ganhos filiais e assoc.</t>
  </si>
  <si>
    <t>Custos e perdas em filiais e assoc.</t>
  </si>
  <si>
    <t>RESULTADOS NAO OPERACIONAIS</t>
  </si>
  <si>
    <t>Proveitos e ganhos n.operacionais</t>
  </si>
  <si>
    <t>Custos e perdas não operacionais</t>
  </si>
  <si>
    <t>RESULTADOS EXTRAORDINARIOS</t>
  </si>
  <si>
    <t>Proveitos e ganhos extraordinários</t>
  </si>
  <si>
    <t>Custos e perdas extraordinários</t>
  </si>
  <si>
    <t>IMPOSTOS SOBRE OS LUCROS</t>
  </si>
  <si>
    <t>Impostos s/os resultados correntes</t>
  </si>
  <si>
    <t>Impostos s/resultados extraord.</t>
  </si>
  <si>
    <t>RESULTADOS LIQUIDOS DO EXERCICIO</t>
  </si>
  <si>
    <t>Resultados financeiros gerais</t>
  </si>
  <si>
    <t>Resultados em filiais e associadas</t>
  </si>
  <si>
    <t>Resultados não operacionais</t>
  </si>
  <si>
    <t>Imposto sobre resultados correntes</t>
  </si>
  <si>
    <t>Resultados extraordinários</t>
  </si>
  <si>
    <t>Impostos s/result.extraordinários</t>
  </si>
  <si>
    <t>Tranferência p/result. Transitados</t>
  </si>
  <si>
    <t>DIVIDENDOS ANTECIPADOS</t>
  </si>
  <si>
    <t xml:space="preserve">Valores expressos em AKZ  </t>
  </si>
  <si>
    <t>Designção</t>
  </si>
  <si>
    <t>Notas</t>
  </si>
  <si>
    <t>Exercicios</t>
  </si>
  <si>
    <t>ACTIVO</t>
  </si>
  <si>
    <t>Activos não Correntes</t>
  </si>
  <si>
    <t>Amortizações Acumuladas</t>
  </si>
  <si>
    <t>Outros activos não correntes</t>
  </si>
  <si>
    <t xml:space="preserve">Total dos Activos Não Correntes  </t>
  </si>
  <si>
    <t>Activos Correntes</t>
  </si>
  <si>
    <t>Contas a Receber</t>
  </si>
  <si>
    <t>Disponibilidades</t>
  </si>
  <si>
    <t>Outros Acivos Correntes</t>
  </si>
  <si>
    <t xml:space="preserve">Total dos Activos Correntes  </t>
  </si>
  <si>
    <t>TOTAL DO ACTIVO</t>
  </si>
  <si>
    <t>CAPITAL PRÓPRIO E PASSIVO</t>
  </si>
  <si>
    <t>Capital Próprio</t>
  </si>
  <si>
    <t>Capital</t>
  </si>
  <si>
    <t>Reservas</t>
  </si>
  <si>
    <t>Resultados do Exercicio</t>
  </si>
  <si>
    <t xml:space="preserve">Total do Capital Próprio  </t>
  </si>
  <si>
    <t>TOTAL DE CAPITAIS PRÓPRIOS</t>
  </si>
  <si>
    <t>Passivo não Corrente</t>
  </si>
  <si>
    <t>Empréstimos de Médio e Longo Prazo</t>
  </si>
  <si>
    <t>Impostos diferidos</t>
  </si>
  <si>
    <t>Outros passivos não correntes</t>
  </si>
  <si>
    <t xml:space="preserve">Total do Passivo não Corrente  </t>
  </si>
  <si>
    <t>Passivo Corrente</t>
  </si>
  <si>
    <t>Contas a Pagar</t>
  </si>
  <si>
    <t>Empréstimos de Curto Prazo</t>
  </si>
  <si>
    <t>Outros Passivos Correntes</t>
  </si>
  <si>
    <t xml:space="preserve">Total do Passivo Corrente  </t>
  </si>
  <si>
    <t>TOTAL DO PASSIVO</t>
  </si>
  <si>
    <t>TOTAL DO CAPITAL PRÓPRIO E PASSIVO</t>
  </si>
  <si>
    <t>Outros Proveitos</t>
  </si>
  <si>
    <t xml:space="preserve">Total dos Proveitos e Ganhos Operacionais  </t>
  </si>
  <si>
    <t>Variação nos Prod. Acab. e em vias de fabr.</t>
  </si>
  <si>
    <t>Trabalhos para a Própria Empresa</t>
  </si>
  <si>
    <t>Custo das Exist. Vend. e das Mat-prim Cons.</t>
  </si>
  <si>
    <t>Custo com o pessoal</t>
  </si>
  <si>
    <t>Amortizações</t>
  </si>
  <si>
    <t>Outros Custos e perdas operacionais</t>
  </si>
  <si>
    <t xml:space="preserve">Total dos Custos e Perdas Operacionais  </t>
  </si>
  <si>
    <t>Resultados Operacionais</t>
  </si>
  <si>
    <t>Resultados Financeiros</t>
  </si>
  <si>
    <t>Resultados de Filiais e Associadas</t>
  </si>
  <si>
    <t>Resultado antes de Impostos</t>
  </si>
  <si>
    <t>Imposto sobre o Rendimento</t>
  </si>
  <si>
    <t>Resultados Líq. das Actividades Correntes</t>
  </si>
  <si>
    <t>NOTAS ÀS DEMONSTRAÇÕES FINANCEIRAS</t>
  </si>
  <si>
    <t>NOTAS AO BALANÇO</t>
  </si>
  <si>
    <t>Aplicável / Não Aplicável</t>
  </si>
  <si>
    <t>Investimentos em subsidiárias e associadas</t>
  </si>
  <si>
    <t>Outros ativos correntes</t>
  </si>
  <si>
    <t>Resultados transitados</t>
  </si>
  <si>
    <t>NOTAS À DEMONSTRAÇÃO DOS RESULTADOS</t>
  </si>
  <si>
    <t>Prestação de serviços</t>
  </si>
  <si>
    <t xml:space="preserve">Variação nos prod. acab. e em vias de fabrico </t>
  </si>
  <si>
    <t>Custos das merc. Vendidas e das mat. Consumidas</t>
  </si>
  <si>
    <t>Custos com pessoal</t>
  </si>
  <si>
    <t>Resultados financeiros</t>
  </si>
  <si>
    <t>Resultados de filiais e associadas</t>
  </si>
  <si>
    <t>Resultado Extraordinários</t>
  </si>
  <si>
    <t>4.1</t>
  </si>
  <si>
    <t>Composição</t>
  </si>
  <si>
    <t>Rubricas</t>
  </si>
  <si>
    <t>Valor Bruto</t>
  </si>
  <si>
    <t>Valor Líquido</t>
  </si>
  <si>
    <t>Adiantamentos p/conta imob.corporeo</t>
  </si>
  <si>
    <t>Total</t>
  </si>
  <si>
    <t>4.2</t>
  </si>
  <si>
    <t>Movimentos, ocorridos durante o exercício, no valor bruto</t>
  </si>
  <si>
    <t>Saldo Inicial</t>
  </si>
  <si>
    <t>Reavaliações</t>
  </si>
  <si>
    <t>Aumentos</t>
  </si>
  <si>
    <t>Alienações</t>
  </si>
  <si>
    <t>Transf. / Abates</t>
  </si>
  <si>
    <t>Saldo Final</t>
  </si>
  <si>
    <t>4.3</t>
  </si>
  <si>
    <t>Movimentos, ocorridos durante o exercício, nas amortizações acumuladas</t>
  </si>
  <si>
    <t>Reforços</t>
  </si>
  <si>
    <t>Transferências Abates</t>
  </si>
  <si>
    <t>Imobilizações Incorpóreas</t>
  </si>
  <si>
    <t>5.1</t>
  </si>
  <si>
    <t>5.2</t>
  </si>
  <si>
    <t>Diminuições</t>
  </si>
  <si>
    <t>5.3</t>
  </si>
  <si>
    <t>8.1</t>
  </si>
  <si>
    <t>Provisões Acumuladas</t>
  </si>
  <si>
    <t>Sub-produtos, desp., resíd. e refugos</t>
  </si>
  <si>
    <t>Mat. primas, merc. e materiais em trans.</t>
  </si>
  <si>
    <t>8.2</t>
  </si>
  <si>
    <t>Movimentos, ocorridos durante o exercício, nas provisões</t>
  </si>
  <si>
    <t>Corrente</t>
  </si>
  <si>
    <t>Vencível até 5 anos</t>
  </si>
  <si>
    <t>Vencível a mais de 5 anos</t>
  </si>
  <si>
    <t>Participantes e Participadas</t>
  </si>
  <si>
    <t>Devedores - vendas de imobilizado</t>
  </si>
  <si>
    <t>Outros devedores</t>
  </si>
  <si>
    <t>Provisões para cobranças duvidosas</t>
  </si>
  <si>
    <t>Títulos Negociáveis</t>
  </si>
  <si>
    <t>Depósitos à ordem</t>
  </si>
  <si>
    <t>Caixa</t>
  </si>
  <si>
    <t>Conta Transitória</t>
  </si>
  <si>
    <t>Outros activos correntes</t>
  </si>
  <si>
    <t>Proveitos a facturar:</t>
  </si>
  <si>
    <t>Contratos plrianuais em curso</t>
  </si>
  <si>
    <t>Encargos a repartir por exercicios futuros:</t>
  </si>
  <si>
    <t>Outros encargos</t>
  </si>
  <si>
    <t>12.1</t>
  </si>
  <si>
    <t>Ações / Quotas próprias</t>
  </si>
  <si>
    <t>12.2</t>
  </si>
  <si>
    <t>Sócios/Acionistas com participação superior a 20%</t>
  </si>
  <si>
    <t>UEM - Unidade de Estruturas Metálicas, Lda</t>
  </si>
  <si>
    <t>Sócios/Acionistas com participação inferior a 20%</t>
  </si>
  <si>
    <t>António Gameiro</t>
  </si>
  <si>
    <t>Empréstimos correntes e  não correntes</t>
  </si>
  <si>
    <t>15.1</t>
  </si>
  <si>
    <t>Emprestimos p/tittulos de partic.</t>
  </si>
  <si>
    <t>Outros emprestimos</t>
  </si>
  <si>
    <t>15.2</t>
  </si>
  <si>
    <t>Movimentos, ocorridos durante o exercício</t>
  </si>
  <si>
    <t>Fornecedores correntes</t>
  </si>
  <si>
    <t>Credores - compras de imobilizado</t>
  </si>
  <si>
    <t>Mercado interno</t>
  </si>
  <si>
    <t>Subsídios a preços</t>
  </si>
  <si>
    <t>Mercado externo</t>
  </si>
  <si>
    <t>Custo das existências vendidas e das matérias-primas e subsidiárias consumidas</t>
  </si>
  <si>
    <t>Existências iniciais</t>
  </si>
  <si>
    <t>Compras</t>
  </si>
  <si>
    <t>Ofertas e perdas ou ganhos</t>
  </si>
  <si>
    <t>Existências finais</t>
  </si>
  <si>
    <t>Custo no ano</t>
  </si>
  <si>
    <t>Matérias-primas, subsidiárias e de consumo</t>
  </si>
  <si>
    <t>Custos com o pessoal</t>
  </si>
  <si>
    <t>Subcontratos</t>
  </si>
  <si>
    <t>Fornecimento e serviço de terceiros</t>
  </si>
  <si>
    <t>Ofertas e amostras de existências</t>
  </si>
  <si>
    <t>Custos e perdas operacionais</t>
  </si>
  <si>
    <t>Proveitos e ganhos financeiros</t>
  </si>
  <si>
    <t>Rendimentos de investimentos em imóveis</t>
  </si>
  <si>
    <t>Rendimentos de participações de capital</t>
  </si>
  <si>
    <t xml:space="preserve">Ganhos na alienação de participações financeiras </t>
  </si>
  <si>
    <t>Reposição de provisões (a)</t>
  </si>
  <si>
    <t>Investimentos em filiais e associadas (Nota 6)</t>
  </si>
  <si>
    <t>Outros ativos financeiros (Nota 7)</t>
  </si>
  <si>
    <t>Disponibilidades (Nota 10)</t>
  </si>
  <si>
    <t>Diferenças de câmbio favoráveis</t>
  </si>
  <si>
    <t>Descontos de pronto pagamento obtidos</t>
  </si>
  <si>
    <t>Custos e perdas financeiros</t>
  </si>
  <si>
    <t>Amortizações de investimentos em imóveis</t>
  </si>
  <si>
    <t>Provisões para aplicações financeiras</t>
  </si>
  <si>
    <t>Perdas na alienação de aplicações financeiras</t>
  </si>
  <si>
    <t>Diferenças de câmbio desfavoráveis</t>
  </si>
  <si>
    <t>Descontos de pronto pagamento concedidos</t>
  </si>
  <si>
    <t xml:space="preserve">Fluxo de caixa das atividades operacionais </t>
  </si>
  <si>
    <t>Recebimentos de Clientes</t>
  </si>
  <si>
    <t>Pagamentos a fornecedores e empregados</t>
  </si>
  <si>
    <t>Caixa gerada pelas operações</t>
  </si>
  <si>
    <t>Juros pagos</t>
  </si>
  <si>
    <t>Impostos sobre os lucros pagos</t>
  </si>
  <si>
    <t>Fluxo de caixa antes da rubrica extraordinária</t>
  </si>
  <si>
    <t>Caixa proveniente das atividades operacionais</t>
  </si>
  <si>
    <t>Fluxo de caixa das atividaddes de investimento</t>
  </si>
  <si>
    <t>Recebimentos provenientes de:</t>
  </si>
  <si>
    <t>Subsídios a investimento</t>
  </si>
  <si>
    <t>Juros e proveitos similares</t>
  </si>
  <si>
    <t>Dividendos ou lucros recebidos</t>
  </si>
  <si>
    <t>Pagamentos respeitantes a:</t>
  </si>
  <si>
    <t>Pagamento IsL 2018</t>
  </si>
  <si>
    <t>SEDIAC-Soc. de Estudos, Desenv.Industr. Agrícola e Corm. SA</t>
  </si>
  <si>
    <t>VP Soluções</t>
  </si>
  <si>
    <t>BFA: 78355353.35.001</t>
  </si>
  <si>
    <t>Millennium - 06078645510001 - Euro</t>
  </si>
  <si>
    <t>Ano 2016</t>
  </si>
  <si>
    <t>Resultados operacionais</t>
  </si>
  <si>
    <t>Resultado do ano 2016</t>
  </si>
  <si>
    <t>PSI Angola</t>
  </si>
  <si>
    <t>Cimaleste</t>
  </si>
  <si>
    <t>IMAVIZ - MINING, LDA.</t>
  </si>
  <si>
    <t>Imposto sobre o valor Acrescentado</t>
  </si>
  <si>
    <t>IVA Suportado</t>
  </si>
  <si>
    <t>Meios Fixos e Investimentos</t>
  </si>
  <si>
    <t>Outros Bens e Serviços</t>
  </si>
  <si>
    <t>IVA - Liquidado</t>
  </si>
  <si>
    <t>IVA Liq. - Op. gerais</t>
  </si>
  <si>
    <t>IVA Liq. - Op. gerais - Vendas</t>
  </si>
  <si>
    <t>IVA Liq. - Op. gerais - Vendas - M.interno - 14%</t>
  </si>
  <si>
    <t>IVA - Regularizações</t>
  </si>
  <si>
    <t>IVA - Regularizações-Periódicas a favor da empresa</t>
  </si>
  <si>
    <t>IVA Reg. Emp. - Op. gerais</t>
  </si>
  <si>
    <t>IVA Reg. Emp. - Op. gerais - Vendas - M.interno - 14%</t>
  </si>
  <si>
    <t>IVA - Dedutível</t>
  </si>
  <si>
    <t>IVA - Dedutível - Existências</t>
  </si>
  <si>
    <t>IVA - Dedutível - Existências- M. interno  - 14%</t>
  </si>
  <si>
    <t>IVA - Ded. - Outros Bens - M.interno</t>
  </si>
  <si>
    <t>IVA - Ded. - Outros Bens - M.interno - 14%</t>
  </si>
  <si>
    <t>IVA Dedutível - Serviços - Mercado Interno</t>
  </si>
  <si>
    <t>IVA Dedutível - Serviços - M. interno  - 14%</t>
  </si>
  <si>
    <t>IVA Liq. - Op. gerais - Prest. Serv.</t>
  </si>
  <si>
    <t>IVA Liq. - Op. gerais - Prest. Serv. - M.interno - 14%</t>
  </si>
  <si>
    <t>IVA Reg. Emp. - Op. gerais - Prest. Serv.</t>
  </si>
  <si>
    <t>IVA Reg. Emp. - Op. gerais - Prest. Serv. - M.interno - 14%</t>
  </si>
  <si>
    <t>IVA Reg. Est.Regularizações-Periódicas a favor do Estado</t>
  </si>
  <si>
    <t>IVA Reg. Est. - Existências</t>
  </si>
  <si>
    <t>IVA Reg. Est. - Existências- M. interno  - 14%</t>
  </si>
  <si>
    <t>IVA Reg. Est. - Existências - M. externo - 14%</t>
  </si>
  <si>
    <t>IVA Reg. Est. - Meios Fixos e Investimentos</t>
  </si>
  <si>
    <t>IVA Reg. Est. - Meios Fixos e Invest. - M. interno  - 14%</t>
  </si>
  <si>
    <t>IVA Reg. Est. - Meios Fixos e Invest. - M. externo - 14%</t>
  </si>
  <si>
    <t>IVA Reg. Est. - Outros bens e Serviços</t>
  </si>
  <si>
    <t>IVA Reg. Est. - Outros Bens - M.interno - 14%</t>
  </si>
  <si>
    <t>IVA Reg. Est. - Outros Bens - M.externo - 14%</t>
  </si>
  <si>
    <t>Atlantida WTA</t>
  </si>
  <si>
    <t>Serviços de Acessoria Primavera</t>
  </si>
  <si>
    <t>IVA apuramento</t>
  </si>
  <si>
    <t>Apuramento do regime de IVA normal</t>
  </si>
  <si>
    <t>Apuramento do regime de IVA de caixa</t>
  </si>
  <si>
    <t>IVA a pagar</t>
  </si>
  <si>
    <t>IVA a pagar de apuramento</t>
  </si>
  <si>
    <t>IVA a pagar de cativo</t>
  </si>
  <si>
    <t>IVA a pagar de liquidações oficiosas</t>
  </si>
  <si>
    <t>IVA a Recuperar</t>
  </si>
  <si>
    <t>IVA a recuperar de apuramentos</t>
  </si>
  <si>
    <t>IVA a recuperar de cativo</t>
  </si>
  <si>
    <t>IVA reembolsos pedidos</t>
  </si>
  <si>
    <t>Reembolsos pedidos</t>
  </si>
  <si>
    <t>Reembolsos deferidos</t>
  </si>
  <si>
    <t>Reembolsos indeferidos</t>
  </si>
  <si>
    <t>Reembolsos reclamados, recorridos ou impugnados</t>
  </si>
  <si>
    <t>IVA Liquidações Oficiosas</t>
  </si>
  <si>
    <t>Prosegur</t>
  </si>
  <si>
    <t>Rendas de imóveis Prefor</t>
  </si>
  <si>
    <t>Transporte materiais</t>
  </si>
  <si>
    <t>Produção Seg. Social</t>
  </si>
  <si>
    <t>Produção IRT</t>
  </si>
  <si>
    <t>Lei 19/14 Rf 6,5%</t>
  </si>
  <si>
    <t>Catoca-Sociedade Mineira de Catoca, Lda</t>
  </si>
  <si>
    <t>Pumangol-Frota</t>
  </si>
  <si>
    <t>Fernando Humbe</t>
  </si>
  <si>
    <t>Ano 2017</t>
  </si>
  <si>
    <t>Resultado do ano 2017</t>
  </si>
  <si>
    <t>Gepedro Empreendimentos, Lda.</t>
  </si>
  <si>
    <t>Noé João Domingos Mateus</t>
  </si>
  <si>
    <t>SEDIAC-Soc. de Est., Desenv. Ind. Agrícola e Corm. SA</t>
  </si>
  <si>
    <t>Jeammireh Comércio e Serviços (SU), Lda</t>
  </si>
  <si>
    <t>CSR - Transportes e Logistica</t>
  </si>
  <si>
    <t>Pure Glass, Lda</t>
  </si>
  <si>
    <t>TermoPainel</t>
  </si>
  <si>
    <t>Fecocivil - Ferramentas e Construção Civil, Lda</t>
  </si>
  <si>
    <t>Blue Water Shipping - SeaRoad, Lda</t>
  </si>
  <si>
    <t>Auto 8, Lda</t>
  </si>
  <si>
    <t>Mazars</t>
  </si>
  <si>
    <t>Auto V.R. Kindanda</t>
  </si>
  <si>
    <t>Eduardo Fonseca</t>
  </si>
  <si>
    <t>Robert Hudson-Cory</t>
  </si>
  <si>
    <t>LubAfrica-Sociedade Comercial, Lda</t>
  </si>
  <si>
    <t>E.J.B, Lda</t>
  </si>
  <si>
    <t>Mulundo Ya Cannã</t>
  </si>
  <si>
    <t>JMSD</t>
  </si>
  <si>
    <t>Bownos Seguros</t>
  </si>
  <si>
    <t>UNITEL,SA</t>
  </si>
  <si>
    <t>Imposto de Selo 2018</t>
  </si>
  <si>
    <t>Duarte Jorge Gonçalves</t>
  </si>
  <si>
    <t>Claudio Oliveira</t>
  </si>
  <si>
    <t>Francisco Camucolo</t>
  </si>
  <si>
    <t>Banco BFA</t>
  </si>
  <si>
    <t>Uniformes</t>
  </si>
  <si>
    <t>Óleo e outros fluidos</t>
  </si>
  <si>
    <t>Viagens</t>
  </si>
  <si>
    <t>Portagem</t>
  </si>
  <si>
    <t>Frete</t>
  </si>
  <si>
    <t>RGP, Lda</t>
  </si>
  <si>
    <t>Remunerações do pessoal</t>
  </si>
  <si>
    <t>Outros activos correntes e contas a receber</t>
  </si>
  <si>
    <t>Água e Combustíveis</t>
  </si>
  <si>
    <t>Outros ativos correntes e contas a receber</t>
  </si>
  <si>
    <t>Resultados Transitados</t>
  </si>
  <si>
    <t>Outros passivos correntes e contas a pagar</t>
  </si>
  <si>
    <t>Abertura 2019</t>
  </si>
  <si>
    <t>Abertura 2020</t>
  </si>
  <si>
    <t>ABE_20</t>
  </si>
  <si>
    <t>Resultado do ano 2018</t>
  </si>
  <si>
    <t>Ano 2018</t>
  </si>
  <si>
    <t>21 - Caixa</t>
  </si>
  <si>
    <t>21 - Caixa Sub-total</t>
  </si>
  <si>
    <t>31 - Bancos Rec</t>
  </si>
  <si>
    <t>Transf</t>
  </si>
  <si>
    <t>32 - Bancos Pgtos</t>
  </si>
  <si>
    <t>Manutenção viaturas</t>
  </si>
  <si>
    <t>FST</t>
  </si>
  <si>
    <t>Água estaleiro</t>
  </si>
  <si>
    <t>Pgto IVA</t>
  </si>
  <si>
    <t>Leasing</t>
  </si>
  <si>
    <t>31 - Bancos Sub-total</t>
  </si>
  <si>
    <t>Cedência mão de obra</t>
  </si>
  <si>
    <t>41 - Compras Forn. CC</t>
  </si>
  <si>
    <t>Segurança</t>
  </si>
  <si>
    <t>41 - Compras Forn. CC Sub-total</t>
  </si>
  <si>
    <t>42 - Compras Caixa</t>
  </si>
  <si>
    <t>42 - Compras Caixa Sub-total</t>
  </si>
  <si>
    <t>51 - Vendas</t>
  </si>
  <si>
    <t>51 - Vendas Sub Total</t>
  </si>
  <si>
    <t>71 - Regularizações Anuais Sub-total</t>
  </si>
  <si>
    <t>71 - Regularizações Anuais</t>
  </si>
  <si>
    <t>Compras Materiais</t>
  </si>
  <si>
    <t>Despesas Médicas</t>
  </si>
  <si>
    <t>Cx_Fst</t>
  </si>
  <si>
    <t>Refeições e estadas</t>
  </si>
  <si>
    <t>Material limpeza estaleiro</t>
  </si>
  <si>
    <t>Abastecimento viaturas</t>
  </si>
  <si>
    <t>Alimentação B13</t>
  </si>
  <si>
    <t>Abertura 2021</t>
  </si>
  <si>
    <t>Ano 2019</t>
  </si>
  <si>
    <t>Resultado do ano 2019</t>
  </si>
  <si>
    <t>FA 2020C_01</t>
  </si>
  <si>
    <t>Cmp_CImobC</t>
  </si>
  <si>
    <t>Compra Land Cruiser</t>
  </si>
  <si>
    <t>DBnk</t>
  </si>
  <si>
    <t>NC 01/2020</t>
  </si>
  <si>
    <t>Regularização Ccorrente</t>
  </si>
  <si>
    <t>Manutenção Viaturas</t>
  </si>
  <si>
    <t>Habitação</t>
  </si>
  <si>
    <t>Rendas de imóveis Cofrialarme</t>
  </si>
  <si>
    <t>Aluguer meios de elevação</t>
  </si>
  <si>
    <t>Seguros Auto</t>
  </si>
  <si>
    <t>Serviços Primavera</t>
  </si>
  <si>
    <t>FA 2020C_02</t>
  </si>
  <si>
    <t>Reg_Cx</t>
  </si>
  <si>
    <t>Regularização caixa 2019</t>
  </si>
  <si>
    <t>Correcções Relativo ao Exercicio Anterior</t>
  </si>
  <si>
    <t>Regularização IVA 2019</t>
  </si>
  <si>
    <t>FA 2020C_03</t>
  </si>
  <si>
    <t>Céos - Serviços e participações, Lda</t>
  </si>
  <si>
    <t>Pgtos caixa 20.01</t>
  </si>
  <si>
    <t>Pgtos caixa 20.02</t>
  </si>
  <si>
    <t>Pgtos caixa 20.03</t>
  </si>
  <si>
    <t>Pgtos caixa 20.04</t>
  </si>
  <si>
    <t>Pgtos caixa 20.05</t>
  </si>
  <si>
    <t>Pgtos caixa 20.06</t>
  </si>
  <si>
    <t>Pgtos caixa 20.07</t>
  </si>
  <si>
    <t>Pgtos caixa 20.08</t>
  </si>
  <si>
    <t>RE 2020C_01</t>
  </si>
  <si>
    <t>RE 2020C_02</t>
  </si>
  <si>
    <t>RE 2020C_03</t>
  </si>
  <si>
    <t>RE 2020C_04</t>
  </si>
  <si>
    <t>RE 2020C_05</t>
  </si>
  <si>
    <t>RE 2020C_06</t>
  </si>
  <si>
    <t>FA 2020C_04</t>
  </si>
  <si>
    <t>FA 2020C_06</t>
  </si>
  <si>
    <t>FA 2020C_07</t>
  </si>
  <si>
    <t>FA 2020C_08</t>
  </si>
  <si>
    <t>FA 2020C_09</t>
  </si>
  <si>
    <t>FA 2020C_10</t>
  </si>
  <si>
    <t>RE 2020C_07</t>
  </si>
  <si>
    <t>RE 2020C_08</t>
  </si>
  <si>
    <t>Reforço Caixa</t>
  </si>
  <si>
    <t>Pagto Pocketmoney Jan 20 Dario S</t>
  </si>
  <si>
    <t>INSS NM 12.19</t>
  </si>
  <si>
    <t>Telefone Móvel / Internet</t>
  </si>
  <si>
    <t>Comunicações</t>
  </si>
  <si>
    <t>Consumiveis</t>
  </si>
  <si>
    <t>Combustivel gerador</t>
  </si>
  <si>
    <t>Combustivel viaturas</t>
  </si>
  <si>
    <t>Pub.</t>
  </si>
  <si>
    <t>Comb_Grd</t>
  </si>
  <si>
    <t>Reparação ferramentas</t>
  </si>
  <si>
    <t>Seg_Auto</t>
  </si>
  <si>
    <t>Honorários</t>
  </si>
  <si>
    <t>Salario Teresa V</t>
  </si>
  <si>
    <t>Limp_Hig_Con</t>
  </si>
  <si>
    <t>Comunic</t>
  </si>
  <si>
    <t>Pagto Pocketmoney Fev_Mar 20 Dario S</t>
  </si>
  <si>
    <t>Taxi Justino 75223</t>
  </si>
  <si>
    <t xml:space="preserve">ADS Sal Set 20 Augusto J </t>
  </si>
  <si>
    <t>Pgto Pocketmoney Abr_Mai 20 Dario S</t>
  </si>
  <si>
    <t>Pgto FA 1121 Vendap NMOBR19009 752213</t>
  </si>
  <si>
    <t>Pro_Seg_Con</t>
  </si>
  <si>
    <t>Pgto fardas pessoal Teixeira 75215</t>
  </si>
  <si>
    <t>Pgto ORC 2476 SocimC NMOBR20010_1</t>
  </si>
  <si>
    <t>Pgto FP 8009 ICC NMOBR20010 7111</t>
  </si>
  <si>
    <t>CECV</t>
  </si>
  <si>
    <t>Pgto JoaoMateus LandCruiser</t>
  </si>
  <si>
    <t>Pgto Neuce</t>
  </si>
  <si>
    <t>Pgto RP P2020.2073 Global 7262</t>
  </si>
  <si>
    <t>Devolução Cliente CC Motortech</t>
  </si>
  <si>
    <t>Pgto TradingC NMOBR19009</t>
  </si>
  <si>
    <t>Pgto Sal Jan 20</t>
  </si>
  <si>
    <t>Pgto INSS NM 20.01</t>
  </si>
  <si>
    <t>Pgrto Viagem Dario S Atlantida 75223</t>
  </si>
  <si>
    <t>Pgto Viagem NMOBR19009 75223</t>
  </si>
  <si>
    <t>Pgto Viagem NMOBR19009 75224</t>
  </si>
  <si>
    <t>Pgto FA 16 Prosegur 75227</t>
  </si>
  <si>
    <t>Pgto FA 2 TimoteoF NMOBR19009 752213</t>
  </si>
  <si>
    <t>Materiais NMOBR19009</t>
  </si>
  <si>
    <t>Desp_Med</t>
  </si>
  <si>
    <t>LS2000028: Ranger</t>
  </si>
  <si>
    <t>Pgto Sal Fev 20</t>
  </si>
  <si>
    <t>Fer_Utn</t>
  </si>
  <si>
    <t>Plano Boss</t>
  </si>
  <si>
    <t>Deslocação NMOBR19009 B13</t>
  </si>
  <si>
    <t>Produtos Limpeza estaleiro</t>
  </si>
  <si>
    <t>Limp_Hig_Con NMOBR19009 B13</t>
  </si>
  <si>
    <t>Limp_Hig_Con NMOBR19009 B14</t>
  </si>
  <si>
    <t>Comb_Viat</t>
  </si>
  <si>
    <t>Combustivel NMOBR10009 B13</t>
  </si>
  <si>
    <t>Gas</t>
  </si>
  <si>
    <t>Gas NMOBR10009 B13</t>
  </si>
  <si>
    <t>Manut_Ger</t>
  </si>
  <si>
    <t>Manutenção Gerador</t>
  </si>
  <si>
    <t>Manut_Viat</t>
  </si>
  <si>
    <t>Pgto Grua NMOBR19009 B13</t>
  </si>
  <si>
    <t>Manutenção viaturas B13 MO</t>
  </si>
  <si>
    <t>Pgto Lei 19_14</t>
  </si>
  <si>
    <t>Pgto IPU</t>
  </si>
  <si>
    <t>Pgto INSS NM 20.02</t>
  </si>
  <si>
    <t>Pgto FP 4649 75215</t>
  </si>
  <si>
    <t>Pgto FA 55 Prosegur 75227</t>
  </si>
  <si>
    <t>FP  333 Vendap NMOBr19009 752213</t>
  </si>
  <si>
    <t>Materiais NMOBR19009 B13</t>
  </si>
  <si>
    <t>Pgto Sal Mar 20</t>
  </si>
  <si>
    <t>Pgto Cimaleste</t>
  </si>
  <si>
    <t>Materiais Armz</t>
  </si>
  <si>
    <t>Cont_Not</t>
  </si>
  <si>
    <t>SME</t>
  </si>
  <si>
    <t>Emprtd_B13</t>
  </si>
  <si>
    <t>Pgto Cimaleste Lei 19_14</t>
  </si>
  <si>
    <t>Material de proteção</t>
  </si>
  <si>
    <t>Manut_Ferr</t>
  </si>
  <si>
    <t>PC e impressora</t>
  </si>
  <si>
    <t>Cmp_ImobC</t>
  </si>
  <si>
    <t>Material de escritorio</t>
  </si>
  <si>
    <t>Pgto Plano Boss</t>
  </si>
  <si>
    <t>Desl_Estadas</t>
  </si>
  <si>
    <t>Representação Clt_Fcd</t>
  </si>
  <si>
    <t>Manut_Eqp</t>
  </si>
  <si>
    <t>Manutenção AC MO B13</t>
  </si>
  <si>
    <t>Manutenção viaturas MO B13</t>
  </si>
  <si>
    <t>Manutenção viaturas MO B14</t>
  </si>
  <si>
    <t>impostos</t>
  </si>
  <si>
    <t>Reg_IVA</t>
  </si>
  <si>
    <t>Empreitada B13 Cimaleste</t>
  </si>
  <si>
    <t>Pgto Sdavid</t>
  </si>
  <si>
    <t>Material proteção seg. B13</t>
  </si>
  <si>
    <t xml:space="preserve"> </t>
  </si>
  <si>
    <t>Ferramentas B13</t>
  </si>
  <si>
    <t>Pgto Rendas Prefor</t>
  </si>
  <si>
    <t>Pgto Rendas Cofrialarme</t>
  </si>
  <si>
    <t>Manutenção viaturas MO</t>
  </si>
  <si>
    <t>Acessoria Primavera</t>
  </si>
  <si>
    <t>NC 01/2021</t>
  </si>
  <si>
    <t>Pgto FA 74 Prosegur 75227</t>
  </si>
  <si>
    <t>Pgto Sal Abr 20</t>
  </si>
  <si>
    <t>Pgto INSS NM 20.03</t>
  </si>
  <si>
    <t>Pgto FA 12 Cimaleste NMOBR19009 75102</t>
  </si>
  <si>
    <t>Deslocação</t>
  </si>
  <si>
    <t>Pgto Rendas Abril 20 Prefor 752212</t>
  </si>
  <si>
    <t>BFA</t>
  </si>
  <si>
    <t>BIC</t>
  </si>
  <si>
    <t>BMA</t>
  </si>
  <si>
    <t>Material NMOBR20003</t>
  </si>
  <si>
    <t>Pgto INSS NM 20 04</t>
  </si>
  <si>
    <t>Pgto FA 113 Prosegur 75227</t>
  </si>
  <si>
    <t>Pgto CC Cory</t>
  </si>
  <si>
    <t>Pgto Sal Mai 20</t>
  </si>
  <si>
    <t>Empreitada Empedra</t>
  </si>
  <si>
    <t>Empreitada B13 Sdavid</t>
  </si>
  <si>
    <t>Emprtd_Empe</t>
  </si>
  <si>
    <t>Pgto CC Empedra</t>
  </si>
  <si>
    <t>Material proteção</t>
  </si>
  <si>
    <t>Material escritorio</t>
  </si>
  <si>
    <t>Material obra NMOBR19009</t>
  </si>
  <si>
    <t>Material obra NMOBR20003</t>
  </si>
  <si>
    <t>Pgto SegAcdTrb  752222</t>
  </si>
  <si>
    <t>Pgto FP 12215 TradingC 75102 Deb. Cimaleste</t>
  </si>
  <si>
    <t>Pgto FA 146 Prosegur 75227</t>
  </si>
  <si>
    <t>Serv_transp</t>
  </si>
  <si>
    <t>Transp. NMOBR19009</t>
  </si>
  <si>
    <t>Transp. NMOBR20003</t>
  </si>
  <si>
    <t>Pgto Sal Jun 20</t>
  </si>
  <si>
    <t>Pgto INSS NM 20 05</t>
  </si>
  <si>
    <t>Material para habitação</t>
  </si>
  <si>
    <t>Pgto FA 177 Prosegur 75227</t>
  </si>
  <si>
    <t>Seg_Trab</t>
  </si>
  <si>
    <t>Pgto SegAuto JMC Global</t>
  </si>
  <si>
    <t>Pgto FA 01_2020 Cleusio S</t>
  </si>
  <si>
    <t>Pgto Sal Jul 20</t>
  </si>
  <si>
    <t>Pgto INSS NM 20 06</t>
  </si>
  <si>
    <t>Documentação</t>
  </si>
  <si>
    <t>Gas estaleiro</t>
  </si>
  <si>
    <t>Eqp_social</t>
  </si>
  <si>
    <t>Pgto INSS NM 20 07</t>
  </si>
  <si>
    <t>Pgto Sal Ago 20</t>
  </si>
  <si>
    <t>Pgto FA 154 Proteck9 75227</t>
  </si>
  <si>
    <t>Manutenção AC's</t>
  </si>
  <si>
    <t>Pgto INSS NM 20 08</t>
  </si>
  <si>
    <t>Pgto FP 81 IUHotelCAC NMOBR19009 75223</t>
  </si>
  <si>
    <t>Pgto Sal Set 20</t>
  </si>
  <si>
    <t>Material proteção NMOBR19009</t>
  </si>
  <si>
    <t>Pgto FA 172 Proteck9 75227</t>
  </si>
  <si>
    <t>Pgto FP 81 IUHotelCA NMOBR19009 75223</t>
  </si>
  <si>
    <t>Pgto FP 81 IUHotelCA NMOBR19009 75224</t>
  </si>
  <si>
    <t>Manutenção JCB</t>
  </si>
  <si>
    <t>Pgto FA 37_2020 Cleusio S 752341</t>
  </si>
  <si>
    <t>Vistos</t>
  </si>
  <si>
    <t>Obtençao de vistos</t>
  </si>
  <si>
    <t>Pgto Sal Out 20</t>
  </si>
  <si>
    <t>Pgto INSS NM 20 10</t>
  </si>
  <si>
    <t>Pgto FA 188 Proteck9 75227</t>
  </si>
  <si>
    <t>Compras materiais obras</t>
  </si>
  <si>
    <t>Pgto FA 136 CSST NMOBR19009</t>
  </si>
  <si>
    <t>Pgto INSS NM 20 09</t>
  </si>
  <si>
    <t>Empreitada Lavandaria B13</t>
  </si>
  <si>
    <t>Emprtd_Lavan</t>
  </si>
  <si>
    <t>ADF 01 Cimaleste NMOBR20005 75105</t>
  </si>
  <si>
    <t>Pgto FAS 216_7 Proteck9 75227</t>
  </si>
  <si>
    <t>Transp. NMOBR20004</t>
  </si>
  <si>
    <t>Transp. NMOBR20009</t>
  </si>
  <si>
    <t>Transp. NMOBR20010</t>
  </si>
  <si>
    <t>Pgto Sal Nov 20</t>
  </si>
  <si>
    <t>Viagem Dario S</t>
  </si>
  <si>
    <t>Material stock NMOBR20010</t>
  </si>
  <si>
    <t>Pgto INSS NM 20 11</t>
  </si>
  <si>
    <t>Indeminizações por despedimento</t>
  </si>
  <si>
    <t>Empréstimo Dez 20 Francisco O 72211</t>
  </si>
  <si>
    <t>Transferencias Normetal</t>
  </si>
  <si>
    <t>Traspaso</t>
  </si>
  <si>
    <t>Ad_Clt</t>
  </si>
  <si>
    <t>Ares Maximus</t>
  </si>
  <si>
    <t>Adiantamento cliente</t>
  </si>
  <si>
    <t>Acerto de caixa</t>
  </si>
  <si>
    <t>Acerto de cartão multicaixa</t>
  </si>
  <si>
    <t>Pgto Viagens</t>
  </si>
  <si>
    <t>Pgto Viagem Saurimo NMOBR19009 75220</t>
  </si>
  <si>
    <t>Pgto FA 386 Prosegur 75227</t>
  </si>
  <si>
    <t>Pgto FA 415_2019 Kindanda  752144</t>
  </si>
  <si>
    <t>Pgto PF 01_2020 Cleusio S 752341</t>
  </si>
  <si>
    <t>Reg_ImoC</t>
  </si>
  <si>
    <t>Gerador Genalec</t>
  </si>
  <si>
    <t>Gerador Kipor</t>
  </si>
  <si>
    <t>Regularização imobilizado</t>
  </si>
  <si>
    <t>Pgtos caixa 20.09</t>
  </si>
  <si>
    <t>Pgtos caixa 20.10</t>
  </si>
  <si>
    <t>Pgtos caixa 20.11</t>
  </si>
  <si>
    <t>Pgtos caixa 20.12</t>
  </si>
  <si>
    <t>Ford Ranger - LD-22-37-FS</t>
  </si>
  <si>
    <t>Toyota Land Cruiser - LD-74-36-FS</t>
  </si>
  <si>
    <t>RESULTADOS LÍQUIDOS DO EXERCíCIO</t>
  </si>
  <si>
    <t>Mbolo Yeto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</si>
</sst>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yyyy"/>
    <numFmt numFmtId="165" formatCode="d/m/yyyy;@"/>
    <numFmt numFmtId="166" formatCode="d&quot; de &quot;mmmm&quot; de &quot;yyyy"/>
    <numFmt numFmtId="167" formatCode="#,##0.00\ ;[Red]\-#,##0.00\ "/>
    <numFmt numFmtId="168" formatCode="#,##0.00&quot;   &quot;;[Red]\-#,##0.00&quot;   &quot;"/>
    <numFmt numFmtId="169" formatCode="[$-816]dd/mmm"/>
    <numFmt numFmtId="170" formatCode="d/mmm;@"/>
    <numFmt numFmtId="171" formatCode="#,##0.0000000000000"/>
    <numFmt numFmtId="172" formatCode="#,##0;\(#,##0\)"/>
    <numFmt numFmtId="173" formatCode="_-* #,##0.00\ _€_-;\-* #,##0.00\ _€_-;_-* \-??\ _€_-;_-@_-"/>
    <numFmt numFmtId="174" formatCode="\ * #,##0&quot;    &quot;;\-* #,##0&quot;    &quot;;\ * &quot;-    &quot;;@\ "/>
    <numFmt numFmtId="175" formatCode="yyyy;@"/>
    <numFmt numFmtId="176" formatCode="\ * #,##0&quot;    &quot;;\-* #,##0&quot;    &quot;;\ * \-#&quot;    &quot;;@\ "/>
  </numFmts>
  <fonts count="75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i/>
      <sz val="11"/>
      <color rgb="FF7F7F7F"/>
      <name val="Calibri"/>
      <family val="2"/>
      <charset val="1"/>
    </font>
    <font>
      <b/>
      <sz val="10"/>
      <color rgb="FF2E75B6"/>
      <name val="Calibri"/>
      <family val="2"/>
      <charset val="1"/>
    </font>
    <font>
      <b/>
      <sz val="12"/>
      <color rgb="FF203864"/>
      <name val="Calibri"/>
      <family val="2"/>
      <charset val="1"/>
    </font>
    <font>
      <sz val="10"/>
      <color rgb="FF2E75B6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4"/>
      <color rgb="FF203864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800000"/>
      <name val="Calibri"/>
      <family val="2"/>
      <charset val="1"/>
    </font>
    <font>
      <sz val="10"/>
      <color rgb="FF2F5597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2"/>
      <color rgb="FF33CC33"/>
      <name val="Calibri"/>
      <family val="2"/>
      <charset val="1"/>
    </font>
    <font>
      <b/>
      <sz val="10"/>
      <color rgb="FF33CC33"/>
      <name val="Calibri"/>
      <family val="2"/>
      <charset val="1"/>
    </font>
    <font>
      <b/>
      <i/>
      <sz val="10"/>
      <color rgb="FFFFFFFF"/>
      <name val="Calibri"/>
      <family val="2"/>
      <charset val="1"/>
    </font>
    <font>
      <b/>
      <i/>
      <sz val="14"/>
      <color rgb="FFFFFFFF"/>
      <name val="Calibri"/>
      <family val="2"/>
      <charset val="1"/>
    </font>
    <font>
      <b/>
      <sz val="12"/>
      <color rgb="FF55FB3F"/>
      <name val="Calibri"/>
      <family val="2"/>
      <charset val="1"/>
    </font>
    <font>
      <b/>
      <sz val="10"/>
      <color rgb="FF55FB3F"/>
      <name val="Calibri"/>
      <family val="2"/>
      <charset val="1"/>
    </font>
    <font>
      <b/>
      <i/>
      <sz val="10"/>
      <color rgb="FF2E75B6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203864"/>
      <name val="Calibri"/>
      <family val="2"/>
      <charset val="1"/>
    </font>
    <font>
      <sz val="11"/>
      <color rgb="FF203864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Liberation Sans Narrow"/>
      <family val="2"/>
      <charset val="1"/>
    </font>
    <font>
      <b/>
      <sz val="14"/>
      <color rgb="FF203864"/>
      <name val="Liberation Sans Narrow"/>
      <family val="2"/>
      <charset val="1"/>
    </font>
    <font>
      <b/>
      <sz val="11"/>
      <color rgb="FF203864"/>
      <name val="Liberation Sans Narrow"/>
      <family val="2"/>
      <charset val="1"/>
    </font>
    <font>
      <sz val="11"/>
      <color rgb="FF203864"/>
      <name val="Liberation Sans Narrow"/>
      <family val="2"/>
      <charset val="1"/>
    </font>
    <font>
      <b/>
      <sz val="14"/>
      <color rgb="FFFFFFFF"/>
      <name val="Liberation Sans Narrow"/>
      <family val="2"/>
      <charset val="1"/>
    </font>
    <font>
      <b/>
      <sz val="12"/>
      <color rgb="FFFFFFFF"/>
      <name val="Liberation Sans Narrow"/>
      <family val="2"/>
      <charset val="1"/>
    </font>
    <font>
      <b/>
      <sz val="12"/>
      <color rgb="FF203864"/>
      <name val="Liberation Sans Narrow"/>
      <family val="2"/>
      <charset val="1"/>
    </font>
    <font>
      <sz val="12"/>
      <color rgb="FF203864"/>
      <name val="Liberation Sans Narrow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b/>
      <sz val="10"/>
      <color rgb="FFA20000"/>
      <name val="Calibri"/>
      <family val="2"/>
      <charset val="1"/>
    </font>
    <font>
      <b/>
      <sz val="12"/>
      <color rgb="FFA20000"/>
      <name val="Calibri"/>
      <family val="2"/>
      <charset val="1"/>
    </font>
    <font>
      <sz val="10"/>
      <color rgb="FF6C0000"/>
      <name val="Calibri"/>
      <family val="2"/>
      <charset val="1"/>
    </font>
    <font>
      <b/>
      <i/>
      <sz val="10"/>
      <color rgb="FF6C0000"/>
      <name val="Calibri"/>
      <family val="2"/>
      <charset val="1"/>
    </font>
    <font>
      <b/>
      <sz val="10"/>
      <color rgb="FF6C0000"/>
      <name val="Calibri"/>
      <family val="2"/>
      <charset val="1"/>
    </font>
    <font>
      <i/>
      <sz val="10"/>
      <color rgb="FF6C0000"/>
      <name val="Calibri"/>
      <family val="2"/>
      <charset val="1"/>
    </font>
    <font>
      <b/>
      <sz val="11"/>
      <color rgb="FF6C0000"/>
      <name val="Calibri"/>
      <family val="2"/>
      <charset val="1"/>
    </font>
    <font>
      <sz val="11"/>
      <color rgb="FF6C0000"/>
      <name val="Calibri"/>
      <family val="2"/>
      <charset val="1"/>
    </font>
    <font>
      <b/>
      <sz val="12"/>
      <color rgb="FF6C0000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sz val="12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/>
      <sz val="14"/>
      <color theme="0"/>
      <name val="Liberation Sans Narrow"/>
      <family val="2"/>
      <charset val="1"/>
    </font>
    <font>
      <sz val="11"/>
      <color theme="0"/>
      <name val="Liberation Sans Narrow"/>
      <family val="2"/>
      <charset val="1"/>
    </font>
    <font>
      <b/>
      <sz val="11"/>
      <color theme="0"/>
      <name val="Liberation Sans Narrow"/>
      <family val="2"/>
      <charset val="1"/>
    </font>
    <font>
      <b/>
      <sz val="14"/>
      <color theme="0"/>
      <name val="Calibri"/>
      <family val="2"/>
      <charset val="1"/>
    </font>
    <font>
      <b/>
      <sz val="10"/>
      <color theme="0"/>
      <name val="Calibri"/>
      <family val="2"/>
      <charset val="1"/>
    </font>
    <font>
      <sz val="10"/>
      <color theme="0"/>
      <name val="Calibri"/>
      <family val="2"/>
      <charset val="1"/>
    </font>
    <font>
      <b/>
      <sz val="10"/>
      <color rgb="FF6C0000"/>
      <name val="Calibri"/>
      <family val="2"/>
    </font>
    <font>
      <sz val="10"/>
      <color rgb="FF6C0000"/>
      <name val="Calibri"/>
      <family val="2"/>
    </font>
    <font>
      <b/>
      <sz val="11"/>
      <color rgb="FF000000"/>
      <name val="Calibri"/>
      <family val="2"/>
    </font>
    <font>
      <b/>
      <sz val="10"/>
      <name val="Calibri"/>
      <family val="2"/>
      <charset val="1"/>
    </font>
    <font>
      <b/>
      <sz val="10"/>
      <color rgb="FFA20000"/>
      <name val="Calibri"/>
      <family val="2"/>
    </font>
    <font>
      <b/>
      <sz val="12"/>
      <color rgb="FFA20000"/>
      <name val="Calibri"/>
      <family val="2"/>
    </font>
    <font>
      <strike/>
      <sz val="10"/>
      <color rgb="FF000000"/>
      <name val="Calibri"/>
      <family val="2"/>
      <charset val="1"/>
    </font>
    <font>
      <strike/>
      <sz val="10"/>
      <name val="Calibri"/>
      <family val="2"/>
      <charset val="1"/>
    </font>
    <font>
      <b/>
      <sz val="16"/>
      <color theme="4" tint="-0.499984740745262"/>
      <name val="Calibri"/>
      <family val="2"/>
      <charset val="1"/>
    </font>
    <font>
      <sz val="11"/>
      <color theme="4" tint="-0.499984740745262"/>
      <name val="Calibri"/>
      <family val="2"/>
      <charset val="1"/>
    </font>
    <font>
      <sz val="16"/>
      <color theme="4" tint="-0.499984740745262"/>
      <name val="Calibri"/>
      <family val="2"/>
      <charset val="1"/>
    </font>
    <font>
      <b/>
      <sz val="10"/>
      <color theme="4" tint="-0.499984740745262"/>
      <name val="Calibri"/>
      <family val="2"/>
      <charset val="1"/>
    </font>
    <font>
      <b/>
      <sz val="12"/>
      <color theme="4" tint="-0.499984740745262"/>
      <name val="Calibri"/>
      <family val="2"/>
      <charset val="1"/>
    </font>
    <font>
      <b/>
      <i/>
      <sz val="11"/>
      <color theme="4" tint="-0.499984740745262"/>
      <name val="Calibri"/>
      <family val="2"/>
      <charset val="1"/>
    </font>
    <font>
      <b/>
      <i/>
      <sz val="16"/>
      <color theme="4" tint="-0.499984740745262"/>
      <name val="Calibri"/>
      <family val="2"/>
      <charset val="1"/>
    </font>
    <font>
      <sz val="10"/>
      <color theme="4" tint="-0.499984740745262"/>
      <name val="Calibri"/>
      <family val="2"/>
      <charset val="1"/>
    </font>
    <font>
      <b/>
      <sz val="14"/>
      <color theme="4" tint="-0.499984740745262"/>
      <name val="Calibri"/>
      <family val="2"/>
      <charset val="1"/>
    </font>
    <font>
      <b/>
      <sz val="32"/>
      <color theme="4" tint="-0.499984740745262"/>
      <name val="Liberation Sans Narrow"/>
      <family val="2"/>
      <charset val="1"/>
    </font>
    <font>
      <b/>
      <sz val="24"/>
      <color theme="4" tint="-0.499984740745262"/>
      <name val="Liberation Sans Narrow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99FF66"/>
        <bgColor rgb="FF99FF99"/>
      </patternFill>
    </fill>
    <fill>
      <patternFill patternType="solid">
        <fgColor rgb="FFD9D9D9"/>
        <bgColor rgb="FFDDDDDD"/>
      </patternFill>
    </fill>
    <fill>
      <patternFill patternType="solid">
        <fgColor rgb="FFDDDDDD"/>
        <bgColor rgb="FFD9D9D9"/>
      </patternFill>
    </fill>
    <fill>
      <patternFill patternType="solid">
        <fgColor rgb="FF8FAADC"/>
        <bgColor rgb="FF969696"/>
      </patternFill>
    </fill>
    <fill>
      <patternFill patternType="solid">
        <fgColor rgb="FF2F5597"/>
        <bgColor rgb="FF2E75B6"/>
      </patternFill>
    </fill>
    <fill>
      <patternFill patternType="solid">
        <fgColor rgb="FFDEEBF7"/>
        <bgColor rgb="FFE6E6FF"/>
      </patternFill>
    </fill>
    <fill>
      <patternFill patternType="solid">
        <fgColor rgb="FFF2F2F2"/>
        <bgColor rgb="FFE6E6FF"/>
      </patternFill>
    </fill>
    <fill>
      <patternFill patternType="solid">
        <fgColor rgb="FF2E75B6"/>
        <bgColor rgb="FF2F5597"/>
      </patternFill>
    </fill>
    <fill>
      <patternFill patternType="solid">
        <fgColor rgb="FFA20000"/>
        <bgColor rgb="FF969696"/>
      </patternFill>
    </fill>
    <fill>
      <patternFill patternType="solid">
        <fgColor rgb="FFA20000"/>
        <bgColor rgb="FFD9D9D9"/>
      </patternFill>
    </fill>
    <fill>
      <patternFill patternType="solid">
        <fgColor rgb="FF6C0000"/>
        <bgColor rgb="FF2E75B6"/>
      </patternFill>
    </fill>
    <fill>
      <patternFill patternType="solid">
        <fgColor rgb="FF6C0000"/>
        <bgColor indexed="64"/>
      </patternFill>
    </fill>
    <fill>
      <patternFill patternType="solid">
        <fgColor rgb="FF6C0000"/>
        <bgColor rgb="FF969696"/>
      </patternFill>
    </fill>
    <fill>
      <patternFill patternType="solid">
        <fgColor rgb="FF6C0000"/>
        <bgColor rgb="FFDEEBF7"/>
      </patternFill>
    </fill>
    <fill>
      <patternFill patternType="solid">
        <fgColor rgb="FFA20000"/>
        <bgColor rgb="FFE6E6FF"/>
      </patternFill>
    </fill>
    <fill>
      <patternFill patternType="solid">
        <fgColor rgb="FFA20000"/>
        <bgColor rgb="FFDEEBF7"/>
      </patternFill>
    </fill>
    <fill>
      <patternFill patternType="solid">
        <fgColor rgb="FFF57745"/>
        <bgColor rgb="FF99FF99"/>
      </patternFill>
    </fill>
  </fills>
  <borders count="67">
    <border>
      <left/>
      <right/>
      <top/>
      <bottom/>
      <diagonal/>
    </border>
    <border>
      <left style="thin">
        <color rgb="FF203864"/>
      </left>
      <right style="thin">
        <color rgb="FF203864"/>
      </right>
      <top style="thin">
        <color rgb="FF203864"/>
      </top>
      <bottom/>
      <diagonal/>
    </border>
    <border>
      <left style="thin">
        <color rgb="FF203864"/>
      </left>
      <right style="thin">
        <color rgb="FF203864"/>
      </right>
      <top style="thin">
        <color rgb="FF203864"/>
      </top>
      <bottom style="thin">
        <color rgb="FF203864"/>
      </bottom>
      <diagonal/>
    </border>
    <border>
      <left style="thin">
        <color rgb="FF203864"/>
      </left>
      <right/>
      <top style="thin">
        <color rgb="FF203864"/>
      </top>
      <bottom/>
      <diagonal/>
    </border>
    <border>
      <left/>
      <right/>
      <top style="thin">
        <color rgb="FF203864"/>
      </top>
      <bottom/>
      <diagonal/>
    </border>
    <border>
      <left/>
      <right style="thin">
        <color auto="1"/>
      </right>
      <top style="thin">
        <color rgb="FF203864"/>
      </top>
      <bottom/>
      <diagonal/>
    </border>
    <border>
      <left style="thin">
        <color auto="1"/>
      </left>
      <right/>
      <top style="thin">
        <color rgb="FF203864"/>
      </top>
      <bottom/>
      <diagonal/>
    </border>
    <border>
      <left style="thin">
        <color rgb="FF203864"/>
      </left>
      <right style="thin">
        <color rgb="FF203864"/>
      </right>
      <top/>
      <bottom/>
      <diagonal/>
    </border>
    <border>
      <left style="thin">
        <color rgb="FF2038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2038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203864"/>
      </left>
      <right/>
      <top/>
      <bottom style="thin">
        <color rgb="FF203864"/>
      </bottom>
      <diagonal/>
    </border>
    <border>
      <left/>
      <right/>
      <top/>
      <bottom style="thin">
        <color rgb="FF203864"/>
      </bottom>
      <diagonal/>
    </border>
    <border>
      <left style="thin">
        <color rgb="FF203864"/>
      </left>
      <right style="thin">
        <color rgb="FF203864"/>
      </right>
      <top/>
      <bottom style="thin">
        <color rgb="FF203864"/>
      </bottom>
      <diagonal/>
    </border>
    <border>
      <left style="thin">
        <color rgb="FF203864"/>
      </left>
      <right/>
      <top style="thin">
        <color rgb="FF203864"/>
      </top>
      <bottom style="thin">
        <color rgb="FF203864"/>
      </bottom>
      <diagonal/>
    </border>
    <border>
      <left/>
      <right style="thin">
        <color rgb="FF203864"/>
      </right>
      <top style="thin">
        <color rgb="FF203864"/>
      </top>
      <bottom style="thin">
        <color rgb="FF203864"/>
      </bottom>
      <diagonal/>
    </border>
    <border>
      <left style="thin">
        <color auto="1"/>
      </left>
      <right style="thin">
        <color rgb="FF2038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203864"/>
      </bottom>
      <diagonal/>
    </border>
    <border>
      <left/>
      <right style="thin">
        <color rgb="FF203864"/>
      </right>
      <top/>
      <bottom/>
      <diagonal/>
    </border>
    <border>
      <left/>
      <right style="thin">
        <color auto="1"/>
      </right>
      <top style="thin">
        <color rgb="FF203864"/>
      </top>
      <bottom style="thin">
        <color rgb="FF203864"/>
      </bottom>
      <diagonal/>
    </border>
    <border>
      <left style="thin">
        <color auto="1"/>
      </left>
      <right style="thin">
        <color rgb="FF203864"/>
      </right>
      <top style="thin">
        <color rgb="FF203864"/>
      </top>
      <bottom style="thin">
        <color rgb="FF203864"/>
      </bottom>
      <diagonal/>
    </border>
    <border>
      <left style="thin">
        <color auto="1"/>
      </left>
      <right style="thin">
        <color rgb="FF203864"/>
      </right>
      <top style="thin">
        <color rgb="FF203864"/>
      </top>
      <bottom/>
      <diagonal/>
    </border>
    <border>
      <left/>
      <right style="thin">
        <color auto="1"/>
      </right>
      <top/>
      <bottom style="thin">
        <color rgb="FF2038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203864"/>
      </top>
      <bottom style="thin">
        <color rgb="FF2038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rgb="FF2038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203864"/>
      </left>
      <right/>
      <top style="thin">
        <color rgb="FF203864"/>
      </top>
      <bottom style="double">
        <color rgb="FF203864"/>
      </bottom>
      <diagonal/>
    </border>
    <border>
      <left/>
      <right/>
      <top style="thin">
        <color rgb="FF203864"/>
      </top>
      <bottom style="double">
        <color rgb="FF203864"/>
      </bottom>
      <diagonal/>
    </border>
    <border>
      <left/>
      <right style="thin">
        <color rgb="FF203864"/>
      </right>
      <top style="thin">
        <color rgb="FF203864"/>
      </top>
      <bottom style="double">
        <color rgb="FF203864"/>
      </bottom>
      <diagonal/>
    </border>
    <border>
      <left style="thin">
        <color rgb="FF203864"/>
      </left>
      <right style="thin">
        <color rgb="FF203864"/>
      </right>
      <top style="thin">
        <color rgb="FF203864"/>
      </top>
      <bottom style="double">
        <color rgb="FF203864"/>
      </bottom>
      <diagonal/>
    </border>
    <border>
      <left style="thin">
        <color rgb="FF203864"/>
      </left>
      <right/>
      <top style="double">
        <color rgb="FF203864"/>
      </top>
      <bottom/>
      <diagonal/>
    </border>
    <border>
      <left/>
      <right/>
      <top style="double">
        <color rgb="FF203864"/>
      </top>
      <bottom/>
      <diagonal/>
    </border>
    <border>
      <left/>
      <right style="thin">
        <color auto="1"/>
      </right>
      <top style="double">
        <color rgb="FF203864"/>
      </top>
      <bottom/>
      <diagonal/>
    </border>
    <border>
      <left style="thin">
        <color auto="1"/>
      </left>
      <right style="thin">
        <color auto="1"/>
      </right>
      <top style="double">
        <color rgb="FF203864"/>
      </top>
      <bottom/>
      <diagonal/>
    </border>
    <border>
      <left style="thin">
        <color auto="1"/>
      </left>
      <right style="thin">
        <color auto="1"/>
      </right>
      <top style="thin">
        <color rgb="FF203864"/>
      </top>
      <bottom style="double">
        <color rgb="FF203864"/>
      </bottom>
      <diagonal/>
    </border>
    <border>
      <left style="thin">
        <color auto="1"/>
      </left>
      <right style="thin">
        <color rgb="FF203864"/>
      </right>
      <top style="thin">
        <color rgb="FF203864"/>
      </top>
      <bottom style="double">
        <color rgb="FF203864"/>
      </bottom>
      <diagonal/>
    </border>
    <border>
      <left style="thin">
        <color rgb="FF6C0000"/>
      </left>
      <right style="thin">
        <color rgb="FF6C0000"/>
      </right>
      <top style="thin">
        <color rgb="FF6C0000"/>
      </top>
      <bottom/>
      <diagonal/>
    </border>
    <border>
      <left style="thin">
        <color rgb="FF6C0000"/>
      </left>
      <right style="thin">
        <color rgb="FF203864"/>
      </right>
      <top style="thin">
        <color rgb="FF6C0000"/>
      </top>
      <bottom/>
      <diagonal/>
    </border>
    <border>
      <left style="thin">
        <color rgb="FF6C0000"/>
      </left>
      <right/>
      <top/>
      <bottom/>
      <diagonal/>
    </border>
    <border>
      <left style="thin">
        <color rgb="FF6C0000"/>
      </left>
      <right style="thin">
        <color rgb="FF6C0000"/>
      </right>
      <top/>
      <bottom style="thin">
        <color rgb="FF6C0000"/>
      </bottom>
      <diagonal/>
    </border>
    <border>
      <left style="thin">
        <color rgb="FF6C0000"/>
      </left>
      <right/>
      <top/>
      <bottom style="thin">
        <color rgb="FF6C0000"/>
      </bottom>
      <diagonal/>
    </border>
    <border>
      <left style="thin">
        <color rgb="FF6C0000"/>
      </left>
      <right style="thin">
        <color rgb="FF6C0000"/>
      </right>
      <top/>
      <bottom/>
      <diagonal/>
    </border>
    <border>
      <left style="thin">
        <color rgb="FF6C0000"/>
      </left>
      <right/>
      <top style="thin">
        <color rgb="FF6C0000"/>
      </top>
      <bottom/>
      <diagonal/>
    </border>
    <border>
      <left/>
      <right style="thin">
        <color rgb="FF6C0000"/>
      </right>
      <top style="thin">
        <color rgb="FF6C0000"/>
      </top>
      <bottom/>
      <diagonal/>
    </border>
    <border>
      <left/>
      <right style="thin">
        <color rgb="FF6C0000"/>
      </right>
      <top/>
      <bottom/>
      <diagonal/>
    </border>
    <border>
      <left/>
      <right style="thin">
        <color rgb="FF6C0000"/>
      </right>
      <top/>
      <bottom style="thin">
        <color rgb="FF6C0000"/>
      </bottom>
      <diagonal/>
    </border>
    <border>
      <left/>
      <right/>
      <top style="thin">
        <color rgb="FF6C0000"/>
      </top>
      <bottom/>
      <diagonal/>
    </border>
    <border>
      <left/>
      <right/>
      <top/>
      <bottom style="thin">
        <color rgb="FF6C0000"/>
      </bottom>
      <diagonal/>
    </border>
    <border>
      <left style="thin">
        <color rgb="FF6C0000"/>
      </left>
      <right style="thin">
        <color rgb="FF6C0000"/>
      </right>
      <top style="thin">
        <color rgb="FF6C0000"/>
      </top>
      <bottom style="thin">
        <color rgb="FF6C0000"/>
      </bottom>
      <diagonal/>
    </border>
    <border>
      <left style="thin">
        <color rgb="FF6C0000"/>
      </left>
      <right style="thin">
        <color rgb="FF6C0000"/>
      </right>
      <top style="thin">
        <color rgb="FF6C0000"/>
      </top>
      <bottom style="thin">
        <color rgb="FF203864"/>
      </bottom>
      <diagonal/>
    </border>
    <border>
      <left style="thin">
        <color rgb="FF6C0000"/>
      </left>
      <right style="thin">
        <color rgb="FF203864"/>
      </right>
      <top style="thin">
        <color rgb="FF6C0000"/>
      </top>
      <bottom style="thin">
        <color rgb="FF6C0000"/>
      </bottom>
      <diagonal/>
    </border>
    <border>
      <left/>
      <right/>
      <top/>
      <bottom style="medium">
        <color rgb="FF6C0000"/>
      </bottom>
      <diagonal/>
    </border>
    <border>
      <left style="thin">
        <color auto="1"/>
      </left>
      <right/>
      <top style="thin">
        <color rgb="FF6C0000"/>
      </top>
      <bottom/>
      <diagonal/>
    </border>
    <border>
      <left style="thin">
        <color auto="1"/>
      </left>
      <right/>
      <top/>
      <bottom style="thin">
        <color rgb="FF6C0000"/>
      </bottom>
      <diagonal/>
    </border>
    <border>
      <left style="thin">
        <color auto="1"/>
      </left>
      <right style="thin">
        <color rgb="FF203864"/>
      </right>
      <top style="thin">
        <color rgb="FF6C0000"/>
      </top>
      <bottom/>
      <diagonal/>
    </border>
    <border>
      <left style="thin">
        <color auto="1"/>
      </left>
      <right style="thin">
        <color rgb="FF6C0000"/>
      </right>
      <top style="thin">
        <color rgb="FF6C0000"/>
      </top>
      <bottom/>
      <diagonal/>
    </border>
    <border>
      <left style="thin">
        <color rgb="FF6C0000"/>
      </left>
      <right style="thin">
        <color rgb="FF203864"/>
      </right>
      <top/>
      <bottom/>
      <diagonal/>
    </border>
    <border>
      <left style="thin">
        <color auto="1"/>
      </left>
      <right style="thin">
        <color rgb="FF6C0000"/>
      </right>
      <top/>
      <bottom/>
      <diagonal/>
    </border>
    <border>
      <left style="thin">
        <color rgb="FF203864"/>
      </left>
      <right style="thin">
        <color rgb="FF203864"/>
      </right>
      <top style="thin">
        <color rgb="FF6C0000"/>
      </top>
      <bottom style="thin">
        <color rgb="FF6C0000"/>
      </bottom>
      <diagonal/>
    </border>
    <border>
      <left style="thin">
        <color rgb="FF203864"/>
      </left>
      <right style="thin">
        <color rgb="FF6C0000"/>
      </right>
      <top style="thin">
        <color rgb="FF6C0000"/>
      </top>
      <bottom style="thin">
        <color rgb="FF6C0000"/>
      </bottom>
      <diagonal/>
    </border>
    <border>
      <left style="thin">
        <color rgb="FF6C0000"/>
      </left>
      <right style="thin">
        <color theme="0"/>
      </right>
      <top style="thin">
        <color theme="0"/>
      </top>
      <bottom/>
      <diagonal/>
    </border>
    <border>
      <left style="thin">
        <color rgb="FF6C0000"/>
      </left>
      <right style="thin">
        <color theme="0"/>
      </right>
      <top/>
      <bottom/>
      <diagonal/>
    </border>
    <border>
      <left style="thin">
        <color rgb="FF6C0000"/>
      </left>
      <right style="thin">
        <color rgb="FF6C0000"/>
      </right>
      <top style="thin">
        <color theme="0"/>
      </top>
      <bottom/>
      <diagonal/>
    </border>
    <border>
      <left style="thin">
        <color rgb="FF6C0000"/>
      </left>
      <right style="thin">
        <color rgb="FF6C0000"/>
      </right>
      <top/>
      <bottom style="thin">
        <color indexed="64"/>
      </bottom>
      <diagonal/>
    </border>
  </borders>
  <cellStyleXfs count="4">
    <xf numFmtId="0" fontId="0" fillId="0" borderId="0"/>
    <xf numFmtId="173" fontId="35" fillId="0" borderId="0" applyBorder="0" applyProtection="0"/>
    <xf numFmtId="0" fontId="1" fillId="0" borderId="0"/>
    <xf numFmtId="0" fontId="2" fillId="0" borderId="0" applyBorder="0" applyProtection="0"/>
  </cellStyleXfs>
  <cellXfs count="592">
    <xf numFmtId="0" fontId="0" fillId="0" borderId="0" xfId="0"/>
    <xf numFmtId="0" fontId="3" fillId="0" borderId="0" xfId="3" applyFont="1" applyBorder="1" applyAlignment="1" applyProtection="1">
      <alignment vertical="center"/>
    </xf>
    <xf numFmtId="0" fontId="5" fillId="0" borderId="0" xfId="3" applyFont="1" applyBorder="1" applyAlignment="1" applyProtection="1">
      <alignment vertical="center"/>
    </xf>
    <xf numFmtId="0" fontId="5" fillId="0" borderId="0" xfId="3" applyFont="1" applyBorder="1" applyAlignment="1" applyProtection="1">
      <alignment horizontal="left" vertical="center"/>
    </xf>
    <xf numFmtId="0" fontId="0" fillId="0" borderId="0" xfId="0" applyAlignment="1">
      <alignment horizontal="left" indent="1"/>
    </xf>
    <xf numFmtId="0" fontId="6" fillId="2" borderId="0" xfId="0" applyFont="1" applyFill="1" applyAlignment="1">
      <alignment horizontal="center" vertical="center"/>
    </xf>
    <xf numFmtId="167" fontId="6" fillId="2" borderId="0" xfId="0" applyNumberFormat="1" applyFont="1" applyFill="1" applyAlignment="1">
      <alignment horizontal="center" vertical="center"/>
    </xf>
    <xf numFmtId="168" fontId="6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3" borderId="0" xfId="0" applyFont="1" applyFill="1"/>
    <xf numFmtId="169" fontId="8" fillId="0" borderId="0" xfId="0" applyNumberFormat="1" applyFont="1" applyAlignment="1">
      <alignment horizontal="center"/>
    </xf>
    <xf numFmtId="0" fontId="9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left" indent="1"/>
      <protection hidden="1"/>
    </xf>
    <xf numFmtId="4" fontId="9" fillId="0" borderId="0" xfId="0" applyNumberFormat="1" applyFont="1" applyAlignment="1">
      <alignment horizontal="right" indent="1"/>
    </xf>
    <xf numFmtId="0" fontId="9" fillId="0" borderId="0" xfId="0" applyFont="1"/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4" fontId="9" fillId="0" borderId="0" xfId="0" applyNumberFormat="1" applyFont="1" applyProtection="1">
      <protection locked="0"/>
    </xf>
    <xf numFmtId="0" fontId="9" fillId="0" borderId="0" xfId="0" applyFont="1" applyProtection="1">
      <protection locked="0"/>
    </xf>
    <xf numFmtId="0" fontId="9" fillId="0" borderId="0" xfId="0" applyFont="1" applyAlignment="1">
      <alignment horizontal="right" indent="1"/>
    </xf>
    <xf numFmtId="4" fontId="8" fillId="0" borderId="0" xfId="0" applyNumberFormat="1" applyFont="1" applyAlignment="1">
      <alignment horizontal="right" indent="1"/>
    </xf>
    <xf numFmtId="0" fontId="8" fillId="0" borderId="0" xfId="0" applyFont="1" applyAlignment="1" applyProtection="1">
      <alignment horizontal="left" indent="1"/>
      <protection locked="0"/>
    </xf>
    <xf numFmtId="0" fontId="10" fillId="4" borderId="0" xfId="0" applyFont="1" applyFill="1"/>
    <xf numFmtId="1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>
      <alignment horizontal="left" indent="1"/>
    </xf>
    <xf numFmtId="0" fontId="8" fillId="0" borderId="0" xfId="2" applyFont="1" applyAlignment="1">
      <alignment horizontal="left" vertical="center" indent="1"/>
    </xf>
    <xf numFmtId="4" fontId="9" fillId="0" borderId="0" xfId="0" applyNumberFormat="1" applyFont="1" applyAlignment="1" applyProtection="1">
      <alignment horizontal="right" indent="1"/>
      <protection locked="0"/>
    </xf>
    <xf numFmtId="170" fontId="8" fillId="0" borderId="0" xfId="0" applyNumberFormat="1" applyFont="1" applyAlignment="1">
      <alignment horizontal="center"/>
    </xf>
    <xf numFmtId="4" fontId="9" fillId="0" borderId="0" xfId="0" applyNumberFormat="1" applyFont="1"/>
    <xf numFmtId="4" fontId="11" fillId="0" borderId="0" xfId="0" applyNumberFormat="1" applyFont="1"/>
    <xf numFmtId="0" fontId="0" fillId="0" borderId="0" xfId="0" applyAlignment="1">
      <alignment horizontal="center"/>
    </xf>
    <xf numFmtId="0" fontId="9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left" indent="1"/>
    </xf>
    <xf numFmtId="0" fontId="0" fillId="0" borderId="0" xfId="0" applyAlignment="1">
      <alignment horizontal="left" vertical="center" indent="1"/>
    </xf>
    <xf numFmtId="171" fontId="0" fillId="0" borderId="0" xfId="0" applyNumberFormat="1" applyAlignment="1">
      <alignment horizontal="left" vertical="center" indent="1"/>
    </xf>
    <xf numFmtId="169" fontId="8" fillId="0" borderId="0" xfId="0" applyNumberFormat="1" applyFont="1" applyAlignment="1" applyProtection="1">
      <alignment horizontal="center"/>
      <protection locked="0"/>
    </xf>
    <xf numFmtId="4" fontId="9" fillId="0" borderId="0" xfId="0" applyNumberFormat="1" applyFont="1" applyAlignment="1" applyProtection="1">
      <alignment horizontal="right" indent="3"/>
      <protection locked="0"/>
    </xf>
    <xf numFmtId="0" fontId="9" fillId="0" borderId="0" xfId="0" applyFont="1" applyAlignment="1">
      <alignment horizontal="left" vertical="center" indent="1"/>
    </xf>
    <xf numFmtId="4" fontId="9" fillId="0" borderId="0" xfId="0" applyNumberFormat="1" applyFont="1" applyAlignment="1" applyProtection="1">
      <alignment horizontal="left" vertical="center" indent="3"/>
      <protection locked="0"/>
    </xf>
    <xf numFmtId="4" fontId="9" fillId="0" borderId="0" xfId="0" applyNumberFormat="1" applyFont="1" applyAlignment="1" applyProtection="1">
      <alignment horizontal="left" vertical="center" indent="4"/>
      <protection locked="0"/>
    </xf>
    <xf numFmtId="4" fontId="9" fillId="0" borderId="0" xfId="0" applyNumberFormat="1" applyFont="1" applyAlignment="1">
      <alignment horizontal="right" indent="3"/>
    </xf>
    <xf numFmtId="0" fontId="16" fillId="0" borderId="0" xfId="0" applyFont="1" applyAlignment="1" applyProtection="1">
      <alignment horizontal="left" vertical="center" indent="1"/>
      <protection hidden="1"/>
    </xf>
    <xf numFmtId="4" fontId="8" fillId="0" borderId="0" xfId="0" applyNumberFormat="1" applyFont="1"/>
    <xf numFmtId="4" fontId="8" fillId="0" borderId="0" xfId="0" applyNumberFormat="1" applyFont="1" applyAlignment="1">
      <alignment horizontal="left" vertical="center" indent="1"/>
    </xf>
    <xf numFmtId="4" fontId="9" fillId="0" borderId="0" xfId="0" applyNumberFormat="1" applyFont="1" applyAlignment="1">
      <alignment horizontal="left" vertical="center" indent="1"/>
    </xf>
    <xf numFmtId="0" fontId="16" fillId="0" borderId="0" xfId="0" applyFont="1" applyAlignment="1" applyProtection="1">
      <alignment horizontal="right" vertical="center" indent="1"/>
      <protection hidden="1"/>
    </xf>
    <xf numFmtId="4" fontId="17" fillId="0" borderId="0" xfId="0" applyNumberFormat="1" applyFont="1" applyAlignment="1">
      <alignment horizontal="right" vertical="center" indent="1"/>
    </xf>
    <xf numFmtId="4" fontId="17" fillId="0" borderId="0" xfId="0" applyNumberFormat="1" applyFont="1" applyAlignment="1">
      <alignment horizontal="left" vertical="center" indent="1"/>
    </xf>
    <xf numFmtId="0" fontId="18" fillId="0" borderId="0" xfId="3" applyFont="1" applyBorder="1" applyAlignment="1" applyProtection="1">
      <alignment vertical="center"/>
    </xf>
    <xf numFmtId="4" fontId="20" fillId="0" borderId="0" xfId="3" applyNumberFormat="1" applyFont="1" applyBorder="1" applyAlignment="1" applyProtection="1">
      <alignment vertical="center"/>
    </xf>
    <xf numFmtId="0" fontId="12" fillId="0" borderId="0" xfId="0" applyFont="1"/>
    <xf numFmtId="0" fontId="21" fillId="0" borderId="0" xfId="3" applyFont="1" applyBorder="1" applyAlignment="1" applyProtection="1">
      <alignment horizontal="center" vertical="center"/>
    </xf>
    <xf numFmtId="0" fontId="21" fillId="0" borderId="0" xfId="3" applyFont="1" applyBorder="1" applyAlignment="1" applyProtection="1">
      <alignment vertical="center"/>
    </xf>
    <xf numFmtId="4" fontId="21" fillId="0" borderId="0" xfId="3" applyNumberFormat="1" applyFont="1" applyBorder="1" applyAlignment="1" applyProtection="1">
      <alignment vertical="center"/>
    </xf>
    <xf numFmtId="0" fontId="5" fillId="0" borderId="0" xfId="3" applyFont="1" applyBorder="1" applyAlignment="1" applyProtection="1">
      <alignment horizontal="center" vertical="center"/>
    </xf>
    <xf numFmtId="0" fontId="22" fillId="0" borderId="0" xfId="3" applyFont="1" applyBorder="1" applyAlignment="1" applyProtection="1">
      <alignment horizontal="right" vertical="center"/>
    </xf>
    <xf numFmtId="4" fontId="5" fillId="0" borderId="0" xfId="3" applyNumberFormat="1" applyFont="1" applyBorder="1" applyAlignment="1" applyProtection="1">
      <alignment vertical="center"/>
    </xf>
    <xf numFmtId="0" fontId="23" fillId="0" borderId="0" xfId="0" applyFont="1"/>
    <xf numFmtId="0" fontId="22" fillId="0" borderId="0" xfId="3" applyFont="1" applyBorder="1" applyAlignment="1" applyProtection="1">
      <alignment vertical="center"/>
    </xf>
    <xf numFmtId="0" fontId="8" fillId="0" borderId="0" xfId="3" applyFont="1" applyBorder="1" applyProtection="1"/>
    <xf numFmtId="0" fontId="24" fillId="0" borderId="0" xfId="3" applyFont="1" applyBorder="1" applyAlignment="1" applyProtection="1">
      <alignment horizontal="right"/>
    </xf>
    <xf numFmtId="0" fontId="4" fillId="0" borderId="0" xfId="3" applyFont="1" applyBorder="1" applyProtection="1"/>
    <xf numFmtId="172" fontId="25" fillId="0" borderId="0" xfId="3" applyNumberFormat="1" applyFont="1" applyBorder="1" applyProtection="1"/>
    <xf numFmtId="0" fontId="14" fillId="0" borderId="0" xfId="3" applyFont="1" applyBorder="1" applyProtection="1"/>
    <xf numFmtId="0" fontId="7" fillId="0" borderId="0" xfId="3" applyFont="1" applyBorder="1" applyProtection="1"/>
    <xf numFmtId="0" fontId="0" fillId="0" borderId="0" xfId="3" applyFont="1" applyBorder="1" applyProtection="1"/>
    <xf numFmtId="3" fontId="0" fillId="0" borderId="0" xfId="0" applyNumberFormat="1"/>
    <xf numFmtId="0" fontId="27" fillId="0" borderId="0" xfId="0" applyFont="1"/>
    <xf numFmtId="0" fontId="6" fillId="0" borderId="0" xfId="0" applyFont="1" applyAlignment="1">
      <alignment horizontal="center"/>
    </xf>
    <xf numFmtId="0" fontId="29" fillId="0" borderId="0" xfId="3" applyFont="1" applyBorder="1" applyAlignment="1" applyProtection="1">
      <alignment horizontal="right"/>
    </xf>
    <xf numFmtId="0" fontId="29" fillId="0" borderId="0" xfId="3" applyFont="1" applyBorder="1" applyAlignment="1" applyProtection="1">
      <alignment horizontal="right" vertical="center"/>
    </xf>
    <xf numFmtId="0" fontId="32" fillId="5" borderId="1" xfId="3" applyFont="1" applyFill="1" applyBorder="1" applyAlignment="1" applyProtection="1">
      <alignment horizontal="center" vertical="center"/>
    </xf>
    <xf numFmtId="0" fontId="29" fillId="0" borderId="3" xfId="3" applyFont="1" applyBorder="1" applyAlignment="1" applyProtection="1">
      <alignment horizontal="left" vertical="center"/>
    </xf>
    <xf numFmtId="0" fontId="30" fillId="0" borderId="4" xfId="3" applyFont="1" applyBorder="1" applyProtection="1"/>
    <xf numFmtId="0" fontId="30" fillId="0" borderId="5" xfId="3" applyFont="1" applyBorder="1" applyProtection="1"/>
    <xf numFmtId="0" fontId="30" fillId="0" borderId="6" xfId="3" applyFont="1" applyBorder="1" applyProtection="1"/>
    <xf numFmtId="0" fontId="30" fillId="0" borderId="3" xfId="3" applyFont="1" applyBorder="1" applyAlignment="1" applyProtection="1">
      <alignment horizontal="right" indent="3"/>
    </xf>
    <xf numFmtId="0" fontId="30" fillId="0" borderId="1" xfId="3" applyFont="1" applyBorder="1" applyAlignment="1" applyProtection="1">
      <alignment horizontal="right" indent="3"/>
    </xf>
    <xf numFmtId="0" fontId="30" fillId="0" borderId="10" xfId="3" applyFont="1" applyBorder="1" applyAlignment="1" applyProtection="1">
      <alignment horizontal="left" vertical="center" indent="5"/>
    </xf>
    <xf numFmtId="0" fontId="30" fillId="0" borderId="0" xfId="3" applyFont="1" applyBorder="1" applyProtection="1"/>
    <xf numFmtId="0" fontId="30" fillId="0" borderId="11" xfId="3" applyFont="1" applyBorder="1" applyProtection="1"/>
    <xf numFmtId="0" fontId="30" fillId="0" borderId="9" xfId="3" applyFont="1" applyBorder="1" applyAlignment="1" applyProtection="1">
      <alignment horizontal="center" vertical="center"/>
    </xf>
    <xf numFmtId="172" fontId="30" fillId="0" borderId="10" xfId="3" applyNumberFormat="1" applyFont="1" applyBorder="1" applyAlignment="1" applyProtection="1">
      <alignment horizontal="right" vertical="center" indent="3"/>
    </xf>
    <xf numFmtId="172" fontId="30" fillId="0" borderId="7" xfId="3" applyNumberFormat="1" applyFont="1" applyBorder="1" applyAlignment="1" applyProtection="1">
      <alignment horizontal="right" vertical="center" indent="3"/>
    </xf>
    <xf numFmtId="0" fontId="33" fillId="0" borderId="0" xfId="3" applyFont="1" applyBorder="1" applyProtection="1"/>
    <xf numFmtId="0" fontId="33" fillId="0" borderId="10" xfId="3" applyFont="1" applyBorder="1" applyProtection="1"/>
    <xf numFmtId="0" fontId="33" fillId="0" borderId="0" xfId="3" applyFont="1" applyBorder="1" applyAlignment="1" applyProtection="1">
      <alignment horizontal="right" vertical="center" indent="3"/>
    </xf>
    <xf numFmtId="0" fontId="33" fillId="0" borderId="7" xfId="3" applyFont="1" applyBorder="1" applyAlignment="1" applyProtection="1">
      <alignment vertical="center"/>
    </xf>
    <xf numFmtId="0" fontId="33" fillId="0" borderId="17" xfId="3" applyFont="1" applyBorder="1" applyAlignment="1" applyProtection="1">
      <alignment vertical="center"/>
    </xf>
    <xf numFmtId="172" fontId="33" fillId="0" borderId="7" xfId="3" applyNumberFormat="1" applyFont="1" applyBorder="1" applyAlignment="1" applyProtection="1">
      <alignment horizontal="right" vertical="center" indent="3"/>
    </xf>
    <xf numFmtId="0" fontId="30" fillId="0" borderId="10" xfId="3" applyFont="1" applyBorder="1" applyAlignment="1" applyProtection="1">
      <alignment horizontal="left" indent="5"/>
    </xf>
    <xf numFmtId="0" fontId="30" fillId="0" borderId="17" xfId="3" applyFont="1" applyBorder="1" applyAlignment="1" applyProtection="1">
      <alignment horizontal="center"/>
    </xf>
    <xf numFmtId="3" fontId="33" fillId="0" borderId="17" xfId="3" applyNumberFormat="1" applyFont="1" applyBorder="1" applyProtection="1"/>
    <xf numFmtId="3" fontId="33" fillId="0" borderId="9" xfId="3" applyNumberFormat="1" applyFont="1" applyBorder="1" applyProtection="1"/>
    <xf numFmtId="0" fontId="32" fillId="0" borderId="8" xfId="3" applyFont="1" applyBorder="1" applyProtection="1"/>
    <xf numFmtId="0" fontId="30" fillId="0" borderId="17" xfId="3" applyFont="1" applyBorder="1" applyProtection="1"/>
    <xf numFmtId="172" fontId="30" fillId="0" borderId="7" xfId="3" applyNumberFormat="1" applyFont="1" applyBorder="1" applyAlignment="1" applyProtection="1">
      <alignment horizontal="right" indent="3"/>
    </xf>
    <xf numFmtId="0" fontId="30" fillId="0" borderId="17" xfId="3" applyFont="1" applyBorder="1" applyAlignment="1" applyProtection="1">
      <alignment horizontal="center" vertical="center"/>
    </xf>
    <xf numFmtId="0" fontId="33" fillId="0" borderId="24" xfId="3" applyFont="1" applyBorder="1" applyAlignment="1" applyProtection="1">
      <alignment vertical="center"/>
    </xf>
    <xf numFmtId="172" fontId="33" fillId="0" borderId="19" xfId="3" applyNumberFormat="1" applyFont="1" applyBorder="1" applyAlignment="1" applyProtection="1">
      <alignment horizontal="right" vertical="center" indent="3"/>
    </xf>
    <xf numFmtId="172" fontId="33" fillId="0" borderId="0" xfId="3" applyNumberFormat="1" applyFont="1" applyBorder="1" applyAlignment="1" applyProtection="1">
      <alignment horizontal="right" vertical="center" indent="3"/>
    </xf>
    <xf numFmtId="172" fontId="33" fillId="0" borderId="24" xfId="3" applyNumberFormat="1" applyFont="1" applyBorder="1" applyAlignment="1" applyProtection="1">
      <alignment horizontal="right" vertical="center" indent="3"/>
    </xf>
    <xf numFmtId="0" fontId="30" fillId="0" borderId="24" xfId="3" applyFont="1" applyBorder="1" applyProtection="1"/>
    <xf numFmtId="172" fontId="30" fillId="0" borderId="28" xfId="3" applyNumberFormat="1" applyFont="1" applyBorder="1" applyAlignment="1" applyProtection="1">
      <alignment horizontal="right" indent="3"/>
    </xf>
    <xf numFmtId="0" fontId="30" fillId="0" borderId="13" xfId="3" applyFont="1" applyBorder="1" applyProtection="1"/>
    <xf numFmtId="172" fontId="33" fillId="0" borderId="14" xfId="3" applyNumberFormat="1" applyFont="1" applyBorder="1" applyAlignment="1" applyProtection="1">
      <alignment horizontal="right" vertical="center" indent="3"/>
    </xf>
    <xf numFmtId="0" fontId="30" fillId="0" borderId="3" xfId="3" applyFont="1" applyBorder="1" applyProtection="1"/>
    <xf numFmtId="0" fontId="30" fillId="0" borderId="22" xfId="3" applyFont="1" applyBorder="1" applyProtection="1"/>
    <xf numFmtId="172" fontId="30" fillId="0" borderId="1" xfId="3" applyNumberFormat="1" applyFont="1" applyBorder="1" applyAlignment="1" applyProtection="1">
      <alignment horizontal="right" indent="3"/>
    </xf>
    <xf numFmtId="0" fontId="30" fillId="0" borderId="14" xfId="3" applyFont="1" applyBorder="1" applyAlignment="1" applyProtection="1">
      <alignment horizontal="center"/>
    </xf>
    <xf numFmtId="172" fontId="30" fillId="0" borderId="14" xfId="3" applyNumberFormat="1" applyFont="1" applyBorder="1" applyAlignment="1" applyProtection="1">
      <alignment horizontal="right" vertical="center" indent="3"/>
    </xf>
    <xf numFmtId="0" fontId="33" fillId="7" borderId="29" xfId="3" applyFont="1" applyFill="1" applyBorder="1" applyProtection="1"/>
    <xf numFmtId="0" fontId="33" fillId="7" borderId="30" xfId="3" applyFont="1" applyFill="1" applyBorder="1" applyProtection="1"/>
    <xf numFmtId="0" fontId="33" fillId="7" borderId="30" xfId="3" applyFont="1" applyFill="1" applyBorder="1" applyAlignment="1" applyProtection="1">
      <alignment horizontal="right" vertical="center"/>
    </xf>
    <xf numFmtId="3" fontId="33" fillId="7" borderId="31" xfId="3" applyNumberFormat="1" applyFont="1" applyFill="1" applyBorder="1" applyProtection="1"/>
    <xf numFmtId="172" fontId="33" fillId="7" borderId="32" xfId="3" applyNumberFormat="1" applyFont="1" applyFill="1" applyBorder="1" applyAlignment="1" applyProtection="1">
      <alignment horizontal="right" indent="3"/>
    </xf>
    <xf numFmtId="0" fontId="30" fillId="0" borderId="33" xfId="3" applyFont="1" applyBorder="1" applyProtection="1"/>
    <xf numFmtId="0" fontId="30" fillId="0" borderId="34" xfId="3" applyFont="1" applyBorder="1" applyProtection="1"/>
    <xf numFmtId="0" fontId="29" fillId="0" borderId="35" xfId="3" applyFont="1" applyBorder="1" applyAlignment="1" applyProtection="1">
      <alignment horizontal="right" vertical="center"/>
    </xf>
    <xf numFmtId="3" fontId="30" fillId="0" borderId="36" xfId="3" applyNumberFormat="1" applyFont="1" applyBorder="1" applyProtection="1"/>
    <xf numFmtId="172" fontId="30" fillId="0" borderId="36" xfId="3" applyNumberFormat="1" applyFont="1" applyBorder="1" applyAlignment="1" applyProtection="1">
      <alignment horizontal="right" indent="3"/>
    </xf>
    <xf numFmtId="172" fontId="30" fillId="0" borderId="24" xfId="3" applyNumberFormat="1" applyFont="1" applyBorder="1" applyAlignment="1" applyProtection="1">
      <alignment horizontal="right" indent="3"/>
    </xf>
    <xf numFmtId="0" fontId="30" fillId="0" borderId="24" xfId="3" applyFont="1" applyBorder="1" applyAlignment="1" applyProtection="1">
      <alignment horizontal="center" vertical="center"/>
    </xf>
    <xf numFmtId="172" fontId="30" fillId="0" borderId="24" xfId="3" applyNumberFormat="1" applyFont="1" applyBorder="1" applyAlignment="1" applyProtection="1">
      <alignment horizontal="right" vertical="center" indent="3"/>
    </xf>
    <xf numFmtId="0" fontId="30" fillId="0" borderId="12" xfId="3" applyFont="1" applyBorder="1" applyAlignment="1" applyProtection="1">
      <alignment horizontal="left" vertical="center" indent="5"/>
    </xf>
    <xf numFmtId="0" fontId="30" fillId="0" borderId="23" xfId="3" applyFont="1" applyBorder="1" applyProtection="1"/>
    <xf numFmtId="0" fontId="30" fillId="0" borderId="18" xfId="3" applyFont="1" applyBorder="1" applyAlignment="1" applyProtection="1">
      <alignment horizontal="center" vertical="center"/>
    </xf>
    <xf numFmtId="172" fontId="30" fillId="0" borderId="18" xfId="3" applyNumberFormat="1" applyFont="1" applyBorder="1" applyAlignment="1" applyProtection="1">
      <alignment horizontal="right" vertical="center" indent="3"/>
    </xf>
    <xf numFmtId="0" fontId="33" fillId="7" borderId="30" xfId="3" applyFont="1" applyFill="1" applyBorder="1" applyAlignment="1" applyProtection="1">
      <alignment vertical="center"/>
    </xf>
    <xf numFmtId="172" fontId="33" fillId="7" borderId="37" xfId="3" applyNumberFormat="1" applyFont="1" applyFill="1" applyBorder="1" applyAlignment="1" applyProtection="1">
      <alignment horizontal="right" vertical="center" indent="3"/>
    </xf>
    <xf numFmtId="172" fontId="33" fillId="7" borderId="38" xfId="3" applyNumberFormat="1" applyFont="1" applyFill="1" applyBorder="1" applyAlignment="1" applyProtection="1">
      <alignment horizontal="right" vertical="center" indent="3"/>
    </xf>
    <xf numFmtId="0" fontId="30" fillId="0" borderId="9" xfId="3" applyFont="1" applyBorder="1" applyProtection="1"/>
    <xf numFmtId="172" fontId="30" fillId="0" borderId="0" xfId="3" applyNumberFormat="1" applyFont="1" applyBorder="1" applyAlignment="1" applyProtection="1">
      <alignment horizontal="right" indent="3"/>
    </xf>
    <xf numFmtId="172" fontId="30" fillId="0" borderId="11" xfId="3" applyNumberFormat="1" applyFont="1" applyBorder="1" applyAlignment="1" applyProtection="1">
      <alignment horizontal="right" indent="3"/>
    </xf>
    <xf numFmtId="0" fontId="32" fillId="0" borderId="0" xfId="3" applyFont="1" applyBorder="1" applyProtection="1"/>
    <xf numFmtId="0" fontId="32" fillId="5" borderId="20" xfId="3" applyFont="1" applyFill="1" applyBorder="1" applyProtection="1"/>
    <xf numFmtId="172" fontId="32" fillId="5" borderId="25" xfId="3" applyNumberFormat="1" applyFont="1" applyFill="1" applyBorder="1" applyAlignment="1" applyProtection="1">
      <alignment horizontal="right" vertical="center" indent="3"/>
    </xf>
    <xf numFmtId="0" fontId="28" fillId="0" borderId="0" xfId="3" applyFont="1" applyBorder="1" applyProtection="1"/>
    <xf numFmtId="0" fontId="32" fillId="9" borderId="20" xfId="3" applyFont="1" applyFill="1" applyBorder="1" applyProtection="1"/>
    <xf numFmtId="172" fontId="32" fillId="9" borderId="21" xfId="3" applyNumberFormat="1" applyFont="1" applyFill="1" applyBorder="1" applyAlignment="1" applyProtection="1">
      <alignment horizontal="right" vertical="center" indent="3"/>
    </xf>
    <xf numFmtId="0" fontId="27" fillId="0" borderId="0" xfId="3" applyFont="1" applyBorder="1" applyProtection="1"/>
    <xf numFmtId="172" fontId="30" fillId="0" borderId="7" xfId="3" applyNumberFormat="1" applyFont="1" applyBorder="1" applyAlignment="1" applyProtection="1">
      <alignment horizontal="right" vertical="center" indent="1"/>
    </xf>
    <xf numFmtId="172" fontId="33" fillId="7" borderId="2" xfId="3" applyNumberFormat="1" applyFont="1" applyFill="1" applyBorder="1" applyAlignment="1" applyProtection="1">
      <alignment horizontal="right" indent="1"/>
    </xf>
    <xf numFmtId="172" fontId="33" fillId="0" borderId="16" xfId="3" applyNumberFormat="1" applyFont="1" applyBorder="1" applyAlignment="1" applyProtection="1">
      <alignment horizontal="right" indent="1"/>
    </xf>
    <xf numFmtId="172" fontId="32" fillId="5" borderId="21" xfId="3" applyNumberFormat="1" applyFont="1" applyFill="1" applyBorder="1" applyAlignment="1" applyProtection="1">
      <alignment horizontal="right" vertical="center" indent="1"/>
    </xf>
    <xf numFmtId="172" fontId="33" fillId="7" borderId="2" xfId="3" applyNumberFormat="1" applyFont="1" applyFill="1" applyBorder="1" applyAlignment="1" applyProtection="1">
      <alignment horizontal="right" vertical="center" indent="1"/>
    </xf>
    <xf numFmtId="172" fontId="33" fillId="0" borderId="2" xfId="3" applyNumberFormat="1" applyFont="1" applyBorder="1" applyAlignment="1" applyProtection="1">
      <alignment horizontal="right" indent="1"/>
    </xf>
    <xf numFmtId="172" fontId="32" fillId="5" borderId="2" xfId="3" applyNumberFormat="1" applyFont="1" applyFill="1" applyBorder="1" applyAlignment="1" applyProtection="1">
      <alignment horizontal="right" vertical="center" indent="1"/>
    </xf>
    <xf numFmtId="0" fontId="15" fillId="11" borderId="0" xfId="0" applyFont="1" applyFill="1" applyProtection="1">
      <protection hidden="1"/>
    </xf>
    <xf numFmtId="164" fontId="15" fillId="11" borderId="0" xfId="0" applyNumberFormat="1" applyFont="1" applyFill="1" applyAlignment="1" applyProtection="1">
      <alignment horizontal="center" vertical="center"/>
      <protection hidden="1"/>
    </xf>
    <xf numFmtId="0" fontId="15" fillId="11" borderId="0" xfId="0" applyFont="1" applyFill="1" applyAlignment="1" applyProtection="1">
      <alignment horizontal="right" indent="1"/>
      <protection hidden="1"/>
    </xf>
    <xf numFmtId="0" fontId="39" fillId="0" borderId="0" xfId="3" applyFont="1" applyBorder="1" applyAlignment="1" applyProtection="1">
      <alignment horizontal="center" vertical="center"/>
    </xf>
    <xf numFmtId="0" fontId="40" fillId="0" borderId="0" xfId="3" applyFont="1" applyBorder="1" applyAlignment="1" applyProtection="1">
      <alignment horizontal="center" vertical="center"/>
    </xf>
    <xf numFmtId="0" fontId="40" fillId="0" borderId="0" xfId="3" applyFont="1" applyBorder="1" applyAlignment="1" applyProtection="1">
      <alignment horizontal="left" vertical="center"/>
    </xf>
    <xf numFmtId="4" fontId="40" fillId="0" borderId="0" xfId="3" applyNumberFormat="1" applyFont="1" applyBorder="1" applyAlignment="1" applyProtection="1">
      <alignment horizontal="right" vertical="center"/>
    </xf>
    <xf numFmtId="0" fontId="41" fillId="0" borderId="0" xfId="3" applyFont="1" applyBorder="1" applyAlignment="1" applyProtection="1">
      <alignment horizontal="center" vertical="center"/>
    </xf>
    <xf numFmtId="0" fontId="41" fillId="0" borderId="0" xfId="3" applyFont="1" applyBorder="1" applyAlignment="1" applyProtection="1">
      <alignment horizontal="left" vertical="center"/>
    </xf>
    <xf numFmtId="0" fontId="41" fillId="0" borderId="0" xfId="3" applyFont="1" applyBorder="1" applyAlignment="1" applyProtection="1">
      <alignment vertical="center"/>
    </xf>
    <xf numFmtId="4" fontId="41" fillId="0" borderId="0" xfId="3" applyNumberFormat="1" applyFont="1" applyBorder="1" applyAlignment="1" applyProtection="1">
      <alignment vertical="center"/>
    </xf>
    <xf numFmtId="0" fontId="39" fillId="0" borderId="0" xfId="3" applyFont="1" applyBorder="1" applyAlignment="1" applyProtection="1">
      <alignment horizontal="left" vertical="center"/>
    </xf>
    <xf numFmtId="0" fontId="39" fillId="0" borderId="0" xfId="3" applyFont="1" applyBorder="1" applyAlignment="1" applyProtection="1">
      <alignment vertical="center"/>
    </xf>
    <xf numFmtId="4" fontId="39" fillId="0" borderId="0" xfId="3" applyNumberFormat="1" applyFont="1" applyBorder="1" applyAlignment="1" applyProtection="1">
      <alignment vertical="center"/>
    </xf>
    <xf numFmtId="4" fontId="39" fillId="0" borderId="0" xfId="3" applyNumberFormat="1" applyFont="1" applyBorder="1" applyAlignment="1" applyProtection="1">
      <alignment horizontal="right" vertical="center"/>
    </xf>
    <xf numFmtId="4" fontId="41" fillId="0" borderId="0" xfId="3" applyNumberFormat="1" applyFont="1" applyBorder="1" applyAlignment="1" applyProtection="1">
      <alignment horizontal="right" vertical="center"/>
    </xf>
    <xf numFmtId="0" fontId="40" fillId="0" borderId="0" xfId="3" applyFont="1" applyBorder="1" applyAlignment="1" applyProtection="1">
      <alignment vertical="center"/>
    </xf>
    <xf numFmtId="4" fontId="40" fillId="0" borderId="0" xfId="3" applyNumberFormat="1" applyFont="1" applyBorder="1" applyAlignment="1" applyProtection="1">
      <alignment vertical="center"/>
    </xf>
    <xf numFmtId="4" fontId="42" fillId="0" borderId="0" xfId="3" applyNumberFormat="1" applyFont="1" applyBorder="1" applyAlignment="1" applyProtection="1">
      <alignment horizontal="right" vertical="center"/>
    </xf>
    <xf numFmtId="0" fontId="14" fillId="14" borderId="0" xfId="3" applyFont="1" applyFill="1" applyBorder="1" applyAlignment="1" applyProtection="1">
      <alignment horizontal="center" vertical="center" wrapText="1"/>
    </xf>
    <xf numFmtId="0" fontId="14" fillId="14" borderId="0" xfId="3" applyFont="1" applyFill="1" applyBorder="1" applyAlignment="1" applyProtection="1">
      <alignment horizontal="center" vertical="center"/>
    </xf>
    <xf numFmtId="0" fontId="14" fillId="14" borderId="0" xfId="0" applyFont="1" applyFill="1" applyAlignment="1">
      <alignment horizontal="center" vertical="center" wrapText="1"/>
    </xf>
    <xf numFmtId="0" fontId="43" fillId="0" borderId="0" xfId="3" applyFont="1" applyBorder="1" applyAlignment="1" applyProtection="1">
      <alignment horizontal="right"/>
    </xf>
    <xf numFmtId="0" fontId="43" fillId="0" borderId="0" xfId="3" applyFont="1" applyBorder="1" applyAlignment="1" applyProtection="1">
      <alignment horizontal="right" vertical="center"/>
    </xf>
    <xf numFmtId="0" fontId="44" fillId="0" borderId="0" xfId="3" applyFont="1" applyBorder="1" applyProtection="1"/>
    <xf numFmtId="0" fontId="44" fillId="0" borderId="0" xfId="0" applyFont="1"/>
    <xf numFmtId="172" fontId="45" fillId="0" borderId="0" xfId="3" applyNumberFormat="1" applyFont="1" applyBorder="1" applyAlignment="1" applyProtection="1">
      <alignment horizontal="right" indent="3"/>
    </xf>
    <xf numFmtId="0" fontId="44" fillId="0" borderId="41" xfId="3" applyFont="1" applyBorder="1" applyProtection="1"/>
    <xf numFmtId="172" fontId="44" fillId="0" borderId="44" xfId="0" applyNumberFormat="1" applyFont="1" applyBorder="1" applyAlignment="1">
      <alignment horizontal="right" indent="1"/>
    </xf>
    <xf numFmtId="0" fontId="44" fillId="0" borderId="44" xfId="3" applyFont="1" applyBorder="1" applyProtection="1"/>
    <xf numFmtId="0" fontId="44" fillId="0" borderId="44" xfId="3" applyFont="1" applyBorder="1" applyAlignment="1" applyProtection="1">
      <alignment horizontal="center"/>
    </xf>
    <xf numFmtId="0" fontId="44" fillId="0" borderId="42" xfId="3" applyFont="1" applyBorder="1" applyAlignment="1" applyProtection="1">
      <alignment horizontal="center"/>
    </xf>
    <xf numFmtId="0" fontId="44" fillId="0" borderId="39" xfId="3" applyFont="1" applyBorder="1" applyProtection="1"/>
    <xf numFmtId="0" fontId="44" fillId="0" borderId="44" xfId="3" applyFont="1" applyBorder="1" applyAlignment="1" applyProtection="1">
      <alignment horizontal="center" vertical="center"/>
    </xf>
    <xf numFmtId="4" fontId="44" fillId="0" borderId="44" xfId="3" applyNumberFormat="1" applyFont="1" applyBorder="1" applyAlignment="1" applyProtection="1">
      <alignment horizontal="right" indent="1"/>
    </xf>
    <xf numFmtId="172" fontId="44" fillId="0" borderId="44" xfId="3" applyNumberFormat="1" applyFont="1" applyBorder="1" applyAlignment="1" applyProtection="1">
      <alignment horizontal="right" indent="1"/>
    </xf>
    <xf numFmtId="172" fontId="44" fillId="0" borderId="44" xfId="3" applyNumberFormat="1" applyFont="1" applyBorder="1" applyAlignment="1" applyProtection="1">
      <alignment horizontal="right" vertical="center" indent="1"/>
    </xf>
    <xf numFmtId="172" fontId="44" fillId="0" borderId="42" xfId="3" applyNumberFormat="1" applyFont="1" applyBorder="1" applyAlignment="1" applyProtection="1">
      <alignment horizontal="right" vertical="center" indent="1"/>
    </xf>
    <xf numFmtId="172" fontId="44" fillId="0" borderId="0" xfId="3" applyNumberFormat="1" applyFont="1" applyBorder="1" applyAlignment="1" applyProtection="1">
      <alignment horizontal="right" indent="1"/>
    </xf>
    <xf numFmtId="3" fontId="44" fillId="0" borderId="39" xfId="3" applyNumberFormat="1" applyFont="1" applyBorder="1" applyProtection="1"/>
    <xf numFmtId="0" fontId="44" fillId="0" borderId="42" xfId="3" applyFont="1" applyBorder="1" applyAlignment="1" applyProtection="1">
      <alignment horizontal="center" vertical="center"/>
    </xf>
    <xf numFmtId="0" fontId="45" fillId="12" borderId="0" xfId="3" applyFont="1" applyFill="1" applyBorder="1" applyProtection="1"/>
    <xf numFmtId="172" fontId="46" fillId="12" borderId="0" xfId="3" applyNumberFormat="1" applyFont="1" applyFill="1" applyBorder="1" applyAlignment="1" applyProtection="1">
      <alignment horizontal="right" vertical="center" indent="1"/>
    </xf>
    <xf numFmtId="164" fontId="14" fillId="14" borderId="0" xfId="3" applyNumberFormat="1" applyFont="1" applyFill="1" applyBorder="1" applyAlignment="1" applyProtection="1">
      <alignment horizontal="center" vertical="center"/>
    </xf>
    <xf numFmtId="0" fontId="44" fillId="0" borderId="44" xfId="3" applyFont="1" applyBorder="1" applyAlignment="1" applyProtection="1">
      <alignment horizontal="right" indent="3"/>
    </xf>
    <xf numFmtId="172" fontId="44" fillId="0" borderId="44" xfId="0" applyNumberFormat="1" applyFont="1" applyBorder="1" applyAlignment="1">
      <alignment horizontal="right" vertical="center" indent="1"/>
    </xf>
    <xf numFmtId="0" fontId="43" fillId="0" borderId="41" xfId="3" applyFont="1" applyBorder="1" applyAlignment="1" applyProtection="1">
      <alignment horizontal="left" vertical="center" indent="1"/>
    </xf>
    <xf numFmtId="0" fontId="44" fillId="0" borderId="0" xfId="3" applyFont="1" applyBorder="1" applyAlignment="1" applyProtection="1">
      <alignment horizontal="left" indent="1"/>
    </xf>
    <xf numFmtId="0" fontId="44" fillId="0" borderId="47" xfId="3" applyFont="1" applyBorder="1" applyAlignment="1" applyProtection="1">
      <alignment horizontal="left" indent="1"/>
    </xf>
    <xf numFmtId="0" fontId="44" fillId="0" borderId="41" xfId="3" applyFont="1" applyBorder="1" applyAlignment="1" applyProtection="1">
      <alignment horizontal="left" vertical="center" indent="1"/>
    </xf>
    <xf numFmtId="0" fontId="44" fillId="0" borderId="41" xfId="3" applyFont="1" applyBorder="1" applyAlignment="1" applyProtection="1">
      <alignment horizontal="left" indent="1"/>
    </xf>
    <xf numFmtId="0" fontId="44" fillId="0" borderId="43" xfId="3" applyFont="1" applyBorder="1" applyAlignment="1" applyProtection="1">
      <alignment horizontal="left" indent="1"/>
    </xf>
    <xf numFmtId="0" fontId="44" fillId="0" borderId="45" xfId="3" applyFont="1" applyBorder="1" applyAlignment="1" applyProtection="1">
      <alignment horizontal="left" indent="1"/>
    </xf>
    <xf numFmtId="0" fontId="44" fillId="0" borderId="49" xfId="3" applyFont="1" applyBorder="1" applyAlignment="1" applyProtection="1">
      <alignment horizontal="left" indent="1"/>
    </xf>
    <xf numFmtId="0" fontId="44" fillId="0" borderId="50" xfId="3" applyFont="1" applyBorder="1" applyAlignment="1" applyProtection="1">
      <alignment horizontal="left" indent="1"/>
    </xf>
    <xf numFmtId="0" fontId="44" fillId="0" borderId="45" xfId="3" applyFont="1" applyBorder="1" applyAlignment="1" applyProtection="1">
      <alignment horizontal="left" vertical="center" indent="1"/>
    </xf>
    <xf numFmtId="172" fontId="44" fillId="0" borderId="39" xfId="0" applyNumberFormat="1" applyFont="1" applyBorder="1" applyAlignment="1">
      <alignment horizontal="right" vertical="center" indent="1"/>
    </xf>
    <xf numFmtId="3" fontId="44" fillId="0" borderId="39" xfId="0" applyNumberFormat="1" applyFont="1" applyBorder="1" applyAlignment="1">
      <alignment horizontal="right" vertical="center" indent="1"/>
    </xf>
    <xf numFmtId="172" fontId="44" fillId="0" borderId="42" xfId="0" applyNumberFormat="1" applyFont="1" applyBorder="1" applyAlignment="1">
      <alignment horizontal="right" vertical="center" indent="1"/>
    </xf>
    <xf numFmtId="3" fontId="44" fillId="0" borderId="42" xfId="0" applyNumberFormat="1" applyFont="1" applyBorder="1" applyAlignment="1">
      <alignment horizontal="right" vertical="center" indent="1"/>
    </xf>
    <xf numFmtId="0" fontId="44" fillId="0" borderId="46" xfId="3" applyFont="1" applyBorder="1" applyAlignment="1" applyProtection="1">
      <alignment horizontal="left" indent="1"/>
    </xf>
    <xf numFmtId="0" fontId="44" fillId="0" borderId="48" xfId="3" applyFont="1" applyBorder="1" applyAlignment="1" applyProtection="1">
      <alignment horizontal="left" indent="1"/>
    </xf>
    <xf numFmtId="3" fontId="44" fillId="0" borderId="44" xfId="3" applyNumberFormat="1" applyFont="1" applyBorder="1" applyProtection="1"/>
    <xf numFmtId="172" fontId="43" fillId="0" borderId="44" xfId="0" applyNumberFormat="1" applyFont="1" applyBorder="1" applyAlignment="1">
      <alignment horizontal="right" vertical="center" indent="1"/>
    </xf>
    <xf numFmtId="3" fontId="44" fillId="0" borderId="44" xfId="3" applyNumberFormat="1" applyFont="1" applyBorder="1" applyAlignment="1" applyProtection="1">
      <alignment horizontal="center"/>
    </xf>
    <xf numFmtId="0" fontId="43" fillId="0" borderId="46" xfId="3" applyFont="1" applyBorder="1" applyAlignment="1" applyProtection="1">
      <alignment horizontal="left" vertical="center" indent="1"/>
    </xf>
    <xf numFmtId="0" fontId="43" fillId="0" borderId="41" xfId="3" applyFont="1" applyBorder="1" applyAlignment="1" applyProtection="1">
      <alignment horizontal="left" indent="1"/>
    </xf>
    <xf numFmtId="0" fontId="43" fillId="0" borderId="47" xfId="3" applyFont="1" applyBorder="1" applyAlignment="1" applyProtection="1">
      <alignment horizontal="left" vertical="center" indent="1"/>
    </xf>
    <xf numFmtId="0" fontId="49" fillId="0" borderId="0" xfId="0" applyFont="1" applyAlignment="1">
      <alignment horizontal="right" indent="1"/>
    </xf>
    <xf numFmtId="0" fontId="51" fillId="0" borderId="0" xfId="0" applyFont="1"/>
    <xf numFmtId="0" fontId="49" fillId="0" borderId="0" xfId="0" applyFont="1"/>
    <xf numFmtId="0" fontId="47" fillId="0" borderId="0" xfId="0" applyFont="1" applyAlignment="1">
      <alignment horizontal="right" indent="1"/>
    </xf>
    <xf numFmtId="0" fontId="52" fillId="0" borderId="0" xfId="0" applyFont="1" applyAlignment="1">
      <alignment horizontal="left" indent="3"/>
    </xf>
    <xf numFmtId="10" fontId="51" fillId="0" borderId="0" xfId="0" applyNumberFormat="1" applyFont="1"/>
    <xf numFmtId="0" fontId="44" fillId="0" borderId="0" xfId="0" applyFont="1" applyAlignment="1">
      <alignment horizontal="left" indent="3"/>
    </xf>
    <xf numFmtId="0" fontId="44" fillId="0" borderId="0" xfId="0" applyFont="1" applyAlignment="1">
      <alignment horizontal="right"/>
    </xf>
    <xf numFmtId="0" fontId="44" fillId="0" borderId="0" xfId="0" applyFont="1" applyAlignment="1">
      <alignment horizontal="center"/>
    </xf>
    <xf numFmtId="3" fontId="44" fillId="0" borderId="0" xfId="0" applyNumberFormat="1" applyFont="1" applyAlignment="1">
      <alignment horizontal="center"/>
    </xf>
    <xf numFmtId="0" fontId="44" fillId="0" borderId="54" xfId="0" applyFont="1" applyBorder="1"/>
    <xf numFmtId="3" fontId="43" fillId="0" borderId="0" xfId="0" applyNumberFormat="1" applyFont="1" applyAlignment="1">
      <alignment horizontal="center"/>
    </xf>
    <xf numFmtId="0" fontId="43" fillId="0" borderId="0" xfId="0" applyFont="1" applyAlignment="1">
      <alignment horizontal="left" indent="1"/>
    </xf>
    <xf numFmtId="0" fontId="41" fillId="0" borderId="0" xfId="0" applyFont="1" applyAlignment="1">
      <alignment horizontal="center"/>
    </xf>
    <xf numFmtId="0" fontId="41" fillId="0" borderId="0" xfId="0" applyFont="1"/>
    <xf numFmtId="0" fontId="43" fillId="0" borderId="0" xfId="0" applyFont="1" applyAlignment="1">
      <alignment horizontal="left" indent="3"/>
    </xf>
    <xf numFmtId="3" fontId="43" fillId="0" borderId="0" xfId="0" applyNumberFormat="1" applyFont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0" xfId="0" applyFont="1"/>
    <xf numFmtId="0" fontId="39" fillId="0" borderId="0" xfId="0" applyFont="1" applyAlignment="1">
      <alignment horizontal="center" vertical="center"/>
    </xf>
    <xf numFmtId="0" fontId="39" fillId="0" borderId="41" xfId="0" applyFont="1" applyBorder="1" applyAlignment="1">
      <alignment horizontal="left" indent="1"/>
    </xf>
    <xf numFmtId="0" fontId="39" fillId="0" borderId="0" xfId="0" applyFont="1" applyAlignment="1">
      <alignment horizontal="left" indent="1"/>
    </xf>
    <xf numFmtId="0" fontId="39" fillId="0" borderId="47" xfId="0" applyFont="1" applyBorder="1" applyAlignment="1">
      <alignment horizontal="left" indent="1"/>
    </xf>
    <xf numFmtId="0" fontId="39" fillId="0" borderId="44" xfId="0" applyFont="1" applyBorder="1" applyAlignment="1">
      <alignment horizontal="left" indent="1"/>
    </xf>
    <xf numFmtId="0" fontId="39" fillId="0" borderId="41" xfId="0" applyFont="1" applyBorder="1" applyAlignment="1">
      <alignment horizontal="left" indent="5"/>
    </xf>
    <xf numFmtId="0" fontId="39" fillId="0" borderId="47" xfId="0" applyFont="1" applyBorder="1"/>
    <xf numFmtId="0" fontId="41" fillId="0" borderId="0" xfId="0" applyFont="1" applyAlignment="1">
      <alignment horizontal="right" vertical="center"/>
    </xf>
    <xf numFmtId="174" fontId="39" fillId="0" borderId="0" xfId="0" applyNumberFormat="1" applyFont="1" applyAlignment="1">
      <alignment vertical="center"/>
    </xf>
    <xf numFmtId="0" fontId="43" fillId="0" borderId="0" xfId="0" applyFont="1" applyAlignment="1">
      <alignment horizontal="left" vertical="center" indent="1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 indent="1"/>
    </xf>
    <xf numFmtId="174" fontId="44" fillId="0" borderId="0" xfId="0" applyNumberFormat="1" applyFont="1"/>
    <xf numFmtId="0" fontId="39" fillId="0" borderId="41" xfId="0" applyFont="1" applyBorder="1" applyAlignment="1">
      <alignment horizontal="left" vertical="center" indent="1"/>
    </xf>
    <xf numFmtId="0" fontId="39" fillId="0" borderId="47" xfId="0" applyFont="1" applyBorder="1" applyAlignment="1">
      <alignment horizontal="left" vertical="center"/>
    </xf>
    <xf numFmtId="0" fontId="39" fillId="0" borderId="47" xfId="0" applyFont="1" applyBorder="1" applyAlignment="1">
      <alignment vertical="center"/>
    </xf>
    <xf numFmtId="0" fontId="41" fillId="0" borderId="43" xfId="0" applyFont="1" applyBorder="1" applyAlignment="1">
      <alignment horizontal="right" vertical="center"/>
    </xf>
    <xf numFmtId="0" fontId="41" fillId="0" borderId="50" xfId="0" applyFont="1" applyBorder="1" applyAlignment="1">
      <alignment horizontal="right" vertical="center"/>
    </xf>
    <xf numFmtId="0" fontId="41" fillId="0" borderId="48" xfId="0" applyFont="1" applyBorder="1" applyAlignment="1">
      <alignment horizontal="right" vertical="center" indent="1"/>
    </xf>
    <xf numFmtId="4" fontId="46" fillId="13" borderId="0" xfId="3" applyNumberFormat="1" applyFont="1" applyFill="1" applyBorder="1" applyAlignment="1" applyProtection="1">
      <alignment vertical="center"/>
    </xf>
    <xf numFmtId="0" fontId="49" fillId="13" borderId="0" xfId="0" applyFont="1" applyFill="1"/>
    <xf numFmtId="4" fontId="55" fillId="13" borderId="0" xfId="3" applyNumberFormat="1" applyFont="1" applyFill="1" applyBorder="1" applyAlignment="1" applyProtection="1">
      <alignment vertical="center"/>
    </xf>
    <xf numFmtId="167" fontId="46" fillId="13" borderId="0" xfId="3" applyNumberFormat="1" applyFont="1" applyFill="1" applyBorder="1" applyAlignment="1" applyProtection="1">
      <alignment vertical="center"/>
    </xf>
    <xf numFmtId="0" fontId="46" fillId="13" borderId="0" xfId="0" applyFont="1" applyFill="1"/>
    <xf numFmtId="0" fontId="48" fillId="15" borderId="42" xfId="3" applyFont="1" applyFill="1" applyBorder="1" applyAlignment="1" applyProtection="1">
      <alignment horizontal="left" indent="1"/>
    </xf>
    <xf numFmtId="0" fontId="49" fillId="15" borderId="42" xfId="3" applyFont="1" applyFill="1" applyBorder="1" applyAlignment="1" applyProtection="1">
      <alignment horizontal="left" indent="1"/>
    </xf>
    <xf numFmtId="0" fontId="47" fillId="15" borderId="42" xfId="3" applyFont="1" applyFill="1" applyBorder="1" applyAlignment="1" applyProtection="1">
      <alignment horizontal="right" vertical="center" indent="1"/>
    </xf>
    <xf numFmtId="0" fontId="49" fillId="15" borderId="42" xfId="3" applyFont="1" applyFill="1" applyBorder="1" applyAlignment="1" applyProtection="1">
      <alignment vertical="center"/>
    </xf>
    <xf numFmtId="172" fontId="46" fillId="15" borderId="42" xfId="0" applyNumberFormat="1" applyFont="1" applyFill="1" applyBorder="1" applyAlignment="1">
      <alignment horizontal="right" vertical="center" indent="1"/>
    </xf>
    <xf numFmtId="3" fontId="46" fillId="15" borderId="42" xfId="0" applyNumberFormat="1" applyFont="1" applyFill="1" applyBorder="1" applyAlignment="1">
      <alignment horizontal="right" vertical="center" indent="1"/>
    </xf>
    <xf numFmtId="0" fontId="48" fillId="15" borderId="51" xfId="3" applyFont="1" applyFill="1" applyBorder="1" applyAlignment="1" applyProtection="1">
      <alignment horizontal="left" indent="1"/>
    </xf>
    <xf numFmtId="0" fontId="49" fillId="15" borderId="51" xfId="3" applyFont="1" applyFill="1" applyBorder="1" applyAlignment="1" applyProtection="1">
      <alignment horizontal="left" indent="1"/>
    </xf>
    <xf numFmtId="0" fontId="47" fillId="15" borderId="51" xfId="3" applyFont="1" applyFill="1" applyBorder="1" applyAlignment="1" applyProtection="1">
      <alignment horizontal="right" vertical="center" indent="1"/>
    </xf>
    <xf numFmtId="3" fontId="49" fillId="15" borderId="51" xfId="3" applyNumberFormat="1" applyFont="1" applyFill="1" applyBorder="1" applyProtection="1"/>
    <xf numFmtId="172" fontId="48" fillId="15" borderId="51" xfId="0" applyNumberFormat="1" applyFont="1" applyFill="1" applyBorder="1" applyAlignment="1">
      <alignment horizontal="right" vertical="center" indent="1"/>
    </xf>
    <xf numFmtId="0" fontId="26" fillId="14" borderId="48" xfId="3" applyFont="1" applyFill="1" applyBorder="1" applyProtection="1"/>
    <xf numFmtId="172" fontId="14" fillId="14" borderId="42" xfId="0" applyNumberFormat="1" applyFont="1" applyFill="1" applyBorder="1" applyAlignment="1">
      <alignment horizontal="right" vertical="center" indent="1"/>
    </xf>
    <xf numFmtId="0" fontId="39" fillId="0" borderId="45" xfId="0" applyFont="1" applyBorder="1" applyAlignment="1">
      <alignment horizontal="left" vertical="center" indent="1"/>
    </xf>
    <xf numFmtId="0" fontId="39" fillId="0" borderId="49" xfId="0" applyFont="1" applyBorder="1" applyAlignment="1">
      <alignment horizontal="left" vertical="center"/>
    </xf>
    <xf numFmtId="0" fontId="39" fillId="0" borderId="46" xfId="0" applyFont="1" applyBorder="1" applyAlignment="1">
      <alignment horizontal="left" vertical="center"/>
    </xf>
    <xf numFmtId="0" fontId="39" fillId="0" borderId="47" xfId="0" applyFont="1" applyBorder="1" applyAlignment="1">
      <alignment horizontal="left" vertical="center" indent="1"/>
    </xf>
    <xf numFmtId="174" fontId="39" fillId="0" borderId="45" xfId="0" applyNumberFormat="1" applyFont="1" applyBorder="1" applyAlignment="1">
      <alignment vertical="center"/>
    </xf>
    <xf numFmtId="174" fontId="39" fillId="0" borderId="46" xfId="0" applyNumberFormat="1" applyFont="1" applyBorder="1" applyAlignment="1">
      <alignment vertical="center"/>
    </xf>
    <xf numFmtId="0" fontId="39" fillId="0" borderId="41" xfId="0" applyFont="1" applyBorder="1" applyAlignment="1">
      <alignment horizontal="left" vertical="center" indent="4"/>
    </xf>
    <xf numFmtId="0" fontId="39" fillId="0" borderId="41" xfId="0" applyFont="1" applyBorder="1" applyAlignment="1">
      <alignment horizontal="left" vertical="center" indent="2"/>
    </xf>
    <xf numFmtId="0" fontId="39" fillId="0" borderId="49" xfId="0" applyFont="1" applyBorder="1" applyAlignment="1">
      <alignment vertical="center"/>
    </xf>
    <xf numFmtId="0" fontId="39" fillId="0" borderId="46" xfId="0" applyFont="1" applyBorder="1" applyAlignment="1">
      <alignment vertical="center"/>
    </xf>
    <xf numFmtId="0" fontId="56" fillId="0" borderId="0" xfId="3" applyFont="1" applyBorder="1" applyAlignment="1" applyProtection="1">
      <alignment horizontal="center" vertical="center"/>
    </xf>
    <xf numFmtId="0" fontId="56" fillId="0" borderId="0" xfId="3" applyFont="1" applyBorder="1" applyAlignment="1" applyProtection="1">
      <alignment horizontal="left" vertical="center"/>
    </xf>
    <xf numFmtId="0" fontId="56" fillId="0" borderId="0" xfId="3" applyFont="1" applyBorder="1" applyAlignment="1" applyProtection="1">
      <alignment vertical="center"/>
    </xf>
    <xf numFmtId="4" fontId="56" fillId="0" borderId="0" xfId="3" applyNumberFormat="1" applyFont="1" applyBorder="1" applyAlignment="1" applyProtection="1">
      <alignment horizontal="right" vertical="center"/>
    </xf>
    <xf numFmtId="0" fontId="57" fillId="0" borderId="0" xfId="3" applyFont="1" applyBorder="1" applyAlignment="1" applyProtection="1">
      <alignment horizontal="center" vertical="center"/>
    </xf>
    <xf numFmtId="0" fontId="46" fillId="16" borderId="0" xfId="3" applyFont="1" applyFill="1" applyBorder="1" applyProtection="1"/>
    <xf numFmtId="0" fontId="46" fillId="16" borderId="0" xfId="3" applyFont="1" applyFill="1" applyBorder="1" applyAlignment="1" applyProtection="1">
      <alignment horizontal="right" vertical="center"/>
    </xf>
    <xf numFmtId="0" fontId="46" fillId="16" borderId="43" xfId="3" applyFont="1" applyFill="1" applyBorder="1" applyProtection="1"/>
    <xf numFmtId="0" fontId="46" fillId="16" borderId="50" xfId="3" applyFont="1" applyFill="1" applyBorder="1" applyProtection="1"/>
    <xf numFmtId="0" fontId="45" fillId="14" borderId="0" xfId="3" applyFont="1" applyFill="1" applyBorder="1" applyProtection="1"/>
    <xf numFmtId="172" fontId="46" fillId="14" borderId="0" xfId="3" applyNumberFormat="1" applyFont="1" applyFill="1" applyBorder="1" applyAlignment="1" applyProtection="1">
      <alignment horizontal="right" vertical="center" indent="1"/>
    </xf>
    <xf numFmtId="165" fontId="12" fillId="13" borderId="0" xfId="0" applyNumberFormat="1" applyFont="1" applyFill="1" applyAlignment="1" applyProtection="1">
      <alignment horizontal="center"/>
      <protection locked="0"/>
    </xf>
    <xf numFmtId="1" fontId="12" fillId="13" borderId="0" xfId="0" applyNumberFormat="1" applyFont="1" applyFill="1" applyAlignment="1" applyProtection="1">
      <alignment horizontal="center"/>
      <protection locked="0"/>
    </xf>
    <xf numFmtId="0" fontId="12" fillId="13" borderId="0" xfId="0" applyFont="1" applyFill="1" applyAlignment="1" applyProtection="1">
      <alignment horizontal="left"/>
      <protection locked="0"/>
    </xf>
    <xf numFmtId="0" fontId="12" fillId="13" borderId="0" xfId="0" applyFont="1" applyFill="1" applyProtection="1">
      <protection hidden="1"/>
    </xf>
    <xf numFmtId="0" fontId="12" fillId="13" borderId="0" xfId="0" applyFont="1" applyFill="1" applyProtection="1">
      <protection locked="0"/>
    </xf>
    <xf numFmtId="165" fontId="14" fillId="14" borderId="0" xfId="0" applyNumberFormat="1" applyFont="1" applyFill="1" applyAlignment="1" applyProtection="1">
      <alignment horizontal="center" vertical="center"/>
      <protection locked="0"/>
    </xf>
    <xf numFmtId="1" fontId="14" fillId="14" borderId="0" xfId="0" applyNumberFormat="1" applyFont="1" applyFill="1" applyAlignment="1" applyProtection="1">
      <alignment horizontal="center" vertical="center" wrapText="1"/>
      <protection locked="0"/>
    </xf>
    <xf numFmtId="0" fontId="14" fillId="14" borderId="0" xfId="0" applyFont="1" applyFill="1" applyAlignment="1" applyProtection="1">
      <alignment horizontal="center" vertical="center" wrapText="1"/>
      <protection locked="0"/>
    </xf>
    <xf numFmtId="0" fontId="14" fillId="14" borderId="0" xfId="0" applyFont="1" applyFill="1" applyAlignment="1" applyProtection="1">
      <alignment horizontal="center" vertical="center" wrapText="1"/>
      <protection hidden="1"/>
    </xf>
    <xf numFmtId="0" fontId="14" fillId="14" borderId="0" xfId="0" applyFont="1" applyFill="1" applyAlignment="1" applyProtection="1">
      <alignment horizontal="center" vertical="center"/>
      <protection locked="0"/>
    </xf>
    <xf numFmtId="167" fontId="13" fillId="18" borderId="0" xfId="0" applyNumberFormat="1" applyFont="1" applyFill="1" applyAlignment="1" applyProtection="1">
      <alignment horizontal="center" vertical="center"/>
      <protection hidden="1"/>
    </xf>
    <xf numFmtId="168" fontId="13" fillId="18" borderId="0" xfId="0" applyNumberFormat="1" applyFont="1" applyFill="1" applyAlignment="1" applyProtection="1">
      <alignment horizontal="center" vertical="center"/>
      <protection hidden="1"/>
    </xf>
    <xf numFmtId="0" fontId="58" fillId="0" borderId="0" xfId="0" applyFont="1"/>
    <xf numFmtId="0" fontId="37" fillId="11" borderId="0" xfId="0" applyFont="1" applyFill="1" applyAlignment="1" applyProtection="1">
      <alignment horizontal="right"/>
      <protection hidden="1"/>
    </xf>
    <xf numFmtId="0" fontId="37" fillId="11" borderId="0" xfId="0" applyFont="1" applyFill="1" applyProtection="1">
      <protection hidden="1"/>
    </xf>
    <xf numFmtId="0" fontId="41" fillId="0" borderId="0" xfId="0" applyFont="1" applyAlignment="1">
      <alignment horizontal="right" indent="3"/>
    </xf>
    <xf numFmtId="3" fontId="43" fillId="0" borderId="0" xfId="0" applyNumberFormat="1" applyFont="1" applyAlignment="1">
      <alignment horizontal="left"/>
    </xf>
    <xf numFmtId="0" fontId="39" fillId="0" borderId="9" xfId="0" applyFont="1" applyBorder="1" applyAlignment="1">
      <alignment horizontal="left" vertical="center" indent="3"/>
    </xf>
    <xf numFmtId="0" fontId="39" fillId="0" borderId="0" xfId="0" applyFont="1" applyAlignment="1">
      <alignment horizontal="left" vertical="center" indent="3"/>
    </xf>
    <xf numFmtId="4" fontId="39" fillId="0" borderId="0" xfId="0" applyNumberFormat="1" applyFont="1"/>
    <xf numFmtId="4" fontId="46" fillId="0" borderId="0" xfId="3" applyNumberFormat="1" applyFont="1" applyBorder="1" applyAlignment="1" applyProtection="1">
      <alignment vertical="center"/>
    </xf>
    <xf numFmtId="0" fontId="57" fillId="0" borderId="0" xfId="3" applyFont="1" applyBorder="1" applyAlignment="1" applyProtection="1">
      <alignment vertical="center"/>
    </xf>
    <xf numFmtId="0" fontId="39" fillId="0" borderId="41" xfId="0" applyFont="1" applyBorder="1" applyAlignment="1">
      <alignment horizontal="left" vertical="center" indent="3"/>
    </xf>
    <xf numFmtId="174" fontId="39" fillId="0" borderId="47" xfId="0" applyNumberFormat="1" applyFont="1" applyBorder="1"/>
    <xf numFmtId="0" fontId="39" fillId="0" borderId="41" xfId="0" applyFont="1" applyBorder="1" applyAlignment="1">
      <alignment horizontal="left" vertical="center"/>
    </xf>
    <xf numFmtId="174" fontId="39" fillId="0" borderId="41" xfId="0" applyNumberFormat="1" applyFont="1" applyBorder="1"/>
    <xf numFmtId="0" fontId="39" fillId="0" borderId="49" xfId="0" applyFont="1" applyBorder="1" applyAlignment="1">
      <alignment horizontal="left" vertical="center" indent="1"/>
    </xf>
    <xf numFmtId="0" fontId="39" fillId="0" borderId="46" xfId="0" applyFont="1" applyBorder="1" applyAlignment="1">
      <alignment horizontal="left" vertical="center" indent="1"/>
    </xf>
    <xf numFmtId="174" fontId="55" fillId="0" borderId="41" xfId="0" applyNumberFormat="1" applyFont="1" applyBorder="1" applyAlignment="1">
      <alignment vertical="center"/>
    </xf>
    <xf numFmtId="174" fontId="55" fillId="0" borderId="0" xfId="0" applyNumberFormat="1" applyFont="1" applyAlignment="1">
      <alignment vertical="center"/>
    </xf>
    <xf numFmtId="174" fontId="55" fillId="0" borderId="41" xfId="0" applyNumberFormat="1" applyFont="1" applyBorder="1"/>
    <xf numFmtId="174" fontId="55" fillId="0" borderId="0" xfId="0" applyNumberFormat="1" applyFont="1"/>
    <xf numFmtId="174" fontId="59" fillId="0" borderId="0" xfId="0" applyNumberFormat="1" applyFont="1" applyAlignment="1">
      <alignment vertical="center" wrapText="1"/>
    </xf>
    <xf numFmtId="174" fontId="8" fillId="0" borderId="0" xfId="0" applyNumberFormat="1" applyFont="1" applyAlignment="1">
      <alignment vertical="center"/>
    </xf>
    <xf numFmtId="174" fontId="8" fillId="0" borderId="0" xfId="1" applyNumberFormat="1" applyFont="1" applyBorder="1" applyAlignment="1" applyProtection="1">
      <alignment vertical="center"/>
    </xf>
    <xf numFmtId="174" fontId="59" fillId="0" borderId="0" xfId="1" applyNumberFormat="1" applyFont="1" applyBorder="1" applyAlignment="1" applyProtection="1">
      <alignment vertical="center"/>
    </xf>
    <xf numFmtId="174" fontId="37" fillId="0" borderId="41" xfId="0" applyNumberFormat="1" applyFont="1" applyBorder="1" applyAlignment="1">
      <alignment horizontal="center" vertical="center" wrapText="1"/>
    </xf>
    <xf numFmtId="174" fontId="37" fillId="0" borderId="0" xfId="0" applyNumberFormat="1" applyFont="1" applyAlignment="1">
      <alignment horizontal="center" vertical="center" wrapText="1"/>
    </xf>
    <xf numFmtId="174" fontId="55" fillId="0" borderId="41" xfId="1" applyNumberFormat="1" applyFont="1" applyBorder="1" applyAlignment="1" applyProtection="1">
      <alignment vertical="center"/>
    </xf>
    <xf numFmtId="174" fontId="55" fillId="0" borderId="0" xfId="1" applyNumberFormat="1" applyFont="1" applyBorder="1" applyAlignment="1" applyProtection="1">
      <alignment vertical="center"/>
    </xf>
    <xf numFmtId="174" fontId="55" fillId="0" borderId="41" xfId="1" applyNumberFormat="1" applyFont="1" applyBorder="1" applyAlignment="1" applyProtection="1">
      <alignment horizontal="center" vertical="center"/>
    </xf>
    <xf numFmtId="174" fontId="55" fillId="0" borderId="0" xfId="1" applyNumberFormat="1" applyFont="1" applyBorder="1" applyAlignment="1" applyProtection="1">
      <alignment horizontal="center" vertical="center"/>
    </xf>
    <xf numFmtId="174" fontId="54" fillId="0" borderId="41" xfId="1" applyNumberFormat="1" applyFont="1" applyBorder="1" applyAlignment="1" applyProtection="1">
      <alignment vertical="center"/>
    </xf>
    <xf numFmtId="174" fontId="54" fillId="0" borderId="0" xfId="1" applyNumberFormat="1" applyFont="1" applyBorder="1" applyAlignment="1" applyProtection="1">
      <alignment vertical="center"/>
    </xf>
    <xf numFmtId="0" fontId="41" fillId="0" borderId="50" xfId="0" applyFont="1" applyBorder="1" applyAlignment="1">
      <alignment horizontal="right" vertical="center" indent="1"/>
    </xf>
    <xf numFmtId="0" fontId="55" fillId="0" borderId="41" xfId="0" applyFont="1" applyBorder="1" applyAlignment="1">
      <alignment horizontal="left" vertical="center" indent="1"/>
    </xf>
    <xf numFmtId="0" fontId="55" fillId="0" borderId="0" xfId="0" applyFont="1" applyAlignment="1">
      <alignment horizontal="left" vertical="center" indent="1"/>
    </xf>
    <xf numFmtId="0" fontId="43" fillId="0" borderId="41" xfId="3" applyFont="1" applyBorder="1" applyAlignment="1" applyProtection="1">
      <alignment horizontal="left" vertical="center"/>
    </xf>
    <xf numFmtId="0" fontId="46" fillId="16" borderId="41" xfId="3" applyFont="1" applyFill="1" applyBorder="1" applyProtection="1"/>
    <xf numFmtId="0" fontId="44" fillId="0" borderId="41" xfId="3" applyFont="1" applyBorder="1" applyAlignment="1" applyProtection="1">
      <alignment horizontal="left" vertical="center"/>
    </xf>
    <xf numFmtId="0" fontId="46" fillId="16" borderId="50" xfId="3" applyFont="1" applyFill="1" applyBorder="1" applyAlignment="1" applyProtection="1">
      <alignment horizontal="right" vertical="center"/>
    </xf>
    <xf numFmtId="0" fontId="46" fillId="16" borderId="50" xfId="3" applyFont="1" applyFill="1" applyBorder="1" applyAlignment="1" applyProtection="1">
      <alignment vertical="center"/>
    </xf>
    <xf numFmtId="172" fontId="46" fillId="16" borderId="50" xfId="3" applyNumberFormat="1" applyFont="1" applyFill="1" applyBorder="1" applyAlignment="1" applyProtection="1">
      <alignment horizontal="right" vertical="center" indent="1"/>
    </xf>
    <xf numFmtId="172" fontId="46" fillId="16" borderId="48" xfId="3" applyNumberFormat="1" applyFont="1" applyFill="1" applyBorder="1" applyAlignment="1" applyProtection="1">
      <alignment horizontal="right" vertical="center" indent="1"/>
    </xf>
    <xf numFmtId="164" fontId="14" fillId="10" borderId="44" xfId="3" applyNumberFormat="1" applyFont="1" applyFill="1" applyBorder="1" applyAlignment="1" applyProtection="1">
      <alignment horizontal="center" vertical="center"/>
    </xf>
    <xf numFmtId="0" fontId="44" fillId="0" borderId="44" xfId="3" applyFont="1" applyBorder="1" applyAlignment="1" applyProtection="1">
      <alignment horizontal="right" indent="1"/>
    </xf>
    <xf numFmtId="0" fontId="46" fillId="17" borderId="44" xfId="3" applyFont="1" applyFill="1" applyBorder="1" applyAlignment="1" applyProtection="1">
      <alignment vertical="center"/>
    </xf>
    <xf numFmtId="172" fontId="46" fillId="16" borderId="44" xfId="3" applyNumberFormat="1" applyFont="1" applyFill="1" applyBorder="1" applyAlignment="1" applyProtection="1">
      <alignment horizontal="right" vertical="center" indent="1"/>
    </xf>
    <xf numFmtId="172" fontId="46" fillId="16" borderId="44" xfId="0" applyNumberFormat="1" applyFont="1" applyFill="1" applyBorder="1" applyAlignment="1">
      <alignment horizontal="right" indent="1"/>
    </xf>
    <xf numFmtId="3" fontId="46" fillId="16" borderId="44" xfId="3" applyNumberFormat="1" applyFont="1" applyFill="1" applyBorder="1" applyProtection="1"/>
    <xf numFmtId="172" fontId="46" fillId="16" borderId="44" xfId="3" applyNumberFormat="1" applyFont="1" applyFill="1" applyBorder="1" applyAlignment="1" applyProtection="1">
      <alignment horizontal="right" indent="1"/>
    </xf>
    <xf numFmtId="0" fontId="45" fillId="12" borderId="44" xfId="3" applyFont="1" applyFill="1" applyBorder="1" applyProtection="1"/>
    <xf numFmtId="172" fontId="46" fillId="12" borderId="44" xfId="3" applyNumberFormat="1" applyFont="1" applyFill="1" applyBorder="1" applyAlignment="1" applyProtection="1">
      <alignment horizontal="right" vertical="center" indent="1"/>
    </xf>
    <xf numFmtId="172" fontId="43" fillId="0" borderId="44" xfId="3" applyNumberFormat="1" applyFont="1" applyBorder="1" applyAlignment="1" applyProtection="1">
      <alignment horizontal="right" vertical="center" indent="1"/>
    </xf>
    <xf numFmtId="0" fontId="46" fillId="16" borderId="44" xfId="3" applyFont="1" applyFill="1" applyBorder="1" applyAlignment="1" applyProtection="1">
      <alignment vertical="center"/>
    </xf>
    <xf numFmtId="0" fontId="44" fillId="0" borderId="44" xfId="0" applyFont="1" applyBorder="1"/>
    <xf numFmtId="0" fontId="44" fillId="14" borderId="44" xfId="3" applyFont="1" applyFill="1" applyBorder="1" applyProtection="1"/>
    <xf numFmtId="172" fontId="46" fillId="14" borderId="44" xfId="3" applyNumberFormat="1" applyFont="1" applyFill="1" applyBorder="1" applyAlignment="1" applyProtection="1">
      <alignment horizontal="right" vertical="center" indent="1"/>
    </xf>
    <xf numFmtId="0" fontId="38" fillId="0" borderId="0" xfId="0" applyFont="1" applyAlignment="1" applyProtection="1">
      <alignment horizontal="left" vertical="center" indent="1"/>
      <protection hidden="1"/>
    </xf>
    <xf numFmtId="0" fontId="60" fillId="0" borderId="0" xfId="0" applyFont="1" applyAlignment="1" applyProtection="1">
      <alignment horizontal="left" indent="1"/>
      <protection locked="0"/>
    </xf>
    <xf numFmtId="4" fontId="60" fillId="0" borderId="0" xfId="0" applyNumberFormat="1" applyFont="1" applyAlignment="1">
      <alignment horizontal="right" indent="1"/>
    </xf>
    <xf numFmtId="0" fontId="61" fillId="0" borderId="0" xfId="0" applyFont="1" applyAlignment="1" applyProtection="1">
      <alignment horizontal="left" vertical="center" indent="1"/>
      <protection hidden="1"/>
    </xf>
    <xf numFmtId="0" fontId="60" fillId="0" borderId="0" xfId="0" applyFont="1"/>
    <xf numFmtId="0" fontId="60" fillId="0" borderId="0" xfId="0" applyFont="1" applyAlignment="1" applyProtection="1">
      <alignment horizontal="left" indent="1"/>
      <protection hidden="1"/>
    </xf>
    <xf numFmtId="0" fontId="60" fillId="0" borderId="0" xfId="0" applyFont="1" applyAlignment="1">
      <alignment horizontal="left" indent="1"/>
    </xf>
    <xf numFmtId="4" fontId="60" fillId="0" borderId="0" xfId="0" applyNumberFormat="1" applyFont="1" applyAlignment="1">
      <alignment horizontal="left"/>
    </xf>
    <xf numFmtId="0" fontId="62" fillId="0" borderId="0" xfId="0" applyFont="1"/>
    <xf numFmtId="0" fontId="62" fillId="0" borderId="0" xfId="0" applyFont="1" applyAlignment="1">
      <alignment horizontal="left" vertical="center" indent="1"/>
    </xf>
    <xf numFmtId="4" fontId="63" fillId="0" borderId="0" xfId="0" applyNumberFormat="1" applyFont="1" applyAlignment="1">
      <alignment horizontal="right" indent="1"/>
    </xf>
    <xf numFmtId="0" fontId="15" fillId="11" borderId="0" xfId="0" applyFont="1" applyFill="1" applyAlignment="1" applyProtection="1">
      <alignment horizontal="right" vertical="center" indent="1"/>
      <protection hidden="1"/>
    </xf>
    <xf numFmtId="0" fontId="19" fillId="12" borderId="0" xfId="3" applyFont="1" applyFill="1" applyBorder="1" applyAlignment="1" applyProtection="1">
      <alignment horizontal="center" vertical="center"/>
    </xf>
    <xf numFmtId="0" fontId="6" fillId="12" borderId="0" xfId="3" applyFont="1" applyFill="1" applyBorder="1" applyAlignment="1" applyProtection="1">
      <alignment horizontal="center" vertical="center"/>
    </xf>
    <xf numFmtId="166" fontId="6" fillId="12" borderId="0" xfId="3" applyNumberFormat="1" applyFont="1" applyFill="1" applyBorder="1" applyAlignment="1" applyProtection="1">
      <alignment horizontal="center" vertical="center"/>
    </xf>
    <xf numFmtId="0" fontId="14" fillId="10" borderId="45" xfId="3" applyFont="1" applyFill="1" applyBorder="1" applyAlignment="1" applyProtection="1">
      <alignment horizontal="center" vertical="center"/>
    </xf>
    <xf numFmtId="0" fontId="14" fillId="10" borderId="49" xfId="3" applyFont="1" applyFill="1" applyBorder="1" applyAlignment="1" applyProtection="1">
      <alignment horizontal="center" vertical="center"/>
    </xf>
    <xf numFmtId="0" fontId="14" fillId="10" borderId="41" xfId="3" applyFont="1" applyFill="1" applyBorder="1" applyAlignment="1" applyProtection="1">
      <alignment horizontal="center" vertical="center"/>
    </xf>
    <xf numFmtId="0" fontId="14" fillId="10" borderId="0" xfId="3" applyFont="1" applyFill="1" applyBorder="1" applyAlignment="1" applyProtection="1">
      <alignment horizontal="center" vertical="center"/>
    </xf>
    <xf numFmtId="0" fontId="14" fillId="10" borderId="39" xfId="3" applyFont="1" applyFill="1" applyBorder="1" applyAlignment="1" applyProtection="1">
      <alignment horizontal="center" vertical="center"/>
    </xf>
    <xf numFmtId="0" fontId="14" fillId="10" borderId="44" xfId="3" applyFont="1" applyFill="1" applyBorder="1" applyAlignment="1" applyProtection="1">
      <alignment horizontal="center" vertical="center"/>
    </xf>
    <xf numFmtId="0" fontId="43" fillId="0" borderId="41" xfId="3" applyFont="1" applyBorder="1" applyAlignment="1" applyProtection="1">
      <alignment horizontal="center" vertical="center"/>
    </xf>
    <xf numFmtId="0" fontId="43" fillId="0" borderId="0" xfId="3" applyFont="1" applyBorder="1" applyAlignment="1" applyProtection="1">
      <alignment horizontal="center" vertical="center"/>
    </xf>
    <xf numFmtId="0" fontId="46" fillId="12" borderId="41" xfId="3" applyFont="1" applyFill="1" applyBorder="1" applyAlignment="1" applyProtection="1">
      <alignment horizontal="center" vertical="center"/>
    </xf>
    <xf numFmtId="0" fontId="46" fillId="12" borderId="0" xfId="3" applyFont="1" applyFill="1" applyBorder="1" applyAlignment="1" applyProtection="1">
      <alignment horizontal="center" vertical="center"/>
    </xf>
    <xf numFmtId="0" fontId="43" fillId="0" borderId="41" xfId="3" applyFont="1" applyBorder="1" applyAlignment="1" applyProtection="1">
      <alignment horizontal="left" vertical="center"/>
    </xf>
    <xf numFmtId="0" fontId="43" fillId="0" borderId="0" xfId="3" applyFont="1" applyBorder="1" applyAlignment="1" applyProtection="1">
      <alignment horizontal="left" vertical="center"/>
    </xf>
    <xf numFmtId="0" fontId="47" fillId="14" borderId="41" xfId="3" applyFont="1" applyFill="1" applyBorder="1" applyAlignment="1" applyProtection="1">
      <alignment horizontal="center" vertical="center"/>
    </xf>
    <xf numFmtId="0" fontId="47" fillId="14" borderId="0" xfId="3" applyFont="1" applyFill="1" applyBorder="1" applyAlignment="1" applyProtection="1">
      <alignment horizontal="center" vertical="center"/>
    </xf>
    <xf numFmtId="0" fontId="46" fillId="14" borderId="0" xfId="3" applyFont="1" applyFill="1" applyBorder="1" applyAlignment="1" applyProtection="1">
      <alignment horizontal="center" vertical="center"/>
    </xf>
    <xf numFmtId="0" fontId="14" fillId="14" borderId="43" xfId="3" applyFont="1" applyFill="1" applyBorder="1" applyAlignment="1" applyProtection="1">
      <alignment horizontal="center" vertical="center"/>
    </xf>
    <xf numFmtId="0" fontId="14" fillId="14" borderId="50" xfId="3" applyFont="1" applyFill="1" applyBorder="1" applyAlignment="1" applyProtection="1">
      <alignment horizontal="center" vertical="center"/>
    </xf>
    <xf numFmtId="0" fontId="6" fillId="14" borderId="0" xfId="3" applyFont="1" applyFill="1" applyBorder="1" applyAlignment="1" applyProtection="1">
      <alignment horizontal="center" vertical="center"/>
    </xf>
    <xf numFmtId="0" fontId="14" fillId="14" borderId="0" xfId="3" applyFont="1" applyFill="1" applyBorder="1" applyAlignment="1" applyProtection="1">
      <alignment horizontal="center" vertical="center"/>
    </xf>
    <xf numFmtId="0" fontId="50" fillId="15" borderId="0" xfId="0" applyFont="1" applyFill="1" applyAlignment="1">
      <alignment horizontal="center"/>
    </xf>
    <xf numFmtId="0" fontId="53" fillId="15" borderId="0" xfId="0" applyFont="1" applyFill="1" applyAlignment="1">
      <alignment horizontal="center"/>
    </xf>
    <xf numFmtId="0" fontId="44" fillId="0" borderId="54" xfId="0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54" xfId="0" applyFont="1" applyBorder="1" applyAlignment="1">
      <alignment horizontal="center" vertical="center" wrapText="1"/>
    </xf>
    <xf numFmtId="0" fontId="54" fillId="15" borderId="51" xfId="0" applyFont="1" applyFill="1" applyBorder="1" applyAlignment="1">
      <alignment horizontal="center" vertical="center"/>
    </xf>
    <xf numFmtId="0" fontId="54" fillId="15" borderId="51" xfId="0" applyFont="1" applyFill="1" applyBorder="1" applyAlignment="1">
      <alignment horizontal="center" vertical="center" wrapText="1"/>
    </xf>
    <xf numFmtId="0" fontId="39" fillId="0" borderId="45" xfId="0" applyFont="1" applyBorder="1" applyAlignment="1">
      <alignment horizontal="left" indent="1"/>
    </xf>
    <xf numFmtId="0" fontId="39" fillId="0" borderId="49" xfId="0" applyFont="1" applyBorder="1" applyAlignment="1">
      <alignment horizontal="left" indent="1"/>
    </xf>
    <xf numFmtId="0" fontId="39" fillId="0" borderId="46" xfId="0" applyFont="1" applyBorder="1" applyAlignment="1">
      <alignment horizontal="left" indent="1"/>
    </xf>
    <xf numFmtId="173" fontId="39" fillId="0" borderId="39" xfId="1" applyFont="1" applyBorder="1" applyProtection="1"/>
    <xf numFmtId="0" fontId="39" fillId="0" borderId="41" xfId="0" applyFont="1" applyBorder="1" applyAlignment="1">
      <alignment horizontal="left" indent="1"/>
    </xf>
    <xf numFmtId="0" fontId="39" fillId="0" borderId="0" xfId="0" applyFont="1" applyAlignment="1">
      <alignment horizontal="left" indent="1"/>
    </xf>
    <xf numFmtId="0" fontId="39" fillId="0" borderId="47" xfId="0" applyFont="1" applyBorder="1" applyAlignment="1">
      <alignment horizontal="left" indent="1"/>
    </xf>
    <xf numFmtId="173" fontId="39" fillId="0" borderId="44" xfId="1" applyFont="1" applyBorder="1" applyProtection="1"/>
    <xf numFmtId="0" fontId="41" fillId="0" borderId="43" xfId="0" applyFont="1" applyBorder="1" applyAlignment="1">
      <alignment horizontal="right" indent="3"/>
    </xf>
    <xf numFmtId="0" fontId="41" fillId="0" borderId="50" xfId="0" applyFont="1" applyBorder="1" applyAlignment="1">
      <alignment horizontal="right" indent="3"/>
    </xf>
    <xf numFmtId="0" fontId="41" fillId="0" borderId="48" xfId="0" applyFont="1" applyBorder="1" applyAlignment="1">
      <alignment horizontal="right" indent="3"/>
    </xf>
    <xf numFmtId="173" fontId="41" fillId="0" borderId="42" xfId="1" applyFont="1" applyBorder="1" applyProtection="1"/>
    <xf numFmtId="0" fontId="54" fillId="15" borderId="53" xfId="0" applyFont="1" applyFill="1" applyBorder="1" applyAlignment="1">
      <alignment horizontal="center" vertical="center"/>
    </xf>
    <xf numFmtId="0" fontId="39" fillId="0" borderId="45" xfId="0" applyFont="1" applyBorder="1" applyAlignment="1">
      <alignment horizontal="left" indent="5"/>
    </xf>
    <xf numFmtId="0" fontId="39" fillId="0" borderId="49" xfId="0" applyFont="1" applyBorder="1" applyAlignment="1">
      <alignment horizontal="left" indent="5"/>
    </xf>
    <xf numFmtId="0" fontId="39" fillId="0" borderId="46" xfId="0" applyFont="1" applyBorder="1" applyAlignment="1">
      <alignment horizontal="left" indent="5"/>
    </xf>
    <xf numFmtId="0" fontId="39" fillId="0" borderId="41" xfId="0" applyFont="1" applyBorder="1" applyAlignment="1">
      <alignment horizontal="left" indent="5"/>
    </xf>
    <xf numFmtId="0" fontId="39" fillId="0" borderId="0" xfId="0" applyFont="1" applyAlignment="1">
      <alignment horizontal="left" indent="5"/>
    </xf>
    <xf numFmtId="0" fontId="39" fillId="0" borderId="47" xfId="0" applyFont="1" applyBorder="1" applyAlignment="1">
      <alignment horizontal="left" indent="5"/>
    </xf>
    <xf numFmtId="0" fontId="54" fillId="15" borderId="45" xfId="0" applyFont="1" applyFill="1" applyBorder="1" applyAlignment="1">
      <alignment horizontal="center" vertical="center"/>
    </xf>
    <xf numFmtId="0" fontId="54" fillId="15" borderId="49" xfId="0" applyFont="1" applyFill="1" applyBorder="1" applyAlignment="1">
      <alignment horizontal="center" vertical="center"/>
    </xf>
    <xf numFmtId="0" fontId="54" fillId="15" borderId="49" xfId="0" applyFont="1" applyFill="1" applyBorder="1" applyAlignment="1">
      <alignment horizontal="center" vertical="center" wrapText="1"/>
    </xf>
    <xf numFmtId="0" fontId="54" fillId="15" borderId="46" xfId="0" applyFont="1" applyFill="1" applyBorder="1" applyAlignment="1">
      <alignment horizontal="center" vertical="center"/>
    </xf>
    <xf numFmtId="173" fontId="39" fillId="0" borderId="47" xfId="1" applyFont="1" applyBorder="1" applyProtection="1"/>
    <xf numFmtId="173" fontId="39" fillId="0" borderId="44" xfId="1" applyFont="1" applyBorder="1" applyAlignment="1" applyProtection="1">
      <alignment horizontal="center"/>
    </xf>
    <xf numFmtId="173" fontId="39" fillId="0" borderId="0" xfId="1" applyFont="1" applyBorder="1" applyProtection="1"/>
    <xf numFmtId="173" fontId="39" fillId="0" borderId="47" xfId="1" applyFont="1" applyBorder="1" applyAlignment="1" applyProtection="1">
      <alignment horizontal="right"/>
    </xf>
    <xf numFmtId="173" fontId="39" fillId="0" borderId="44" xfId="1" applyFont="1" applyBorder="1" applyAlignment="1" applyProtection="1">
      <alignment horizontal="right"/>
    </xf>
    <xf numFmtId="173" fontId="41" fillId="0" borderId="48" xfId="1" applyFont="1" applyBorder="1" applyProtection="1"/>
    <xf numFmtId="0" fontId="54" fillId="15" borderId="52" xfId="0" applyFont="1" applyFill="1" applyBorder="1" applyAlignment="1">
      <alignment horizontal="center" vertical="center"/>
    </xf>
    <xf numFmtId="0" fontId="39" fillId="0" borderId="44" xfId="0" applyFont="1" applyBorder="1" applyAlignment="1">
      <alignment horizontal="left" indent="2"/>
    </xf>
    <xf numFmtId="0" fontId="39" fillId="0" borderId="44" xfId="0" applyFont="1" applyBorder="1" applyAlignment="1">
      <alignment horizontal="left" indent="1"/>
    </xf>
    <xf numFmtId="0" fontId="41" fillId="0" borderId="42" xfId="0" applyFont="1" applyBorder="1" applyAlignment="1">
      <alignment horizontal="right" indent="3"/>
    </xf>
    <xf numFmtId="174" fontId="54" fillId="15" borderId="51" xfId="0" applyNumberFormat="1" applyFont="1" applyFill="1" applyBorder="1" applyAlignment="1">
      <alignment horizontal="center" vertical="center"/>
    </xf>
    <xf numFmtId="174" fontId="54" fillId="15" borderId="51" xfId="0" applyNumberFormat="1" applyFont="1" applyFill="1" applyBorder="1" applyAlignment="1">
      <alignment horizontal="center" vertical="center" wrapText="1"/>
    </xf>
    <xf numFmtId="174" fontId="39" fillId="0" borderId="44" xfId="1" applyNumberFormat="1" applyFont="1" applyBorder="1" applyAlignment="1" applyProtection="1">
      <alignment vertical="center"/>
    </xf>
    <xf numFmtId="0" fontId="41" fillId="0" borderId="43" xfId="0" applyFont="1" applyBorder="1" applyAlignment="1">
      <alignment horizontal="right" vertical="center" indent="1"/>
    </xf>
    <xf numFmtId="0" fontId="41" fillId="0" borderId="50" xfId="0" applyFont="1" applyBorder="1" applyAlignment="1">
      <alignment horizontal="right" vertical="center" indent="1"/>
    </xf>
    <xf numFmtId="0" fontId="41" fillId="0" borderId="48" xfId="0" applyFont="1" applyBorder="1" applyAlignment="1">
      <alignment horizontal="right" vertical="center" indent="1"/>
    </xf>
    <xf numFmtId="174" fontId="41" fillId="0" borderId="42" xfId="1" applyNumberFormat="1" applyFont="1" applyBorder="1" applyAlignment="1" applyProtection="1">
      <alignment vertical="center"/>
    </xf>
    <xf numFmtId="174" fontId="39" fillId="0" borderId="39" xfId="1" applyNumberFormat="1" applyFont="1" applyBorder="1" applyAlignment="1" applyProtection="1">
      <alignment vertical="center"/>
    </xf>
    <xf numFmtId="0" fontId="41" fillId="0" borderId="43" xfId="0" applyFont="1" applyBorder="1" applyAlignment="1">
      <alignment horizontal="right" vertical="center"/>
    </xf>
    <xf numFmtId="0" fontId="41" fillId="0" borderId="50" xfId="0" applyFont="1" applyBorder="1" applyAlignment="1">
      <alignment horizontal="right" vertical="center"/>
    </xf>
    <xf numFmtId="0" fontId="41" fillId="0" borderId="48" xfId="0" applyFont="1" applyBorder="1" applyAlignment="1">
      <alignment horizontal="right" vertical="center"/>
    </xf>
    <xf numFmtId="174" fontId="39" fillId="0" borderId="39" xfId="0" applyNumberFormat="1" applyFont="1" applyBorder="1" applyAlignment="1">
      <alignment horizontal="center" vertical="center"/>
    </xf>
    <xf numFmtId="174" fontId="39" fillId="0" borderId="44" xfId="1" applyNumberFormat="1" applyFont="1" applyBorder="1" applyAlignment="1" applyProtection="1">
      <alignment horizontal="right" vertical="center"/>
    </xf>
    <xf numFmtId="174" fontId="39" fillId="0" borderId="41" xfId="1" applyNumberFormat="1" applyFont="1" applyBorder="1" applyAlignment="1" applyProtection="1">
      <alignment vertical="center"/>
    </xf>
    <xf numFmtId="174" fontId="39" fillId="0" borderId="47" xfId="1" applyNumberFormat="1" applyFont="1" applyBorder="1" applyAlignment="1" applyProtection="1">
      <alignment vertical="center"/>
    </xf>
    <xf numFmtId="175" fontId="54" fillId="15" borderId="51" xfId="0" applyNumberFormat="1" applyFont="1" applyFill="1" applyBorder="1" applyAlignment="1">
      <alignment horizontal="center" vertical="center"/>
    </xf>
    <xf numFmtId="174" fontId="41" fillId="0" borderId="0" xfId="0" applyNumberFormat="1" applyFont="1" applyAlignment="1">
      <alignment horizontal="center" vertical="center"/>
    </xf>
    <xf numFmtId="174" fontId="41" fillId="0" borderId="10" xfId="0" applyNumberFormat="1" applyFont="1" applyBorder="1" applyAlignment="1">
      <alignment horizontal="center" vertical="center"/>
    </xf>
    <xf numFmtId="0" fontId="39" fillId="0" borderId="45" xfId="0" applyFont="1" applyBorder="1" applyAlignment="1">
      <alignment horizontal="left" vertical="center" indent="1"/>
    </xf>
    <xf numFmtId="0" fontId="39" fillId="0" borderId="49" xfId="0" applyFont="1" applyBorder="1" applyAlignment="1">
      <alignment horizontal="left" vertical="center" indent="1"/>
    </xf>
    <xf numFmtId="0" fontId="39" fillId="0" borderId="46" xfId="0" applyFont="1" applyBorder="1" applyAlignment="1">
      <alignment horizontal="left" vertical="center" indent="1"/>
    </xf>
    <xf numFmtId="174" fontId="39" fillId="0" borderId="39" xfId="1" applyNumberFormat="1" applyFont="1" applyBorder="1" applyAlignment="1" applyProtection="1">
      <alignment horizontal="right" vertical="center"/>
    </xf>
    <xf numFmtId="174" fontId="39" fillId="0" borderId="0" xfId="0" applyNumberFormat="1" applyFont="1" applyAlignment="1">
      <alignment vertical="center"/>
    </xf>
    <xf numFmtId="0" fontId="39" fillId="0" borderId="41" xfId="0" applyFont="1" applyBorder="1" applyAlignment="1">
      <alignment horizontal="left" vertical="center" indent="1"/>
    </xf>
    <xf numFmtId="0" fontId="39" fillId="0" borderId="0" xfId="0" applyFont="1" applyAlignment="1">
      <alignment horizontal="left" vertical="center" indent="1"/>
    </xf>
    <xf numFmtId="0" fontId="39" fillId="0" borderId="47" xfId="0" applyFont="1" applyBorder="1" applyAlignment="1">
      <alignment horizontal="left" vertical="center" indent="1"/>
    </xf>
    <xf numFmtId="174" fontId="41" fillId="0" borderId="42" xfId="1" applyNumberFormat="1" applyFont="1" applyBorder="1" applyAlignment="1" applyProtection="1">
      <alignment horizontal="right" vertical="center"/>
    </xf>
    <xf numFmtId="0" fontId="41" fillId="0" borderId="45" xfId="0" applyFont="1" applyBorder="1" applyAlignment="1">
      <alignment horizontal="left" vertical="center" indent="1"/>
    </xf>
    <xf numFmtId="0" fontId="41" fillId="0" borderId="55" xfId="0" applyFont="1" applyBorder="1" applyAlignment="1">
      <alignment horizontal="left" vertical="center" indent="1"/>
    </xf>
    <xf numFmtId="0" fontId="39" fillId="0" borderId="41" xfId="0" applyFont="1" applyBorder="1" applyAlignment="1">
      <alignment horizontal="left" vertical="center" indent="4"/>
    </xf>
    <xf numFmtId="0" fontId="39" fillId="0" borderId="9" xfId="0" applyFont="1" applyBorder="1" applyAlignment="1">
      <alignment horizontal="left" vertical="center" indent="4"/>
    </xf>
    <xf numFmtId="0" fontId="41" fillId="0" borderId="41" xfId="0" applyFont="1" applyBorder="1" applyAlignment="1">
      <alignment horizontal="left" vertical="center" indent="1"/>
    </xf>
    <xf numFmtId="0" fontId="41" fillId="0" borderId="9" xfId="0" applyFont="1" applyBorder="1" applyAlignment="1">
      <alignment horizontal="left" vertical="center" indent="1"/>
    </xf>
    <xf numFmtId="0" fontId="41" fillId="0" borderId="56" xfId="0" applyFont="1" applyBorder="1" applyAlignment="1">
      <alignment horizontal="right" vertical="center" indent="1"/>
    </xf>
    <xf numFmtId="174" fontId="54" fillId="15" borderId="39" xfId="0" applyNumberFormat="1" applyFont="1" applyFill="1" applyBorder="1" applyAlignment="1">
      <alignment horizontal="center" vertical="center"/>
    </xf>
    <xf numFmtId="174" fontId="39" fillId="0" borderId="44" xfId="1" applyNumberFormat="1" applyFont="1" applyBorder="1" applyAlignment="1" applyProtection="1">
      <alignment horizontal="center" vertical="center"/>
    </xf>
    <xf numFmtId="174" fontId="41" fillId="0" borderId="42" xfId="1" applyNumberFormat="1" applyFont="1" applyBorder="1" applyAlignment="1" applyProtection="1">
      <alignment horizontal="center" vertical="center"/>
    </xf>
    <xf numFmtId="0" fontId="39" fillId="0" borderId="40" xfId="0" applyFont="1" applyBorder="1" applyAlignment="1">
      <alignment horizontal="left" vertical="center" wrapText="1" indent="1"/>
    </xf>
    <xf numFmtId="0" fontId="39" fillId="0" borderId="57" xfId="0" applyFont="1" applyBorder="1" applyAlignment="1">
      <alignment horizontal="left" vertical="center" wrapText="1" indent="1"/>
    </xf>
    <xf numFmtId="0" fontId="39" fillId="0" borderId="58" xfId="0" applyFont="1" applyBorder="1" applyAlignment="1">
      <alignment horizontal="left" vertical="center" wrapText="1" indent="1"/>
    </xf>
    <xf numFmtId="174" fontId="39" fillId="0" borderId="39" xfId="1" applyNumberFormat="1" applyFont="1" applyBorder="1" applyAlignment="1" applyProtection="1">
      <alignment horizontal="center" vertical="center"/>
    </xf>
    <xf numFmtId="0" fontId="39" fillId="0" borderId="59" xfId="0" applyFont="1" applyBorder="1" applyAlignment="1">
      <alignment horizontal="left" vertical="center" wrapText="1" indent="1"/>
    </xf>
    <xf numFmtId="0" fontId="39" fillId="0" borderId="17" xfId="0" applyFont="1" applyBorder="1" applyAlignment="1">
      <alignment horizontal="left" vertical="center" wrapText="1" indent="1"/>
    </xf>
    <xf numFmtId="0" fontId="39" fillId="0" borderId="60" xfId="0" applyFont="1" applyBorder="1" applyAlignment="1">
      <alignment horizontal="left" vertical="center" wrapText="1" indent="1"/>
    </xf>
    <xf numFmtId="0" fontId="54" fillId="15" borderId="39" xfId="0" applyFont="1" applyFill="1" applyBorder="1" applyAlignment="1">
      <alignment horizontal="center" vertical="center"/>
    </xf>
    <xf numFmtId="174" fontId="39" fillId="0" borderId="44" xfId="0" applyNumberFormat="1" applyFont="1" applyBorder="1" applyAlignment="1">
      <alignment horizontal="right" vertical="center"/>
    </xf>
    <xf numFmtId="174" fontId="41" fillId="0" borderId="42" xfId="0" applyNumberFormat="1" applyFont="1" applyBorder="1" applyAlignment="1">
      <alignment horizontal="right" vertical="center"/>
    </xf>
    <xf numFmtId="174" fontId="39" fillId="0" borderId="39" xfId="0" applyNumberFormat="1" applyFont="1" applyBorder="1" applyAlignment="1">
      <alignment horizontal="right" vertical="center"/>
    </xf>
    <xf numFmtId="174" fontId="57" fillId="0" borderId="44" xfId="1" applyNumberFormat="1" applyFont="1" applyBorder="1" applyAlignment="1" applyProtection="1">
      <alignment vertical="center"/>
    </xf>
    <xf numFmtId="174" fontId="39" fillId="0" borderId="41" xfId="1" applyNumberFormat="1" applyFont="1" applyBorder="1" applyAlignment="1" applyProtection="1">
      <alignment horizontal="right" vertical="center"/>
    </xf>
    <xf numFmtId="174" fontId="39" fillId="0" borderId="47" xfId="1" applyNumberFormat="1" applyFont="1" applyBorder="1" applyAlignment="1" applyProtection="1">
      <alignment horizontal="right" vertical="center"/>
    </xf>
    <xf numFmtId="174" fontId="39" fillId="0" borderId="41" xfId="0" applyNumberFormat="1" applyFont="1" applyBorder="1"/>
    <xf numFmtId="174" fontId="39" fillId="0" borderId="47" xfId="0" applyNumberFormat="1" applyFont="1" applyBorder="1"/>
    <xf numFmtId="174" fontId="39" fillId="0" borderId="41" xfId="0" applyNumberFormat="1" applyFont="1" applyBorder="1" applyAlignment="1">
      <alignment vertical="top"/>
    </xf>
    <xf numFmtId="174" fontId="39" fillId="0" borderId="47" xfId="0" applyNumberFormat="1" applyFont="1" applyBorder="1" applyAlignment="1">
      <alignment vertical="top"/>
    </xf>
    <xf numFmtId="0" fontId="54" fillId="15" borderId="61" xfId="0" applyFont="1" applyFill="1" applyBorder="1" applyAlignment="1">
      <alignment horizontal="center" vertical="center"/>
    </xf>
    <xf numFmtId="0" fontId="54" fillId="15" borderId="62" xfId="0" applyFont="1" applyFill="1" applyBorder="1" applyAlignment="1">
      <alignment horizontal="center" vertical="center"/>
    </xf>
    <xf numFmtId="164" fontId="54" fillId="15" borderId="52" xfId="0" applyNumberFormat="1" applyFont="1" applyFill="1" applyBorder="1" applyAlignment="1">
      <alignment horizontal="center" vertical="center"/>
    </xf>
    <xf numFmtId="164" fontId="54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39" fillId="0" borderId="9" xfId="0" applyFont="1" applyBorder="1" applyAlignment="1">
      <alignment horizontal="left" vertical="center" indent="3"/>
    </xf>
    <xf numFmtId="174" fontId="39" fillId="0" borderId="44" xfId="0" applyNumberFormat="1" applyFont="1" applyBorder="1" applyAlignment="1">
      <alignment vertical="center"/>
    </xf>
    <xf numFmtId="0" fontId="39" fillId="0" borderId="0" xfId="0" applyFont="1"/>
    <xf numFmtId="0" fontId="41" fillId="0" borderId="26" xfId="0" applyFont="1" applyBorder="1" applyAlignment="1">
      <alignment horizontal="right" vertical="center" indent="3"/>
    </xf>
    <xf numFmtId="174" fontId="41" fillId="0" borderId="0" xfId="0" applyNumberFormat="1" applyFont="1" applyAlignment="1">
      <alignment vertical="center"/>
    </xf>
    <xf numFmtId="0" fontId="54" fillId="15" borderId="2" xfId="0" applyFont="1" applyFill="1" applyBorder="1" applyAlignment="1">
      <alignment horizontal="center" vertical="center"/>
    </xf>
    <xf numFmtId="164" fontId="54" fillId="15" borderId="2" xfId="0" applyNumberFormat="1" applyFont="1" applyFill="1" applyBorder="1" applyAlignment="1">
      <alignment horizontal="center" vertical="center"/>
    </xf>
    <xf numFmtId="0" fontId="39" fillId="0" borderId="22" xfId="0" applyFont="1" applyBorder="1" applyAlignment="1">
      <alignment horizontal="left" vertical="center" indent="3"/>
    </xf>
    <xf numFmtId="174" fontId="39" fillId="0" borderId="1" xfId="1" applyNumberFormat="1" applyFont="1" applyBorder="1" applyAlignment="1" applyProtection="1">
      <alignment horizontal="right" vertical="center"/>
    </xf>
    <xf numFmtId="174" fontId="39" fillId="0" borderId="7" xfId="1" applyNumberFormat="1" applyFont="1" applyBorder="1" applyAlignment="1" applyProtection="1">
      <alignment horizontal="right" vertical="center"/>
    </xf>
    <xf numFmtId="174" fontId="39" fillId="0" borderId="7" xfId="0" applyNumberFormat="1" applyFont="1" applyBorder="1" applyAlignment="1">
      <alignment vertical="center"/>
    </xf>
    <xf numFmtId="0" fontId="41" fillId="0" borderId="27" xfId="0" applyFont="1" applyBorder="1" applyAlignment="1">
      <alignment horizontal="right" vertical="center" indent="3"/>
    </xf>
    <xf numFmtId="174" fontId="41" fillId="0" borderId="14" xfId="0" applyNumberFormat="1" applyFont="1" applyBorder="1" applyAlignment="1">
      <alignment vertical="center"/>
    </xf>
    <xf numFmtId="0" fontId="54" fillId="15" borderId="39" xfId="0" applyFont="1" applyFill="1" applyBorder="1" applyAlignment="1">
      <alignment horizontal="center" vertical="center" wrapText="1"/>
    </xf>
    <xf numFmtId="0" fontId="39" fillId="0" borderId="41" xfId="0" applyFont="1" applyBorder="1" applyAlignment="1">
      <alignment horizontal="left" vertical="center" indent="3"/>
    </xf>
    <xf numFmtId="0" fontId="39" fillId="0" borderId="0" xfId="0" applyFont="1" applyAlignment="1">
      <alignment horizontal="left" vertical="center" indent="3"/>
    </xf>
    <xf numFmtId="174" fontId="39" fillId="0" borderId="44" xfId="0" applyNumberFormat="1" applyFont="1" applyBorder="1" applyAlignment="1">
      <alignment horizontal="center" vertical="center"/>
    </xf>
    <xf numFmtId="174" fontId="39" fillId="0" borderId="41" xfId="0" applyNumberFormat="1" applyFont="1" applyBorder="1" applyAlignment="1">
      <alignment vertical="center"/>
    </xf>
    <xf numFmtId="174" fontId="39" fillId="0" borderId="47" xfId="0" applyNumberFormat="1" applyFont="1" applyBorder="1" applyAlignment="1">
      <alignment vertical="center"/>
    </xf>
    <xf numFmtId="0" fontId="41" fillId="0" borderId="43" xfId="0" applyFont="1" applyBorder="1" applyAlignment="1">
      <alignment horizontal="right" vertical="center" indent="3"/>
    </xf>
    <xf numFmtId="0" fontId="41" fillId="0" borderId="50" xfId="0" applyFont="1" applyBorder="1" applyAlignment="1">
      <alignment horizontal="right" vertical="center" indent="3"/>
    </xf>
    <xf numFmtId="174" fontId="41" fillId="0" borderId="42" xfId="0" applyNumberFormat="1" applyFont="1" applyBorder="1" applyAlignment="1">
      <alignment vertical="center"/>
    </xf>
    <xf numFmtId="164" fontId="54" fillId="15" borderId="39" xfId="0" applyNumberFormat="1" applyFont="1" applyFill="1" applyBorder="1" applyAlignment="1">
      <alignment horizontal="center" vertical="center"/>
    </xf>
    <xf numFmtId="164" fontId="54" fillId="0" borderId="65" xfId="0" applyNumberFormat="1" applyFont="1" applyBorder="1" applyAlignment="1">
      <alignment horizontal="center" vertical="center"/>
    </xf>
    <xf numFmtId="164" fontId="54" fillId="0" borderId="63" xfId="0" applyNumberFormat="1" applyFont="1" applyBorder="1" applyAlignment="1">
      <alignment horizontal="center" vertical="center"/>
    </xf>
    <xf numFmtId="176" fontId="39" fillId="0" borderId="44" xfId="1" applyNumberFormat="1" applyFont="1" applyBorder="1" applyAlignment="1" applyProtection="1">
      <alignment horizontal="right" vertical="center"/>
    </xf>
    <xf numFmtId="176" fontId="55" fillId="0" borderId="44" xfId="0" applyNumberFormat="1" applyFont="1" applyBorder="1" applyAlignment="1">
      <alignment vertical="center"/>
    </xf>
    <xf numFmtId="176" fontId="55" fillId="0" borderId="64" xfId="0" applyNumberFormat="1" applyFont="1" applyBorder="1" applyAlignment="1">
      <alignment vertical="center"/>
    </xf>
    <xf numFmtId="176" fontId="41" fillId="0" borderId="66" xfId="0" applyNumberFormat="1" applyFont="1" applyBorder="1" applyAlignment="1">
      <alignment vertical="center"/>
    </xf>
    <xf numFmtId="176" fontId="54" fillId="0" borderId="44" xfId="0" applyNumberFormat="1" applyFont="1" applyBorder="1" applyAlignment="1">
      <alignment vertical="center"/>
    </xf>
    <xf numFmtId="176" fontId="54" fillId="0" borderId="64" xfId="0" applyNumberFormat="1" applyFont="1" applyBorder="1" applyAlignment="1">
      <alignment vertical="center"/>
    </xf>
    <xf numFmtId="0" fontId="54" fillId="0" borderId="47" xfId="0" applyFont="1" applyBorder="1" applyAlignment="1">
      <alignment horizontal="center" vertical="center"/>
    </xf>
    <xf numFmtId="0" fontId="54" fillId="0" borderId="64" xfId="0" applyFont="1" applyBorder="1" applyAlignment="1">
      <alignment horizontal="center" vertical="center"/>
    </xf>
    <xf numFmtId="164" fontId="54" fillId="0" borderId="44" xfId="0" applyNumberFormat="1" applyFont="1" applyBorder="1" applyAlignment="1">
      <alignment horizontal="center" vertical="center"/>
    </xf>
    <xf numFmtId="164" fontId="54" fillId="0" borderId="41" xfId="0" applyNumberFormat="1" applyFont="1" applyBorder="1" applyAlignment="1">
      <alignment horizontal="center" vertical="center"/>
    </xf>
    <xf numFmtId="174" fontId="55" fillId="0" borderId="44" xfId="0" applyNumberFormat="1" applyFont="1" applyBorder="1" applyAlignment="1">
      <alignment vertical="center"/>
    </xf>
    <xf numFmtId="174" fontId="55" fillId="0" borderId="41" xfId="0" applyNumberFormat="1" applyFont="1" applyBorder="1" applyAlignment="1">
      <alignment vertical="center"/>
    </xf>
    <xf numFmtId="174" fontId="55" fillId="0" borderId="44" xfId="1" applyNumberFormat="1" applyFont="1" applyBorder="1" applyAlignment="1" applyProtection="1">
      <alignment horizontal="right" vertical="center"/>
    </xf>
    <xf numFmtId="174" fontId="54" fillId="0" borderId="44" xfId="0" applyNumberFormat="1" applyFont="1" applyBorder="1" applyAlignment="1">
      <alignment vertical="center"/>
    </xf>
    <xf numFmtId="174" fontId="54" fillId="0" borderId="41" xfId="0" applyNumberFormat="1" applyFont="1" applyBorder="1" applyAlignment="1">
      <alignment vertical="center"/>
    </xf>
    <xf numFmtId="164" fontId="54" fillId="15" borderId="45" xfId="0" applyNumberFormat="1" applyFont="1" applyFill="1" applyBorder="1" applyAlignment="1">
      <alignment horizontal="center" vertical="center"/>
    </xf>
    <xf numFmtId="164" fontId="54" fillId="15" borderId="46" xfId="0" applyNumberFormat="1" applyFont="1" applyFill="1" applyBorder="1" applyAlignment="1">
      <alignment horizontal="center" vertical="center"/>
    </xf>
    <xf numFmtId="0" fontId="39" fillId="0" borderId="41" xfId="0" applyFont="1" applyBorder="1" applyAlignment="1">
      <alignment horizontal="left" indent="3"/>
    </xf>
    <xf numFmtId="0" fontId="39" fillId="0" borderId="0" xfId="0" applyFont="1" applyAlignment="1">
      <alignment horizontal="left" indent="3"/>
    </xf>
    <xf numFmtId="174" fontId="55" fillId="0" borderId="41" xfId="0" applyNumberFormat="1" applyFont="1" applyBorder="1"/>
    <xf numFmtId="174" fontId="55" fillId="0" borderId="0" xfId="0" applyNumberFormat="1" applyFont="1"/>
    <xf numFmtId="0" fontId="39" fillId="0" borderId="41" xfId="0" applyFont="1" applyBorder="1" applyAlignment="1">
      <alignment horizontal="left" vertical="center" indent="5"/>
    </xf>
    <xf numFmtId="0" fontId="39" fillId="0" borderId="0" xfId="0" applyFont="1" applyAlignment="1">
      <alignment horizontal="left" vertical="center" indent="5"/>
    </xf>
    <xf numFmtId="0" fontId="39" fillId="0" borderId="41" xfId="0" applyFont="1" applyBorder="1" applyAlignment="1">
      <alignment horizontal="left" vertical="center" indent="7"/>
    </xf>
    <xf numFmtId="0" fontId="39" fillId="0" borderId="0" xfId="0" applyFont="1" applyAlignment="1">
      <alignment horizontal="left" vertical="center" indent="7"/>
    </xf>
    <xf numFmtId="174" fontId="41" fillId="0" borderId="43" xfId="1" applyNumberFormat="1" applyFont="1" applyBorder="1" applyAlignment="1" applyProtection="1">
      <alignment horizontal="right" vertical="center"/>
    </xf>
    <xf numFmtId="174" fontId="41" fillId="0" borderId="48" xfId="1" applyNumberFormat="1" applyFont="1" applyBorder="1" applyAlignment="1" applyProtection="1">
      <alignment horizontal="right" vertical="center"/>
    </xf>
    <xf numFmtId="174" fontId="54" fillId="0" borderId="41" xfId="0" applyNumberFormat="1" applyFont="1" applyBorder="1"/>
    <xf numFmtId="174" fontId="54" fillId="0" borderId="0" xfId="0" applyNumberFormat="1" applyFont="1"/>
    <xf numFmtId="0" fontId="31" fillId="6" borderId="0" xfId="3" applyFont="1" applyFill="1" applyBorder="1" applyAlignment="1" applyProtection="1">
      <alignment horizontal="center" vertical="center"/>
    </xf>
    <xf numFmtId="166" fontId="6" fillId="6" borderId="0" xfId="3" applyNumberFormat="1" applyFont="1" applyFill="1" applyBorder="1" applyAlignment="1" applyProtection="1">
      <alignment horizontal="center" vertical="center"/>
    </xf>
    <xf numFmtId="0" fontId="32" fillId="5" borderId="1" xfId="3" applyFont="1" applyFill="1" applyBorder="1" applyAlignment="1" applyProtection="1">
      <alignment horizontal="center" vertical="center"/>
    </xf>
    <xf numFmtId="0" fontId="32" fillId="5" borderId="2" xfId="3" applyFont="1" applyFill="1" applyBorder="1" applyAlignment="1" applyProtection="1">
      <alignment horizontal="center" vertical="center"/>
    </xf>
    <xf numFmtId="0" fontId="33" fillId="8" borderId="8" xfId="3" applyFont="1" applyFill="1" applyBorder="1" applyProtection="1"/>
    <xf numFmtId="0" fontId="33" fillId="0" borderId="8" xfId="3" applyFont="1" applyBorder="1" applyAlignment="1" applyProtection="1">
      <alignment horizontal="left" vertical="center" indent="9"/>
    </xf>
    <xf numFmtId="0" fontId="33" fillId="8" borderId="8" xfId="3" applyFont="1" applyFill="1" applyBorder="1" applyAlignment="1" applyProtection="1">
      <alignment horizontal="left" indent="9"/>
    </xf>
    <xf numFmtId="0" fontId="34" fillId="0" borderId="10" xfId="3" applyFont="1" applyBorder="1" applyAlignment="1" applyProtection="1">
      <alignment horizontal="center" vertical="center"/>
    </xf>
    <xf numFmtId="0" fontId="29" fillId="0" borderId="8" xfId="3" applyFont="1" applyBorder="1" applyAlignment="1" applyProtection="1">
      <alignment horizontal="left" vertical="center" indent="3"/>
    </xf>
    <xf numFmtId="0" fontId="30" fillId="0" borderId="8" xfId="3" applyFont="1" applyBorder="1" applyAlignment="1" applyProtection="1">
      <alignment horizontal="left" vertical="center" indent="5"/>
    </xf>
    <xf numFmtId="0" fontId="30" fillId="0" borderId="8" xfId="3" applyFont="1" applyBorder="1" applyAlignment="1" applyProtection="1">
      <alignment horizontal="left" vertical="center" indent="9"/>
    </xf>
    <xf numFmtId="0" fontId="30" fillId="8" borderId="8" xfId="3" applyFont="1" applyFill="1" applyBorder="1" applyAlignment="1" applyProtection="1">
      <alignment horizontal="left" vertical="center" indent="9"/>
    </xf>
    <xf numFmtId="0" fontId="33" fillId="0" borderId="8" xfId="3" applyFont="1" applyBorder="1" applyAlignment="1" applyProtection="1">
      <alignment horizontal="left" vertical="center" indent="3"/>
    </xf>
    <xf numFmtId="0" fontId="29" fillId="8" borderId="12" xfId="3" applyFont="1" applyFill="1" applyBorder="1" applyAlignment="1" applyProtection="1">
      <alignment horizontal="center" vertical="center"/>
    </xf>
    <xf numFmtId="0" fontId="29" fillId="0" borderId="8" xfId="3" applyFont="1" applyBorder="1" applyAlignment="1" applyProtection="1">
      <alignment horizontal="center" vertical="center"/>
    </xf>
    <xf numFmtId="0" fontId="32" fillId="5" borderId="15" xfId="3" applyFont="1" applyFill="1" applyBorder="1" applyAlignment="1" applyProtection="1">
      <alignment horizontal="center" vertical="center"/>
    </xf>
    <xf numFmtId="0" fontId="32" fillId="9" borderId="15" xfId="3" applyFont="1" applyFill="1" applyBorder="1" applyAlignment="1" applyProtection="1">
      <alignment horizontal="center" vertical="center"/>
    </xf>
    <xf numFmtId="0" fontId="64" fillId="0" borderId="0" xfId="3" applyFont="1" applyBorder="1" applyAlignment="1" applyProtection="1">
      <alignment horizontal="center" vertical="center"/>
    </xf>
    <xf numFmtId="0" fontId="65" fillId="0" borderId="0" xfId="0" applyFont="1"/>
    <xf numFmtId="0" fontId="66" fillId="0" borderId="0" xfId="3" applyFont="1" applyBorder="1" applyAlignment="1" applyProtection="1">
      <alignment horizontal="center" vertical="center"/>
    </xf>
    <xf numFmtId="0" fontId="67" fillId="0" borderId="0" xfId="3" applyFont="1" applyBorder="1" applyAlignment="1" applyProtection="1">
      <alignment horizontal="right" vertical="center"/>
    </xf>
    <xf numFmtId="164" fontId="68" fillId="0" borderId="0" xfId="3" applyNumberFormat="1" applyFont="1" applyBorder="1" applyAlignment="1" applyProtection="1">
      <alignment horizontal="center" vertical="center"/>
    </xf>
    <xf numFmtId="0" fontId="69" fillId="0" borderId="0" xfId="3" applyFont="1" applyBorder="1" applyAlignment="1" applyProtection="1">
      <alignment horizontal="left" vertical="center"/>
    </xf>
    <xf numFmtId="0" fontId="67" fillId="0" borderId="0" xfId="3" applyFont="1" applyBorder="1" applyAlignment="1" applyProtection="1">
      <alignment vertical="center"/>
    </xf>
    <xf numFmtId="0" fontId="70" fillId="0" borderId="0" xfId="3" applyFont="1" applyBorder="1" applyAlignment="1" applyProtection="1">
      <alignment horizontal="center" vertical="center"/>
    </xf>
    <xf numFmtId="0" fontId="67" fillId="0" borderId="0" xfId="2" applyFont="1" applyAlignment="1">
      <alignment horizontal="left" vertical="center" indent="1"/>
    </xf>
    <xf numFmtId="0" fontId="67" fillId="0" borderId="0" xfId="3" applyFont="1" applyBorder="1" applyAlignment="1" applyProtection="1">
      <alignment horizontal="left" vertical="center" indent="1"/>
    </xf>
    <xf numFmtId="0" fontId="67" fillId="0" borderId="0" xfId="3" applyFont="1" applyBorder="1" applyAlignment="1" applyProtection="1">
      <alignment horizontal="left" vertical="center"/>
    </xf>
    <xf numFmtId="0" fontId="67" fillId="0" borderId="0" xfId="3" applyFont="1" applyBorder="1" applyAlignment="1" applyProtection="1">
      <alignment horizontal="left" vertical="center" indent="3"/>
    </xf>
    <xf numFmtId="0" fontId="67" fillId="0" borderId="0" xfId="3" applyFont="1" applyBorder="1" applyAlignment="1" applyProtection="1">
      <alignment horizontal="center" vertical="center"/>
    </xf>
    <xf numFmtId="0" fontId="71" fillId="0" borderId="0" xfId="3" applyFont="1" applyBorder="1" applyAlignment="1" applyProtection="1">
      <alignment vertical="center"/>
    </xf>
    <xf numFmtId="165" fontId="72" fillId="0" borderId="0" xfId="3" applyNumberFormat="1" applyFont="1" applyBorder="1" applyAlignment="1" applyProtection="1">
      <alignment vertical="center"/>
    </xf>
    <xf numFmtId="166" fontId="72" fillId="0" borderId="0" xfId="3" applyNumberFormat="1" applyFont="1" applyBorder="1" applyAlignment="1" applyProtection="1">
      <alignment horizontal="left" vertical="center" indent="1"/>
    </xf>
    <xf numFmtId="0" fontId="71" fillId="0" borderId="0" xfId="3" applyFont="1" applyBorder="1" applyAlignment="1" applyProtection="1">
      <alignment horizontal="left" vertical="center"/>
    </xf>
    <xf numFmtId="0" fontId="72" fillId="0" borderId="0" xfId="3" applyFont="1" applyBorder="1" applyAlignment="1" applyProtection="1">
      <alignment horizontal="left" vertical="center"/>
    </xf>
    <xf numFmtId="0" fontId="72" fillId="0" borderId="0" xfId="3" applyFont="1" applyBorder="1" applyAlignment="1" applyProtection="1">
      <alignment horizontal="center" vertical="center"/>
    </xf>
    <xf numFmtId="0" fontId="73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164" fontId="74" fillId="0" borderId="0" xfId="0" applyNumberFormat="1" applyFont="1" applyAlignment="1">
      <alignment horizontal="center" vertical="center"/>
    </xf>
  </cellXfs>
  <cellStyles count="4">
    <cellStyle name="Excel Built-in Explanatory Text" xfId="3" xr:uid="{00000000-0005-0000-0000-000007000000}"/>
    <cellStyle name="Normal" xfId="0" builtinId="0"/>
    <cellStyle name="Normal 2" xfId="2" xr:uid="{00000000-0005-0000-0000-000006000000}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55FB3F"/>
      <rgbColor rgb="FF0000FF"/>
      <rgbColor rgb="FFFFFF00"/>
      <rgbColor rgb="FFFF00FF"/>
      <rgbColor rgb="FF00FFFF"/>
      <rgbColor rgb="FF800000"/>
      <rgbColor rgb="FF008000"/>
      <rgbColor rgb="FF000066"/>
      <rgbColor rgb="FF808000"/>
      <rgbColor rgb="FF800080"/>
      <rgbColor rgb="FF008080"/>
      <rgbColor rgb="FFB4C7E7"/>
      <rgbColor rgb="FF7F7F7F"/>
      <rgbColor rgb="FF8FAADC"/>
      <rgbColor rgb="FF993366"/>
      <rgbColor rgb="FFF2F2F2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751B1B"/>
      <rgbColor rgb="FF008080"/>
      <rgbColor rgb="FF0000FF"/>
      <rgbColor rgb="FF00CCFF"/>
      <rgbColor rgb="FFDAE3F3"/>
      <rgbColor rgb="FFDDDDDD"/>
      <rgbColor rgb="FFE6E6FF"/>
      <rgbColor rgb="FF99FF99"/>
      <rgbColor rgb="FFFF99CC"/>
      <rgbColor rgb="FFCC99FF"/>
      <rgbColor rgb="FFFFCC99"/>
      <rgbColor rgb="FF2E75B6"/>
      <rgbColor rgb="FF33CCCC"/>
      <rgbColor rgb="FF99FF66"/>
      <rgbColor rgb="FFFFCC00"/>
      <rgbColor rgb="FFFF9900"/>
      <rgbColor rgb="FFFF6600"/>
      <rgbColor rgb="FF666699"/>
      <rgbColor rgb="FF969696"/>
      <rgbColor rgb="FF203864"/>
      <rgbColor rgb="FF33CC33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20000"/>
      <color rgb="FF6C0000"/>
      <color rgb="FFF577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2.png"/><Relationship Id="rId1" Type="http://schemas.openxmlformats.org/officeDocument/2006/relationships/customXml" Target="../ink/ink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205740</xdr:colOff>
      <xdr:row>3</xdr:row>
      <xdr:rowOff>60763</xdr:rowOff>
    </xdr:from>
    <xdr:to>
      <xdr:col>7</xdr:col>
      <xdr:colOff>152400</xdr:colOff>
      <xdr:row>16</xdr:row>
      <xdr:rowOff>17190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0220BA2-C7EC-B01D-C5C1-8D2E655C2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0" y="609403"/>
          <a:ext cx="2263140" cy="23338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681680</xdr:colOff>
      <xdr:row>1067</xdr:row>
      <xdr:rowOff>99980</xdr:rowOff>
    </xdr:from>
    <xdr:to>
      <xdr:col>4</xdr:col>
      <xdr:colOff>710240</xdr:colOff>
      <xdr:row>1067</xdr:row>
      <xdr:rowOff>138260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1E142580-E0DA-4B86-A335-17434F71554C}"/>
                </a:ext>
              </a:extLst>
            </xdr14:cNvPr>
            <xdr14:cNvContentPartPr/>
          </xdr14:nvContentPartPr>
          <xdr14:nvPr macro=""/>
          <xdr14:xfrm>
            <a:off x="5456880" y="196111780"/>
            <a:ext cx="13320" cy="2304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1E142580-E0DA-4B86-A335-17434F71554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447880" y="196102780"/>
              <a:ext cx="30960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766640</xdr:colOff>
      <xdr:row>1067</xdr:row>
      <xdr:rowOff>88460</xdr:rowOff>
    </xdr:from>
    <xdr:to>
      <xdr:col>4</xdr:col>
      <xdr:colOff>858900</xdr:colOff>
      <xdr:row>1067</xdr:row>
      <xdr:rowOff>137900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A328D839-1CAE-42CE-9ED8-DC2C1E7A1566}"/>
                </a:ext>
              </a:extLst>
            </xdr14:cNvPr>
            <xdr14:cNvContentPartPr/>
          </xdr14:nvContentPartPr>
          <xdr14:nvPr macro=""/>
          <xdr14:xfrm>
            <a:off x="5541840" y="196100260"/>
            <a:ext cx="79560" cy="34200"/>
          </xdr14:xfrm>
        </xdr:contentPart>
      </mc:Choice>
      <mc:Fallback xmlns="">
        <xdr:pic>
          <xdr:nvPicPr>
            <xdr:cNvPr id="10" name="Tinta 9">
              <a:extLst>
                <a:ext uri="{FF2B5EF4-FFF2-40B4-BE49-F238E27FC236}">
                  <a16:creationId xmlns:a16="http://schemas.microsoft.com/office/drawing/2014/main" id="{A328D839-1CAE-42CE-9ED8-DC2C1E7A156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533200" y="196091620"/>
              <a:ext cx="97200" cy="51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285840</xdr:colOff>
      <xdr:row>3</xdr:row>
      <xdr:rowOff>0</xdr:rowOff>
    </xdr:from>
    <xdr:to>
      <xdr:col>10</xdr:col>
      <xdr:colOff>583985</xdr:colOff>
      <xdr:row>52</xdr:row>
      <xdr:rowOff>12305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5840" y="609480"/>
          <a:ext cx="5969880" cy="93499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36000" tIns="0" rIns="36000" bIns="0">
          <a:noAutofit/>
        </a:bodyPr>
        <a:lstStyle/>
        <a:p>
          <a:pPr algn="just">
            <a:lnSpc>
              <a:spcPct val="150000"/>
            </a:lnSpc>
          </a:pPr>
          <a:r>
            <a:rPr lang="pt-PT" sz="1100" b="1" strike="noStrike" spc="-1">
              <a:solidFill>
                <a:srgbClr val="6C0000"/>
              </a:solidFill>
              <a:latin typeface="Calibri"/>
            </a:rPr>
            <a:t>1 Constituição e Objeto Social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0" strike="noStrike" spc="-1">
              <a:solidFill>
                <a:srgbClr val="6C0000"/>
              </a:solidFill>
              <a:latin typeface="Calibri"/>
            </a:rPr>
            <a:t>A Sociedade de Impermeabilização e Pavimentações Imperpav, Lda, daqui em diante designado por Cliente, é uma sociedade por quotas, contituída em 18 de Setembro de 2007.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0" strike="noStrike" spc="-1">
              <a:solidFill>
                <a:srgbClr val="6C0000"/>
              </a:solidFill>
              <a:latin typeface="Calibri"/>
            </a:rPr>
            <a:t>O </a:t>
          </a:r>
          <a:r>
            <a:rPr lang="pt-PT" sz="1100" b="1" strike="noStrike" spc="-1">
              <a:solidFill>
                <a:srgbClr val="6C0000"/>
              </a:solidFill>
              <a:latin typeface="Calibri"/>
            </a:rPr>
            <a:t>Cliente, </a:t>
          </a:r>
          <a:r>
            <a:rPr lang="pt-PT" sz="1100" b="0" strike="noStrike" spc="-1">
              <a:solidFill>
                <a:srgbClr val="6C0000"/>
              </a:solidFill>
              <a:latin typeface="Calibri"/>
            </a:rPr>
            <a:t>está sediado na Provincia de Luanda, R.Francisco Félix Machado, N.º39 B, Bairro Maianga e tem por objeto social o comércio a retalho.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0" strike="noStrike" spc="-1">
              <a:solidFill>
                <a:srgbClr val="6C0000"/>
              </a:solidFill>
              <a:latin typeface="Calibri"/>
            </a:rPr>
            <a:t>As presentes demonstrações refletem a posição financeira do </a:t>
          </a:r>
          <a:r>
            <a:rPr lang="pt-PT" sz="1100" b="1" strike="noStrike" spc="-1">
              <a:solidFill>
                <a:srgbClr val="6C0000"/>
              </a:solidFill>
              <a:latin typeface="Calibri"/>
            </a:rPr>
            <a:t>Cliente, </a:t>
          </a:r>
          <a:r>
            <a:rPr lang="pt-PT" sz="1100" b="0" strike="noStrike" spc="-1">
              <a:solidFill>
                <a:srgbClr val="6C0000"/>
              </a:solidFill>
              <a:latin typeface="Calibri"/>
            </a:rPr>
            <a:t> e o resultado das operações realizadas durante o exercício findo em 31 de Dezembro de 2016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>
            <a:lnSpc>
              <a:spcPct val="150000"/>
            </a:lnSpc>
          </a:pPr>
          <a:r>
            <a:rPr lang="pt-PT" sz="1100" b="1" strike="noStrike" spc="-1">
              <a:solidFill>
                <a:srgbClr val="6C0000"/>
              </a:solidFill>
              <a:latin typeface="Calibri"/>
            </a:rPr>
            <a:t>2 Principais politicas contabilisticas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>
            <a:lnSpc>
              <a:spcPct val="150000"/>
            </a:lnSpc>
          </a:pPr>
          <a:r>
            <a:rPr lang="pt-PT" sz="1100" b="0" strike="noStrike" spc="-1">
              <a:solidFill>
                <a:srgbClr val="6C0000"/>
              </a:solidFill>
              <a:latin typeface="Calibri"/>
            </a:rPr>
            <a:t>As principais politicas usadas pelo </a:t>
          </a:r>
          <a:r>
            <a:rPr lang="pt-PT" sz="1100" b="1" strike="noStrike" spc="-1">
              <a:solidFill>
                <a:srgbClr val="6C0000"/>
              </a:solidFill>
              <a:latin typeface="Calibri"/>
            </a:rPr>
            <a:t>Cliente,</a:t>
          </a:r>
          <a:r>
            <a:rPr lang="pt-PT" sz="1100" b="0" strike="noStrike" spc="-1">
              <a:solidFill>
                <a:srgbClr val="6C0000"/>
              </a:solidFill>
              <a:latin typeface="Calibri"/>
            </a:rPr>
            <a:t> foram consistentemente aplicadas como segue: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1" strike="noStrike" spc="-1">
              <a:solidFill>
                <a:srgbClr val="6C0000"/>
              </a:solidFill>
              <a:latin typeface="Calibri"/>
            </a:rPr>
            <a:t>2.1 Base de apresentação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0" strike="noStrike" spc="-1">
              <a:solidFill>
                <a:srgbClr val="6C0000"/>
              </a:solidFill>
              <a:latin typeface="Calibri"/>
            </a:rPr>
            <a:t>As demonstrações financeiras foram preparadas pelo principio de registo histórico, de acordo com as normas contabilisticas internacionalmente aceites, exceto quando modificadas para serem conformes com a legislação angolana específica.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1" strike="noStrike" spc="-1">
              <a:solidFill>
                <a:srgbClr val="6C0000"/>
              </a:solidFill>
              <a:latin typeface="Calibri"/>
            </a:rPr>
            <a:t>2.2 Reconhecimento dos custos e proveitos.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0" strike="noStrike" spc="-1">
              <a:solidFill>
                <a:srgbClr val="6C0000"/>
              </a:solidFill>
              <a:latin typeface="Calibri"/>
            </a:rPr>
            <a:t>Os custos e proveitos são reconhecidos no periodo a que reportam independentemente do momento do seu pagamento ou recebimento.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1" strike="noStrike" spc="-1">
              <a:solidFill>
                <a:srgbClr val="6C0000"/>
              </a:solidFill>
              <a:latin typeface="Calibri"/>
            </a:rPr>
            <a:t>2.3 Imobilizações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0" strike="noStrike" spc="-1">
              <a:solidFill>
                <a:srgbClr val="6C0000"/>
              </a:solidFill>
              <a:latin typeface="Calibri"/>
            </a:rPr>
            <a:t>As imobilizações encontram-se relatadas ao custo histórico de aquisição deduzidas das respetivas amortizações.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0" strike="noStrike" spc="-1">
              <a:solidFill>
                <a:srgbClr val="6C0000"/>
              </a:solidFill>
              <a:latin typeface="Calibri"/>
            </a:rPr>
            <a:t>As amortizações são calculadas pelo metodo de quotas constantes, às taxas máximas permitidas, conforme Portaria n.º 755/72, de modo a atualizar o custo de cada imobilizado em relação ao seu tempo de vida útil, como segue: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0" strike="noStrike" spc="-1">
              <a:solidFill>
                <a:srgbClr val="6C0000"/>
              </a:solidFill>
              <a:latin typeface="Calibri"/>
            </a:rPr>
            <a:t>Edifícios e outras construções                          2,00%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0" strike="noStrike" spc="-1">
              <a:solidFill>
                <a:srgbClr val="6C0000"/>
              </a:solidFill>
              <a:latin typeface="Calibri"/>
            </a:rPr>
            <a:t>Equipamento básico                                         25,00%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0" strike="noStrike" spc="-1">
              <a:solidFill>
                <a:srgbClr val="6C0000"/>
              </a:solidFill>
              <a:latin typeface="Calibri"/>
            </a:rPr>
            <a:t>Equipamento de carga e transporte              33,33%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0" strike="noStrike" spc="-1">
              <a:solidFill>
                <a:srgbClr val="6C0000"/>
              </a:solidFill>
              <a:latin typeface="Calibri"/>
            </a:rPr>
            <a:t>Equipamento administrativo                          16,66%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0" strike="noStrike" spc="-1">
              <a:solidFill>
                <a:srgbClr val="6C0000"/>
              </a:solidFill>
              <a:latin typeface="Calibri"/>
            </a:rPr>
            <a:t>Outras imobilizações corpóreas                     14,28%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0" strike="noStrike" spc="-1">
              <a:solidFill>
                <a:srgbClr val="6C0000"/>
              </a:solidFill>
              <a:latin typeface="Calibri"/>
            </a:rPr>
            <a:t>Outras imobilizações incorpóreas                  33,33%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1" strike="noStrike" spc="-1">
              <a:solidFill>
                <a:srgbClr val="6C0000"/>
              </a:solidFill>
              <a:latin typeface="Calibri"/>
            </a:rPr>
            <a:t>2.4 Moeda estrangeira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0" strike="noStrike" spc="-1">
              <a:solidFill>
                <a:srgbClr val="6C0000"/>
              </a:solidFill>
              <a:latin typeface="Calibri"/>
            </a:rPr>
            <a:t>As demonstrações financeiras foram realizadas em Kwanzas. As transações noutras divisas são convertidas em Kanzas à taxa em vigor. Todos os saldos de contas se encontram em Kanzas.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1" strike="noStrike" spc="-1">
              <a:solidFill>
                <a:srgbClr val="6C0000"/>
              </a:solidFill>
              <a:latin typeface="Calibri"/>
            </a:rPr>
            <a:t>2.5 Imposto sobre os lucros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  <a:p>
          <a:pPr algn="just">
            <a:lnSpc>
              <a:spcPct val="150000"/>
            </a:lnSpc>
          </a:pPr>
          <a:r>
            <a:rPr lang="pt-PT" sz="1100" b="0" strike="noStrike" spc="-1">
              <a:solidFill>
                <a:srgbClr val="6C0000"/>
              </a:solidFill>
              <a:latin typeface="Calibri"/>
            </a:rPr>
            <a:t>O Cliente encontra-se sugeito ao regime fiscal aplicável no âmbito do Código do Imposto Indústrial. O montante do imposto é determinado com base no lucro apurado aplicando a taxa de imposto de 30%</a:t>
          </a:r>
          <a:endParaRPr lang="pt-PT" sz="1100" b="0" strike="noStrike" spc="-1">
            <a:solidFill>
              <a:srgbClr val="6C0000"/>
            </a:solidFill>
            <a:latin typeface="Times New Roman"/>
          </a:endParaRP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0-27T11:08:14.5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73 115 1496 0 0,'2'-7'136'0'0,"5"-65"190"0"0,-4 36 6340 0 0,-67 41-6437 0 0,50 6-234 0 0,7-5 5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0-27T11:08:16.4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271 134 2608 0 0,'0'0'16463'0'0</inkml:trace>
  <inkml:trace contextRef="#ctx0" brushRef="#br0" timeOffset="916.72">37 122 4416 0 0,'0'0'1080'0'0,"3"0"-536"0"0,-1 2-479 0 0,-2-2 0 0 0,0 0 0 0 0,1 0 1 0 0,-1 0-1 0 0,1 0 0 0 0,-1 0 0 0 0,1 0 1 0 0,-1 0-1 0 0,0 0 0 0 0,2 0 0 0 0,-2 0 0 0 0,1 0 1 0 0,-1 0-1 0 0,0 0 0 0 0,1 0 0 0 0,-1 0 0 0 0,1-2 1 0 0,-1 2-1 0 0,0 0 0 0 0,2 0 0 0 0,-2 0 1 0 0,1-1-1 0 0,-1 1 0 0 0,0 0 0 0 0,1 0 0 0 0,-1-2 1 0 0,0 2-1 0 0,0 0 0 0 0,1-1 0 0 0,-1 1 0 0 0,0 0 1 0 0,0-2-1 0 0,1 2 0 0 0,-1 0 0 0 0,0-1 1 0 0,0 1-1 0 0,0-1 0 0 0,0 1 0 0 0,2 0 0 0 0,-2-2 1 0 0,0 2-1 0 0,0-1 0 0 0,0-1 0 0 0,-2-1-17 0 0,1 1 1 0 0,0-3-1 0 0,0 3 0 0 0,0-1 0 0 0,-1 0 0 0 0,0 0 0 0 0,1 0 0 0 0,-4-4 0 0 0,3 6-159 0 0,1-1 0 0 0,0-1 0 0 0,0 2-1 0 0,-1-2 1 0 0,1 2 0 0 0,0-2-1 0 0,1 0 1 0 0,-1 1 0 0 0,0 0 0 0 0,1-1-1 0 0,-2 1 1 0 0,2-3 0 0 0,4 2-409 0 0</inkml:trace>
  <inkml:trace contextRef="#ctx0" brushRef="#br0" timeOffset="2281.77">103 7 7328 0 0,'0'0'-17'0'0,"0"-2"1"0"0,0 2-1 0 0,0 0 0 0 0,0 0 1 0 0,0 0-1 0 0,0 0 1 0 0,0-1-1 0 0,0 1 1 0 0,0 0-1 0 0,-1 0 0 0 0,1 0 1 0 0,0-2-1 0 0,0 2 1 0 0,0 0-1 0 0,0 0 1 0 0,0 0-1 0 0,-1 0 0 0 0,1 0 1 0 0,0 0-1 0 0,0-1 1 0 0,0 1-1 0 0,0 0 1 0 0,-1 0-1 0 0,1 0 0 0 0,0 0 1 0 0,0 0-1 0 0,0 0 1 0 0,-2 0-1 0 0,2 0 1 0 0,0 0-1 0 0,0 0 0 0 0,-1 0 1 0 0,1 0-1 0 0,0 0 1 0 0,0 0-1 0 0,0 0 0 0 0,-1 0 1 0 0,1 0-1 0 0,0 0 1 0 0,0 0-1 0 0,0 0 1 0 0,-1 0-1 0 0,1 0 0 0 0,0 1 1 0 0,0-1-1 0 0,0 0 1 0 0,0 0-1 0 0,-2 0 1 0 0,2 0-1 0 0,0 0 0 0 0,0 0 1 0 0,0 2-1 0 0,0-2 1 0 0,-19 14-344 0 0,9-7 457 0 0,-9 3 137 0 0,14-7 1010 0 0,4-3-1182 0 0,-12 0 444 0 0,10 0-280 0 0,8 0 36 0 0,-11 0 12 0 0,15 0 2754 0 0,-2 0 143 0 0,-17 0-2467 0 0,3 0-649 0 0,-11 0 251 0 0,16 0 3 0 0,8 0 721 0 0,8 6-124 0 0,-13-6-484 0 0,12 0 1231 0 0,-8-2-1337 0 0,-3 4-84 0 0,-4-2-100 0 0,1-2 149 0 0,1-6-189 0 0,14 6 27 0 0,-11 2-9 0 0,-15 0-43 0 0,15-1-2 0 0,13-8 77 0 0,-16 9-51 0 0,-3 0 258 0 0,3-7-274 0 0,0 7-69 0 0</inkml:trace>
</inkml: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1:K30"/>
  <sheetViews>
    <sheetView showGridLines="0" tabSelected="1" zoomScaleNormal="100" workbookViewId="0">
      <selection activeCell="M12" sqref="M12"/>
    </sheetView>
  </sheetViews>
  <sheetFormatPr defaultRowHeight="14.4"/>
  <cols>
    <col min="1" max="1025" width="8.44140625" style="571" customWidth="1"/>
    <col min="1026" max="16384" width="8.88671875" style="571"/>
  </cols>
  <sheetData>
    <row r="21" spans="1:11" ht="15" customHeight="1">
      <c r="A21" s="589" t="s">
        <v>0</v>
      </c>
      <c r="B21" s="589"/>
      <c r="C21" s="589"/>
      <c r="D21" s="589"/>
      <c r="E21" s="589"/>
      <c r="F21" s="589"/>
      <c r="G21" s="589"/>
      <c r="H21" s="589"/>
      <c r="I21" s="589"/>
      <c r="J21" s="589"/>
      <c r="K21" s="589"/>
    </row>
    <row r="22" spans="1:11" ht="15" customHeight="1">
      <c r="A22" s="589"/>
      <c r="B22" s="589"/>
      <c r="C22" s="589"/>
      <c r="D22" s="589"/>
      <c r="E22" s="589"/>
      <c r="F22" s="589"/>
      <c r="G22" s="589"/>
      <c r="H22" s="589"/>
      <c r="I22" s="589"/>
      <c r="J22" s="589"/>
      <c r="K22" s="589"/>
    </row>
    <row r="23" spans="1:11" ht="15" customHeight="1">
      <c r="A23" s="589"/>
      <c r="B23" s="589"/>
      <c r="C23" s="589"/>
      <c r="D23" s="589"/>
      <c r="E23" s="589"/>
      <c r="F23" s="589"/>
      <c r="G23" s="589"/>
      <c r="H23" s="589"/>
      <c r="I23" s="589"/>
      <c r="J23" s="589"/>
      <c r="K23" s="589"/>
    </row>
    <row r="24" spans="1:11" ht="15" customHeight="1">
      <c r="A24" s="590"/>
      <c r="B24" s="590"/>
      <c r="C24" s="590"/>
      <c r="D24" s="590"/>
      <c r="E24" s="590"/>
      <c r="F24" s="590"/>
      <c r="G24" s="590"/>
      <c r="H24" s="590"/>
      <c r="I24" s="590"/>
      <c r="J24" s="590"/>
      <c r="K24" s="590"/>
    </row>
    <row r="25" spans="1:11">
      <c r="A25" s="590"/>
      <c r="B25" s="590"/>
      <c r="C25" s="590"/>
      <c r="D25" s="590"/>
      <c r="E25" s="590"/>
      <c r="F25" s="590"/>
      <c r="G25" s="590"/>
      <c r="H25" s="590"/>
      <c r="I25" s="590"/>
      <c r="J25" s="590"/>
      <c r="K25" s="590"/>
    </row>
    <row r="26" spans="1:11">
      <c r="A26" s="590"/>
      <c r="B26" s="590"/>
      <c r="C26" s="590"/>
      <c r="D26" s="590"/>
      <c r="E26" s="590"/>
      <c r="F26" s="590"/>
      <c r="G26" s="590"/>
      <c r="H26" s="590"/>
      <c r="I26" s="590"/>
      <c r="J26" s="590"/>
      <c r="K26" s="590"/>
    </row>
    <row r="28" spans="1:11">
      <c r="A28" s="591">
        <f>DBase!$C$4</f>
        <v>45658</v>
      </c>
      <c r="B28" s="591"/>
      <c r="C28" s="591"/>
      <c r="D28" s="591"/>
      <c r="E28" s="591"/>
      <c r="F28" s="591"/>
      <c r="G28" s="591"/>
      <c r="H28" s="591"/>
      <c r="I28" s="591"/>
      <c r="J28" s="591"/>
      <c r="K28" s="591"/>
    </row>
    <row r="29" spans="1:11">
      <c r="A29" s="591"/>
      <c r="B29" s="591"/>
      <c r="C29" s="591"/>
      <c r="D29" s="591"/>
      <c r="E29" s="591"/>
      <c r="F29" s="591"/>
      <c r="G29" s="591"/>
      <c r="H29" s="591"/>
      <c r="I29" s="591"/>
      <c r="J29" s="591"/>
      <c r="K29" s="591"/>
    </row>
    <row r="30" spans="1:11">
      <c r="A30" s="591"/>
      <c r="B30" s="591"/>
      <c r="C30" s="591"/>
      <c r="D30" s="591"/>
      <c r="E30" s="591"/>
      <c r="F30" s="591"/>
      <c r="G30" s="591"/>
      <c r="H30" s="591"/>
      <c r="I30" s="591"/>
      <c r="J30" s="591"/>
      <c r="K30" s="591"/>
    </row>
  </sheetData>
  <mergeCells count="3">
    <mergeCell ref="A21:K23"/>
    <mergeCell ref="A24:K26"/>
    <mergeCell ref="A28:K30"/>
  </mergeCells>
  <printOptions horizontalCentered="1"/>
  <pageMargins left="0.70866141732283472" right="0.70866141732283472" top="0.74803149606299213" bottom="0.74803149606299213" header="0.51181102362204722" footer="0.31496062992125984"/>
  <pageSetup paperSize="9" scale="93" firstPageNumber="0" fitToHeight="0" orientation="portrait" horizontalDpi="300" verticalDpi="300" r:id="rId1"/>
  <headerFooter>
    <oddFooter>&amp;C &amp;P</oddFooter>
  </headerFooter>
  <rowBreaks count="1" manualBreakCount="1">
    <brk id="52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9"/>
  <sheetViews>
    <sheetView showGridLines="0" zoomScaleNormal="100" workbookViewId="0">
      <selection activeCell="F12" sqref="F12"/>
    </sheetView>
  </sheetViews>
  <sheetFormatPr defaultColWidth="8.77734375" defaultRowHeight="14.4"/>
  <cols>
    <col min="1" max="1" width="8.44140625" style="571" customWidth="1"/>
    <col min="2" max="2" width="14.5546875" style="571" customWidth="1"/>
    <col min="3" max="3" width="11" style="571" bestFit="1" customWidth="1"/>
    <col min="4" max="4" width="9.21875" style="571" bestFit="1" customWidth="1"/>
    <col min="5" max="5" width="8.44140625" style="571" customWidth="1"/>
    <col min="6" max="6" width="31.21875" style="571" customWidth="1"/>
    <col min="7" max="1025" width="8.44140625" style="571" customWidth="1"/>
    <col min="1026" max="16384" width="8.77734375" style="571"/>
  </cols>
  <sheetData>
    <row r="2" spans="1:7" s="571" customFormat="1" ht="21">
      <c r="A2" s="570" t="s">
        <v>1</v>
      </c>
      <c r="B2" s="570"/>
      <c r="C2" s="570"/>
      <c r="D2" s="570"/>
      <c r="E2" s="570"/>
      <c r="F2" s="570"/>
      <c r="G2" s="570"/>
    </row>
    <row r="3" spans="1:7" s="571" customFormat="1" ht="21">
      <c r="B3" s="572"/>
    </row>
    <row r="4" spans="1:7" s="571" customFormat="1" ht="15.6">
      <c r="B4" s="573" t="s">
        <v>2</v>
      </c>
      <c r="C4" s="574">
        <v>45658</v>
      </c>
      <c r="D4" s="575"/>
    </row>
    <row r="5" spans="1:7" s="571" customFormat="1" ht="21">
      <c r="D5" s="576"/>
      <c r="F5" s="577"/>
    </row>
    <row r="6" spans="1:7" s="571" customFormat="1">
      <c r="B6" s="573" t="s">
        <v>3</v>
      </c>
      <c r="C6" s="578" t="s">
        <v>2099</v>
      </c>
    </row>
    <row r="7" spans="1:7" s="571" customFormat="1">
      <c r="B7" s="573"/>
      <c r="C7" s="579"/>
    </row>
    <row r="8" spans="1:7" s="571" customFormat="1">
      <c r="B8" s="573" t="s">
        <v>4</v>
      </c>
      <c r="C8" s="580">
        <v>5000861677</v>
      </c>
    </row>
    <row r="9" spans="1:7" s="571" customFormat="1">
      <c r="B9" s="573"/>
      <c r="C9" s="581"/>
    </row>
    <row r="10" spans="1:7" s="571" customFormat="1" ht="15.6">
      <c r="C10" s="574">
        <f>C4</f>
        <v>45658</v>
      </c>
      <c r="D10" s="574">
        <f>C10-1</f>
        <v>45657</v>
      </c>
    </row>
    <row r="11" spans="1:7" s="571" customFormat="1" ht="15.6">
      <c r="C11" s="574"/>
      <c r="D11" s="574"/>
    </row>
    <row r="12" spans="1:7" s="571" customFormat="1" ht="17.25" customHeight="1">
      <c r="B12" s="573" t="s">
        <v>5</v>
      </c>
      <c r="C12" s="582">
        <v>1</v>
      </c>
      <c r="D12" s="582">
        <v>1</v>
      </c>
    </row>
    <row r="14" spans="1:7" s="571" customFormat="1" ht="18">
      <c r="B14" s="583"/>
      <c r="C14" s="584"/>
      <c r="F14" s="584"/>
      <c r="G14" s="584"/>
    </row>
    <row r="15" spans="1:7" s="571" customFormat="1" ht="18">
      <c r="B15" s="584" t="s">
        <v>6</v>
      </c>
      <c r="C15" s="584"/>
      <c r="E15" s="573" t="s">
        <v>7</v>
      </c>
      <c r="F15" s="585">
        <f>C4+364</f>
        <v>46022</v>
      </c>
      <c r="G15" s="584"/>
    </row>
    <row r="16" spans="1:7" s="571" customFormat="1">
      <c r="C16" s="586"/>
    </row>
    <row r="17" spans="2:7" s="571" customFormat="1" ht="18">
      <c r="B17" s="587" t="s">
        <v>8</v>
      </c>
      <c r="C17" s="587"/>
      <c r="D17" s="587"/>
      <c r="E17" s="588"/>
      <c r="F17" s="588"/>
      <c r="G17" s="588"/>
    </row>
    <row r="18" spans="2:7" s="571" customFormat="1">
      <c r="C18" s="586"/>
    </row>
    <row r="19" spans="2:7" s="571" customFormat="1" ht="18">
      <c r="B19" s="587" t="s">
        <v>9</v>
      </c>
      <c r="C19" s="588"/>
      <c r="D19" s="588"/>
      <c r="E19" s="588"/>
      <c r="F19" s="588"/>
      <c r="G19" s="588"/>
    </row>
  </sheetData>
  <mergeCells count="1">
    <mergeCell ref="A2:G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5"/>
  <sheetViews>
    <sheetView topLeftCell="B1" zoomScaleNormal="100" workbookViewId="0">
      <pane ySplit="1" topLeftCell="A70" activePane="bottomLeft" state="frozen"/>
      <selection activeCell="B1" sqref="B1"/>
      <selection pane="bottomLeft" activeCell="F76" sqref="F76"/>
    </sheetView>
  </sheetViews>
  <sheetFormatPr defaultRowHeight="14.4"/>
  <cols>
    <col min="1" max="1" width="16.5546875" customWidth="1"/>
    <col min="2" max="2" width="2.77734375" customWidth="1"/>
    <col min="3" max="3" width="8.44140625" customWidth="1"/>
    <col min="4" max="4" width="16.21875" customWidth="1"/>
    <col min="5" max="5" width="12.77734375" style="4" customWidth="1"/>
    <col min="6" max="6" width="43" style="4" customWidth="1"/>
    <col min="7" max="7" width="41.77734375" style="4" customWidth="1"/>
    <col min="8" max="8" width="17.77734375" customWidth="1"/>
    <col min="9" max="9" width="15.21875" customWidth="1"/>
    <col min="10" max="10" width="2.77734375" customWidth="1"/>
    <col min="11" max="11" width="14.77734375" customWidth="1"/>
    <col min="12" max="12" width="9.21875" customWidth="1"/>
    <col min="13" max="1025" width="8.44140625" customWidth="1"/>
  </cols>
  <sheetData>
    <row r="1" spans="1:10" ht="25.05" customHeight="1">
      <c r="A1" s="5" t="s">
        <v>10</v>
      </c>
      <c r="E1"/>
      <c r="F1"/>
      <c r="G1"/>
      <c r="H1" s="6">
        <f>(SUM($H$2:$H$5400)-SUM($I$2:$I5401))</f>
        <v>0</v>
      </c>
      <c r="I1" s="7" t="str">
        <f>IF((SUM($I$2:$I$65983)-SUM($H$2:$H$65983))&lt;&gt;0,"DEB&lt;&gt;CRE","CONCLUÍDO")</f>
        <v>CONCLUÍDO</v>
      </c>
    </row>
    <row r="2" spans="1:10" s="14" customFormat="1" ht="13.8">
      <c r="A2" s="8" t="s">
        <v>11</v>
      </c>
      <c r="B2" s="9"/>
      <c r="C2" s="10">
        <f>+C157</f>
        <v>0</v>
      </c>
      <c r="D2" s="8" t="s">
        <v>12</v>
      </c>
      <c r="E2" s="11">
        <v>4511</v>
      </c>
      <c r="F2" s="12" t="str">
        <f>IF(E2&gt;0,(VLOOKUP(E2,'Blnct AR'!$C$2:$D$2259,2,0))," ")</f>
        <v>Caixa Kwanza</v>
      </c>
      <c r="G2" s="12" t="s">
        <v>13</v>
      </c>
      <c r="H2" s="13"/>
      <c r="I2" s="13">
        <v>5383905</v>
      </c>
      <c r="J2" s="9"/>
    </row>
    <row r="3" spans="1:10" s="14" customFormat="1" ht="13.8">
      <c r="A3" s="15" t="str">
        <f t="shared" ref="A3:A15" si="0">+A2</f>
        <v>Salários</v>
      </c>
      <c r="B3" s="9"/>
      <c r="C3" s="10">
        <f>+C2</f>
        <v>0</v>
      </c>
      <c r="D3" s="8" t="str">
        <f>+D2</f>
        <v>Pag_Sal</v>
      </c>
      <c r="E3" s="11">
        <v>36111</v>
      </c>
      <c r="F3" s="12" t="str">
        <f>IF(E3&gt;0,(VLOOKUP(E3,'Blnct AR'!$C$2:$D$2259,2,0))," ")</f>
        <v>Orgaõs sociais</v>
      </c>
      <c r="G3" s="12" t="s">
        <v>13</v>
      </c>
      <c r="H3" s="13">
        <v>613350</v>
      </c>
      <c r="I3" s="13">
        <v>613350</v>
      </c>
      <c r="J3" s="9"/>
    </row>
    <row r="4" spans="1:10" s="14" customFormat="1" ht="13.8">
      <c r="A4" s="15" t="str">
        <f t="shared" si="0"/>
        <v>Salários</v>
      </c>
      <c r="B4" s="9"/>
      <c r="C4" s="10">
        <f>+C3</f>
        <v>0</v>
      </c>
      <c r="D4" s="8" t="str">
        <f>+D3</f>
        <v>Pag_Sal</v>
      </c>
      <c r="E4" s="11">
        <v>36121</v>
      </c>
      <c r="F4" s="12" t="str">
        <f>IF(E4&gt;0,(VLOOKUP(E4,'Blnct AR'!$C$2:$D$2259,2,0))," ")</f>
        <v>Empregados</v>
      </c>
      <c r="G4" s="12" t="s">
        <v>13</v>
      </c>
      <c r="H4" s="13">
        <v>4034258</v>
      </c>
      <c r="I4" s="13">
        <v>4034258</v>
      </c>
      <c r="J4" s="9"/>
    </row>
    <row r="5" spans="1:10" s="14" customFormat="1" ht="13.8">
      <c r="A5" s="15" t="str">
        <f t="shared" si="0"/>
        <v>Salários</v>
      </c>
      <c r="B5" s="9"/>
      <c r="C5" s="10">
        <f t="shared" ref="C5:D9" si="1">+C3</f>
        <v>0</v>
      </c>
      <c r="D5" s="8" t="str">
        <f t="shared" si="1"/>
        <v>Pag_Sal</v>
      </c>
      <c r="E5" s="11">
        <v>72211</v>
      </c>
      <c r="F5" s="12" t="str">
        <f>IF(E5&gt;0,(VLOOKUP(E5,'Blnct AR'!$C$2:$D$2259,2,0))," ")</f>
        <v>Ordenados</v>
      </c>
      <c r="G5" s="12" t="s">
        <v>11</v>
      </c>
      <c r="H5" s="13">
        <v>4034258</v>
      </c>
      <c r="I5" s="13"/>
      <c r="J5" s="9"/>
    </row>
    <row r="6" spans="1:10" s="14" customFormat="1" ht="13.8">
      <c r="A6" s="15" t="str">
        <f t="shared" si="0"/>
        <v>Salários</v>
      </c>
      <c r="B6" s="9"/>
      <c r="C6" s="10">
        <f t="shared" si="1"/>
        <v>0</v>
      </c>
      <c r="D6" s="8" t="str">
        <f t="shared" si="1"/>
        <v>Pag_Sal</v>
      </c>
      <c r="E6" s="11">
        <v>7211</v>
      </c>
      <c r="F6" s="12" t="str">
        <f>IF(E6&gt;0,(VLOOKUP(E6,'Blnct AR'!$C$2:$D$2259,2,0))," ")</f>
        <v>Ordenados</v>
      </c>
      <c r="G6" s="12" t="s">
        <v>11</v>
      </c>
      <c r="H6" s="13">
        <v>613350</v>
      </c>
      <c r="I6" s="13"/>
      <c r="J6" s="9"/>
    </row>
    <row r="7" spans="1:10" s="14" customFormat="1" ht="13.8">
      <c r="A7" s="15" t="str">
        <f t="shared" si="0"/>
        <v>Salários</v>
      </c>
      <c r="B7" s="9"/>
      <c r="C7" s="10">
        <f t="shared" si="1"/>
        <v>0</v>
      </c>
      <c r="D7" s="8" t="str">
        <f t="shared" si="1"/>
        <v>Pag_Sal</v>
      </c>
      <c r="E7" s="11">
        <v>7214</v>
      </c>
      <c r="F7" s="12" t="str">
        <f>IF(E7&gt;0,(VLOOKUP(E7,'Blnct AR'!$C$2:$D$2259,2,0))," ")</f>
        <v>Subsídio de natal</v>
      </c>
      <c r="G7" s="12" t="s">
        <v>11</v>
      </c>
      <c r="H7" s="13">
        <v>0</v>
      </c>
      <c r="I7" s="13"/>
      <c r="J7" s="9"/>
    </row>
    <row r="8" spans="1:10" s="14" customFormat="1" ht="13.8">
      <c r="A8" s="15" t="str">
        <f t="shared" si="0"/>
        <v>Salários</v>
      </c>
      <c r="B8" s="9"/>
      <c r="C8" s="10">
        <f t="shared" si="1"/>
        <v>0</v>
      </c>
      <c r="D8" s="8" t="str">
        <f t="shared" si="1"/>
        <v>Pag_Sal</v>
      </c>
      <c r="E8" s="11">
        <v>72215</v>
      </c>
      <c r="F8" s="12" t="str">
        <f>IF(E8&gt;0,(VLOOKUP(E8,'Blnct AR'!$C$2:$D$2259,2,0))," ")</f>
        <v>Subsídio de alimentação</v>
      </c>
      <c r="G8" s="12" t="s">
        <v>11</v>
      </c>
      <c r="H8" s="13">
        <v>0</v>
      </c>
      <c r="I8" s="13"/>
      <c r="J8" s="9"/>
    </row>
    <row r="9" spans="1:10" s="14" customFormat="1" ht="13.8">
      <c r="A9" s="15" t="str">
        <f t="shared" si="0"/>
        <v>Salários</v>
      </c>
      <c r="B9" s="9"/>
      <c r="C9" s="10">
        <f t="shared" si="1"/>
        <v>0</v>
      </c>
      <c r="D9" s="8" t="str">
        <f t="shared" si="1"/>
        <v>Pag_Sal</v>
      </c>
      <c r="E9" s="11">
        <v>3431</v>
      </c>
      <c r="F9" s="12" t="str">
        <f>IF(E9&gt;0,(VLOOKUP(E9,'Blnct AR'!$C$2:$D$2259,2,0))," ")</f>
        <v>IRT dependentes</v>
      </c>
      <c r="G9" s="12" t="s">
        <v>14</v>
      </c>
      <c r="H9" s="13">
        <v>198706</v>
      </c>
      <c r="I9" s="13">
        <v>198706</v>
      </c>
      <c r="J9" s="9"/>
    </row>
    <row r="10" spans="1:10" s="14" customFormat="1" ht="13.8">
      <c r="A10" s="15" t="str">
        <f t="shared" si="0"/>
        <v>Salários</v>
      </c>
      <c r="B10" s="9"/>
      <c r="C10" s="10">
        <f t="shared" ref="C10:D15" si="2">+C9</f>
        <v>0</v>
      </c>
      <c r="D10" s="8" t="str">
        <f t="shared" si="2"/>
        <v>Pag_Sal</v>
      </c>
      <c r="E10" s="11">
        <v>3452</v>
      </c>
      <c r="F10" s="12" t="str">
        <f>IF(E10&gt;0,(VLOOKUP(E10,'Blnct AR'!$C$2:$D$2259,2,0))," ")</f>
        <v>IVA - Dedutível</v>
      </c>
      <c r="G10" s="12" t="s">
        <v>15</v>
      </c>
      <c r="H10" s="13">
        <v>127386</v>
      </c>
      <c r="I10" s="13">
        <v>127386</v>
      </c>
      <c r="J10" s="9"/>
    </row>
    <row r="11" spans="1:10" s="14" customFormat="1" ht="13.8">
      <c r="A11" s="15" t="str">
        <f t="shared" si="0"/>
        <v>Salários</v>
      </c>
      <c r="B11" s="9"/>
      <c r="C11" s="10">
        <f t="shared" si="2"/>
        <v>0</v>
      </c>
      <c r="D11" s="8" t="str">
        <f t="shared" si="2"/>
        <v>Pag_Sal</v>
      </c>
      <c r="E11" s="11">
        <v>3451</v>
      </c>
      <c r="F11" s="12" t="str">
        <f>IF(E11&gt;0,(VLOOKUP(E11,'Blnct AR'!$C$2:$D$2259,2,0))," ")</f>
        <v>IVA Suportado</v>
      </c>
      <c r="G11" s="12" t="s">
        <v>15</v>
      </c>
      <c r="H11" s="13">
        <v>22500</v>
      </c>
      <c r="I11" s="13">
        <v>22500</v>
      </c>
      <c r="J11" s="9"/>
    </row>
    <row r="12" spans="1:10" s="14" customFormat="1" ht="13.8">
      <c r="A12" s="15" t="str">
        <f t="shared" si="0"/>
        <v>Salários</v>
      </c>
      <c r="B12" s="9"/>
      <c r="C12" s="10">
        <f t="shared" si="2"/>
        <v>0</v>
      </c>
      <c r="D12" s="8" t="str">
        <f t="shared" si="2"/>
        <v>Pag_Sal</v>
      </c>
      <c r="E12" s="11">
        <v>3453</v>
      </c>
      <c r="F12" s="12" t="str">
        <f>IF(E12&gt;0,(VLOOKUP(E12,'Blnct AR'!$C$2:$D$2259,2,0))," ")</f>
        <v>IVA - Liquidado</v>
      </c>
      <c r="G12" s="12" t="s">
        <v>15</v>
      </c>
      <c r="H12" s="13">
        <v>387705</v>
      </c>
      <c r="I12" s="13">
        <v>387705</v>
      </c>
      <c r="J12" s="9"/>
    </row>
    <row r="13" spans="1:10" s="14" customFormat="1" ht="13.8">
      <c r="A13" s="15" t="str">
        <f t="shared" si="0"/>
        <v>Salários</v>
      </c>
      <c r="B13" s="9"/>
      <c r="C13" s="10">
        <f t="shared" si="2"/>
        <v>0</v>
      </c>
      <c r="D13" s="8" t="str">
        <f t="shared" si="2"/>
        <v>Pag_Sal</v>
      </c>
      <c r="E13" s="11">
        <v>72521</v>
      </c>
      <c r="F13" s="12" t="str">
        <f>IF(E13&gt;0,(VLOOKUP(E13,'Blnct AR'!$C$2:$D$2259,2,0))," ")</f>
        <v>Administrativo/outros</v>
      </c>
      <c r="G13" s="12" t="s">
        <v>16</v>
      </c>
      <c r="H13" s="13">
        <v>149886</v>
      </c>
      <c r="I13" s="13"/>
      <c r="J13" s="9"/>
    </row>
    <row r="14" spans="1:10" s="14" customFormat="1" ht="13.8">
      <c r="A14" s="15" t="str">
        <f t="shared" si="0"/>
        <v>Salários</v>
      </c>
      <c r="B14" s="9"/>
      <c r="C14" s="10">
        <f t="shared" si="2"/>
        <v>0</v>
      </c>
      <c r="D14" s="8" t="str">
        <f t="shared" si="2"/>
        <v>Pag_Sal</v>
      </c>
      <c r="E14" s="11">
        <v>72521</v>
      </c>
      <c r="F14" s="12" t="str">
        <f>IF(E14&gt;0,(VLOOKUP(E14,'Blnct AR'!$C$2:$D$2259,2,0))," ")</f>
        <v>Administrativo/outros</v>
      </c>
      <c r="G14" s="12" t="s">
        <v>14</v>
      </c>
      <c r="H14" s="13">
        <v>198706</v>
      </c>
      <c r="I14" s="13"/>
      <c r="J14" s="9"/>
    </row>
    <row r="15" spans="1:10" s="14" customFormat="1" ht="13.8">
      <c r="A15" s="15" t="str">
        <f t="shared" si="0"/>
        <v>Salários</v>
      </c>
      <c r="B15" s="9"/>
      <c r="C15" s="10">
        <f t="shared" si="2"/>
        <v>0</v>
      </c>
      <c r="D15" s="8" t="str">
        <f t="shared" si="2"/>
        <v>Pag_Sal</v>
      </c>
      <c r="E15" s="11">
        <v>72511</v>
      </c>
      <c r="F15" s="12" t="e">
        <f>IF(E15&gt;0,(VLOOKUP(E15,'Blnct AR'!$C$2:$D$2259,2,0))," ")</f>
        <v>#N/A</v>
      </c>
      <c r="G15" s="12" t="s">
        <v>17</v>
      </c>
      <c r="H15" s="13">
        <v>387705</v>
      </c>
      <c r="I15" s="13"/>
      <c r="J15" s="9"/>
    </row>
    <row r="16" spans="1:10" s="14" customFormat="1" ht="13.8">
      <c r="A16" s="16"/>
      <c r="B16" s="9"/>
      <c r="C16" s="10"/>
      <c r="D16" s="8"/>
      <c r="E16" s="11"/>
      <c r="F16" s="12"/>
      <c r="G16" s="12"/>
      <c r="H16" s="13"/>
      <c r="I16" s="13"/>
      <c r="J16" s="9"/>
    </row>
    <row r="17" spans="1:10" s="14" customFormat="1" ht="13.8">
      <c r="A17" s="16" t="s">
        <v>18</v>
      </c>
      <c r="B17" s="9"/>
      <c r="C17" s="10">
        <f>+C16</f>
        <v>0</v>
      </c>
      <c r="D17" s="8" t="s">
        <v>12</v>
      </c>
      <c r="E17" s="11">
        <v>4511</v>
      </c>
      <c r="F17" s="12" t="str">
        <f>IF(E17&gt;0,(VLOOKUP(E17,'Blnct AR'!$C$2:$D$2259,2,0))," ")</f>
        <v>Caixa Kwanza</v>
      </c>
      <c r="G17" s="12" t="s">
        <v>19</v>
      </c>
      <c r="H17" s="13"/>
      <c r="I17" s="13">
        <v>20710</v>
      </c>
      <c r="J17" s="9"/>
    </row>
    <row r="18" spans="1:10" s="14" customFormat="1" ht="13.8">
      <c r="A18" s="15" t="str">
        <f>+A17</f>
        <v>Subs_Natal</v>
      </c>
      <c r="B18" s="9"/>
      <c r="C18" s="10">
        <f>+C17</f>
        <v>0</v>
      </c>
      <c r="D18" s="8" t="s">
        <v>12</v>
      </c>
      <c r="E18" s="11">
        <v>7213</v>
      </c>
      <c r="F18" s="12" t="str">
        <f>IF(E18&gt;0,(VLOOKUP(E18,'Blnct AR'!$C$2:$D$2259,2,0))," ")</f>
        <v>Subsídio de férias</v>
      </c>
      <c r="G18" s="12" t="s">
        <v>20</v>
      </c>
      <c r="H18" s="13">
        <v>17270</v>
      </c>
      <c r="I18" s="13"/>
      <c r="J18" s="9"/>
    </row>
    <row r="19" spans="1:10" s="14" customFormat="1" ht="13.8">
      <c r="A19" s="15" t="str">
        <f>+A18</f>
        <v>Subs_Natal</v>
      </c>
      <c r="B19" s="9"/>
      <c r="C19" s="10">
        <f>+C18</f>
        <v>0</v>
      </c>
      <c r="D19" s="8" t="str">
        <f>+D18</f>
        <v>Pag_Sal</v>
      </c>
      <c r="E19" s="11">
        <v>72214</v>
      </c>
      <c r="F19" s="12" t="str">
        <f>IF(E19&gt;0,(VLOOKUP(E19,'Blnct AR'!$C$2:$D$2259,2,0))," ")</f>
        <v>Subsídio de natal</v>
      </c>
      <c r="G19" s="12" t="s">
        <v>20</v>
      </c>
      <c r="H19" s="13">
        <v>3440</v>
      </c>
      <c r="I19" s="13"/>
      <c r="J19" s="9"/>
    </row>
    <row r="20" spans="1:10" s="14" customFormat="1" ht="13.8">
      <c r="A20" s="16"/>
      <c r="B20" s="9"/>
      <c r="C20" s="10"/>
      <c r="D20" s="8"/>
      <c r="E20" s="11"/>
      <c r="F20" s="12"/>
      <c r="G20" s="12"/>
      <c r="H20" s="13"/>
      <c r="I20" s="13"/>
      <c r="J20" s="9"/>
    </row>
    <row r="21" spans="1:10" s="14" customFormat="1" ht="13.8">
      <c r="A21" s="16" t="s">
        <v>21</v>
      </c>
      <c r="B21" s="9"/>
      <c r="C21" s="10">
        <f>+C20</f>
        <v>0</v>
      </c>
      <c r="D21" s="8" t="s">
        <v>12</v>
      </c>
      <c r="E21" s="11">
        <v>4511</v>
      </c>
      <c r="F21" s="12" t="str">
        <f>IF(E21&gt;0,(VLOOKUP(E21,'Blnct AR'!$C$2:$D$2259,2,0))," ")</f>
        <v>Caixa Kwanza</v>
      </c>
      <c r="G21" s="12" t="s">
        <v>19</v>
      </c>
      <c r="H21" s="13"/>
      <c r="I21" s="13">
        <v>20710</v>
      </c>
      <c r="J21" s="9"/>
    </row>
    <row r="22" spans="1:10" s="14" customFormat="1" ht="13.8">
      <c r="A22" s="15" t="str">
        <f>+A21</f>
        <v>Subs_Férias</v>
      </c>
      <c r="B22" s="9"/>
      <c r="C22" s="10">
        <f>+C21</f>
        <v>0</v>
      </c>
      <c r="D22" s="8" t="s">
        <v>12</v>
      </c>
      <c r="E22" s="11">
        <v>7212</v>
      </c>
      <c r="F22" s="12" t="str">
        <f>IF(E22&gt;0,(VLOOKUP(E22,'Blnct AR'!$C$2:$D$2259,2,0))," ")</f>
        <v>Subsídio de férias</v>
      </c>
      <c r="G22" s="12" t="s">
        <v>22</v>
      </c>
      <c r="H22" s="13">
        <v>17270</v>
      </c>
      <c r="I22" s="13"/>
      <c r="J22" s="9"/>
    </row>
    <row r="23" spans="1:10" s="14" customFormat="1" ht="13.8">
      <c r="A23" s="15" t="str">
        <f>+A22</f>
        <v>Subs_Férias</v>
      </c>
      <c r="B23" s="9"/>
      <c r="C23" s="10">
        <f>+C22</f>
        <v>0</v>
      </c>
      <c r="D23" s="8" t="str">
        <f>+D22</f>
        <v>Pag_Sal</v>
      </c>
      <c r="E23" s="11">
        <v>72213</v>
      </c>
      <c r="F23" s="12" t="str">
        <f>IF(E23&gt;0,(VLOOKUP(E23,'Blnct AR'!$C$2:$D$2259,2,0))," ")</f>
        <v>Subsídio de férias</v>
      </c>
      <c r="G23" s="12" t="s">
        <v>22</v>
      </c>
      <c r="H23" s="13">
        <v>3440</v>
      </c>
      <c r="I23" s="13"/>
      <c r="J23" s="9"/>
    </row>
    <row r="24" spans="1:10" s="14" customFormat="1" ht="13.8">
      <c r="A24" s="16"/>
      <c r="B24" s="9"/>
      <c r="C24" s="17"/>
      <c r="D24" s="18"/>
      <c r="E24" s="11"/>
      <c r="F24" s="12" t="str">
        <f>IF(E24&gt;0,(VLOOKUP(E24,'Blnct AR'!$C$2:$D$2259,2,0))," ")</f>
        <v xml:space="preserve"> </v>
      </c>
      <c r="G24" s="11"/>
      <c r="H24" s="19"/>
      <c r="I24" s="19"/>
      <c r="J24" s="9"/>
    </row>
    <row r="25" spans="1:10" s="14" customFormat="1" ht="13.8">
      <c r="A25" s="8" t="s">
        <v>23</v>
      </c>
      <c r="B25" s="9"/>
      <c r="C25" s="10">
        <f>+C162</f>
        <v>0</v>
      </c>
      <c r="D25" s="8" t="s">
        <v>23</v>
      </c>
      <c r="E25" s="11">
        <v>34731334</v>
      </c>
      <c r="F25" s="12" t="str">
        <f>IF(E25&gt;0,(VLOOKUP(E25,'Blnct AR'!$C$2:$D$2259,2,0))," ")</f>
        <v>IS - recibos outros</v>
      </c>
      <c r="G25" s="12" t="s">
        <v>24</v>
      </c>
      <c r="H25" s="20">
        <v>5000</v>
      </c>
      <c r="I25" s="20">
        <v>5000</v>
      </c>
      <c r="J25" s="9"/>
    </row>
    <row r="26" spans="1:10" s="14" customFormat="1" ht="13.8">
      <c r="A26" s="15" t="str">
        <f>+A25</f>
        <v>Imp_Selo</v>
      </c>
      <c r="B26" s="9"/>
      <c r="C26" s="10">
        <f>+C25</f>
        <v>0</v>
      </c>
      <c r="D26" s="8" t="s">
        <v>23</v>
      </c>
      <c r="E26" s="11">
        <v>75311</v>
      </c>
      <c r="F26" s="12" t="str">
        <f>IF(E26&gt;0,(VLOOKUP(E26,'Blnct AR'!$C$2:$D$2259,2,0))," ")</f>
        <v>Imposto de selo</v>
      </c>
      <c r="G26" s="12" t="s">
        <v>24</v>
      </c>
      <c r="H26" s="20">
        <v>5000</v>
      </c>
      <c r="I26" s="13"/>
      <c r="J26" s="9"/>
    </row>
    <row r="27" spans="1:10" s="14" customFormat="1" ht="13.8">
      <c r="A27" s="15" t="str">
        <f>+A26</f>
        <v>Imp_Selo</v>
      </c>
      <c r="B27" s="9"/>
      <c r="C27" s="10">
        <f>+C26</f>
        <v>0</v>
      </c>
      <c r="D27" s="8" t="s">
        <v>23</v>
      </c>
      <c r="E27" s="11">
        <v>4511</v>
      </c>
      <c r="F27" s="12" t="str">
        <f>IF(E27&gt;0,(VLOOKUP(E27,'Blnct AR'!$C$2:$D$2259,2,0))," ")</f>
        <v>Caixa Kwanza</v>
      </c>
      <c r="G27" s="12" t="s">
        <v>24</v>
      </c>
      <c r="H27" s="20"/>
      <c r="I27" s="20">
        <v>5000</v>
      </c>
      <c r="J27" s="9"/>
    </row>
    <row r="28" spans="1:10" s="14" customFormat="1" ht="13.8">
      <c r="A28" s="16"/>
      <c r="B28" s="9"/>
      <c r="C28" s="10"/>
      <c r="D28" s="8"/>
      <c r="E28" s="11"/>
      <c r="F28" s="12" t="str">
        <f>IF(E28&gt;0,(VLOOKUP(E28,'Blnct AR'!$C$2:$D$2259,2,0))," ")</f>
        <v xml:space="preserve"> </v>
      </c>
      <c r="G28" s="12"/>
      <c r="H28" s="20"/>
      <c r="I28" s="13"/>
      <c r="J28" s="9"/>
    </row>
    <row r="29" spans="1:10" s="14" customFormat="1" ht="13.8">
      <c r="A29" s="16" t="s">
        <v>25</v>
      </c>
      <c r="B29" s="9"/>
      <c r="C29" s="10">
        <f>+C28</f>
        <v>0</v>
      </c>
      <c r="D29" s="8" t="s">
        <v>26</v>
      </c>
      <c r="E29" s="11">
        <v>4511</v>
      </c>
      <c r="F29" s="12" t="str">
        <f>IF(E29&gt;0,(VLOOKUP(E29,'Blnct AR'!$C$2:$D$2259,2,0))," ")</f>
        <v>Caixa Kwanza</v>
      </c>
      <c r="G29" s="21" t="s">
        <v>27</v>
      </c>
      <c r="H29" s="13"/>
      <c r="I29" s="13">
        <v>4500</v>
      </c>
      <c r="J29" s="9"/>
    </row>
    <row r="30" spans="1:10" s="14" customFormat="1" ht="13.8">
      <c r="A30" s="15" t="str">
        <f>+A29</f>
        <v>Tel_Net</v>
      </c>
      <c r="B30" s="9"/>
      <c r="C30" s="10">
        <f>+C29</f>
        <v>0</v>
      </c>
      <c r="D30" s="8" t="s">
        <v>26</v>
      </c>
      <c r="E30" s="11">
        <v>75220</v>
      </c>
      <c r="F30" s="12" t="str">
        <f>IF(E30&gt;0,(VLOOKUP(E30,'Blnct AR'!$C$2:$D$2259,2,0))," ")</f>
        <v>Comunicação</v>
      </c>
      <c r="G30" s="21" t="s">
        <v>27</v>
      </c>
      <c r="H30" s="13">
        <v>4286</v>
      </c>
      <c r="I30" s="13"/>
      <c r="J30" s="9"/>
    </row>
    <row r="31" spans="1:10" s="14" customFormat="1" ht="13.8">
      <c r="A31" s="15" t="str">
        <f>+A30</f>
        <v>Tel_Net</v>
      </c>
      <c r="B31" s="22"/>
      <c r="C31" s="10">
        <f>+C30</f>
        <v>0</v>
      </c>
      <c r="D31" s="8" t="s">
        <v>26</v>
      </c>
      <c r="E31" s="11">
        <v>342121</v>
      </c>
      <c r="F31" s="12" t="str">
        <f>IF(E31&gt;0,(VLOOKUP(E31,'Blnct AR'!$C$2:$D$2259,2,0))," ")</f>
        <v>IPC-LIQ.-PR.SERV.-TXRED-MERC. NAC.</v>
      </c>
      <c r="G31" s="21" t="s">
        <v>27</v>
      </c>
      <c r="H31" s="13">
        <v>214</v>
      </c>
      <c r="I31" s="13">
        <v>214</v>
      </c>
      <c r="J31" s="22"/>
    </row>
    <row r="32" spans="1:10" s="14" customFormat="1" ht="13.8">
      <c r="A32" s="15" t="str">
        <f>+A31</f>
        <v>Tel_Net</v>
      </c>
      <c r="B32" s="22"/>
      <c r="C32" s="10">
        <f>+C31</f>
        <v>0</v>
      </c>
      <c r="D32" s="23" t="s">
        <v>26</v>
      </c>
      <c r="E32" s="11">
        <v>75312</v>
      </c>
      <c r="F32" s="12" t="str">
        <f>IF(E32&gt;0,(VLOOKUP(E32,'Blnct AR'!$C$2:$D$2259,2,0))," ")</f>
        <v>Imposto de Produção e Consumo</v>
      </c>
      <c r="G32" s="21" t="s">
        <v>27</v>
      </c>
      <c r="H32" s="13">
        <v>214</v>
      </c>
      <c r="I32" s="13"/>
      <c r="J32" s="22"/>
    </row>
    <row r="33" spans="1:10" s="14" customFormat="1" ht="13.8">
      <c r="A33" s="16"/>
      <c r="B33" s="9"/>
      <c r="C33" s="18"/>
      <c r="D33" s="18"/>
      <c r="E33" s="11"/>
      <c r="F33" s="12" t="str">
        <f>IF(E33&gt;0,(VLOOKUP(E33,'Blnct AR'!$C$2:$D$2259,2,0))," ")</f>
        <v xml:space="preserve"> </v>
      </c>
      <c r="G33" s="11"/>
      <c r="H33" s="19"/>
      <c r="I33" s="19"/>
      <c r="J33" s="9"/>
    </row>
    <row r="34" spans="1:10" s="14" customFormat="1" ht="13.8">
      <c r="A34" s="16" t="s">
        <v>28</v>
      </c>
      <c r="B34" s="9"/>
      <c r="C34" s="10">
        <f>+C54</f>
        <v>0</v>
      </c>
      <c r="D34" s="8" t="s">
        <v>26</v>
      </c>
      <c r="E34" s="11">
        <v>4511</v>
      </c>
      <c r="F34" s="12" t="str">
        <f>IF(E34&gt;0,(VLOOKUP(E34,'Blnct AR'!$C$2:$D$2259,2,0))," ")</f>
        <v>Caixa Kwanza</v>
      </c>
      <c r="G34" s="12" t="s">
        <v>28</v>
      </c>
      <c r="H34" s="20"/>
      <c r="I34" s="20">
        <v>5000</v>
      </c>
      <c r="J34" s="9"/>
    </row>
    <row r="35" spans="1:10" s="14" customFormat="1" ht="13.8">
      <c r="A35" s="15" t="str">
        <f>+A34</f>
        <v>Gasolina</v>
      </c>
      <c r="B35" s="9"/>
      <c r="C35" s="10">
        <f>+C34</f>
        <v>0</v>
      </c>
      <c r="D35" s="8" t="s">
        <v>26</v>
      </c>
      <c r="E35" s="11">
        <v>752132</v>
      </c>
      <c r="F35" s="12" t="str">
        <f>IF(E35&gt;0,(VLOOKUP(E35,'Blnct AR'!$C$2:$D$2259,2,0))," ")</f>
        <v>Gasolina</v>
      </c>
      <c r="G35" s="12" t="s">
        <v>28</v>
      </c>
      <c r="H35" s="20">
        <v>5000</v>
      </c>
      <c r="I35" s="13"/>
      <c r="J35" s="9"/>
    </row>
    <row r="36" spans="1:10" s="14" customFormat="1" ht="13.8">
      <c r="A36" s="15"/>
      <c r="B36" s="9"/>
      <c r="C36" s="10"/>
      <c r="D36" s="8"/>
      <c r="E36" s="11"/>
      <c r="F36" s="12"/>
      <c r="G36" s="12"/>
      <c r="H36" s="20"/>
      <c r="I36" s="13"/>
      <c r="J36" s="9"/>
    </row>
    <row r="37" spans="1:10" s="14" customFormat="1" ht="13.8">
      <c r="A37" s="15" t="s">
        <v>29</v>
      </c>
      <c r="B37" s="9"/>
      <c r="C37" s="10">
        <f>+C57</f>
        <v>0</v>
      </c>
      <c r="D37" s="8" t="s">
        <v>26</v>
      </c>
      <c r="E37" s="11">
        <v>4511</v>
      </c>
      <c r="F37" s="12" t="str">
        <f>IF(E37&gt;0,(VLOOKUP(E37,'Blnct AR'!$C$2:$D$2259,2,0))," ")</f>
        <v>Caixa Kwanza</v>
      </c>
      <c r="G37" s="12" t="s">
        <v>29</v>
      </c>
      <c r="H37" s="20"/>
      <c r="I37" s="20">
        <v>5000</v>
      </c>
      <c r="J37" s="9"/>
    </row>
    <row r="38" spans="1:10" s="14" customFormat="1" ht="13.8">
      <c r="A38" s="15" t="str">
        <f>+A37</f>
        <v>Gás</v>
      </c>
      <c r="B38" s="9"/>
      <c r="C38" s="10">
        <f>+C37</f>
        <v>0</v>
      </c>
      <c r="D38" s="8" t="s">
        <v>26</v>
      </c>
      <c r="E38" s="11">
        <v>752133</v>
      </c>
      <c r="F38" s="12" t="str">
        <f>IF(E38&gt;0,(VLOOKUP(E38,'Blnct AR'!$C$2:$D$2259,2,0))," ")</f>
        <v>Gás</v>
      </c>
      <c r="G38" s="12" t="s">
        <v>29</v>
      </c>
      <c r="H38" s="20">
        <v>5000</v>
      </c>
      <c r="I38" s="13"/>
      <c r="J38" s="9"/>
    </row>
    <row r="39" spans="1:10" s="14" customFormat="1" ht="13.8">
      <c r="A39" s="15"/>
      <c r="B39" s="9"/>
      <c r="C39" s="10"/>
      <c r="D39" s="8"/>
      <c r="E39" s="11"/>
      <c r="F39" s="12"/>
      <c r="G39" s="12"/>
      <c r="H39" s="20"/>
      <c r="I39" s="13"/>
      <c r="J39" s="9"/>
    </row>
    <row r="40" spans="1:10" s="14" customFormat="1" ht="13.8">
      <c r="A40" s="15" t="s">
        <v>30</v>
      </c>
      <c r="B40" s="9"/>
      <c r="C40" s="10">
        <f>+C57</f>
        <v>0</v>
      </c>
      <c r="D40" s="8" t="s">
        <v>26</v>
      </c>
      <c r="E40" s="11">
        <v>4511</v>
      </c>
      <c r="F40" s="12" t="str">
        <f>IF(E40&gt;0,(VLOOKUP(E40,'Blnct AR'!$C$2:$D$2259,2,0))," ")</f>
        <v>Caixa Kwanza</v>
      </c>
      <c r="G40" s="12" t="s">
        <v>30</v>
      </c>
      <c r="H40" s="20"/>
      <c r="I40" s="20">
        <v>5000</v>
      </c>
      <c r="J40" s="9"/>
    </row>
    <row r="41" spans="1:10" s="14" customFormat="1" ht="13.8">
      <c r="A41" s="15" t="str">
        <f>+A40</f>
        <v>Água</v>
      </c>
      <c r="B41" s="9"/>
      <c r="C41" s="10">
        <f>+C40</f>
        <v>0</v>
      </c>
      <c r="D41" s="8" t="s">
        <v>26</v>
      </c>
      <c r="E41" s="11">
        <v>75211</v>
      </c>
      <c r="F41" s="12" t="str">
        <f>IF(E41&gt;0,(VLOOKUP(E41,'Blnct AR'!$C$2:$D$2259,2,0))," ")</f>
        <v>Água</v>
      </c>
      <c r="G41" s="12" t="s">
        <v>30</v>
      </c>
      <c r="H41" s="20">
        <v>5000</v>
      </c>
      <c r="I41" s="13"/>
      <c r="J41" s="9"/>
    </row>
    <row r="42" spans="1:10" s="14" customFormat="1" ht="13.8">
      <c r="A42" s="15"/>
      <c r="B42" s="9"/>
      <c r="C42" s="10"/>
      <c r="D42" s="8"/>
      <c r="E42" s="11"/>
      <c r="F42" s="12"/>
      <c r="G42" s="12"/>
      <c r="H42" s="20"/>
      <c r="I42" s="13"/>
      <c r="J42" s="9"/>
    </row>
    <row r="43" spans="1:10" s="14" customFormat="1" ht="13.8">
      <c r="A43" s="15" t="s">
        <v>31</v>
      </c>
      <c r="B43" s="9"/>
      <c r="C43" s="10">
        <f>+C63</f>
        <v>0</v>
      </c>
      <c r="D43" s="8" t="s">
        <v>26</v>
      </c>
      <c r="E43" s="11">
        <v>4511</v>
      </c>
      <c r="F43" s="12" t="str">
        <f>IF(E43&gt;0,(VLOOKUP(E43,'Blnct AR'!$C$2:$D$2259,2,0))," ")</f>
        <v>Caixa Kwanza</v>
      </c>
      <c r="G43" s="12" t="s">
        <v>31</v>
      </c>
      <c r="H43" s="20"/>
      <c r="I43" s="20">
        <v>5500</v>
      </c>
      <c r="J43" s="9"/>
    </row>
    <row r="44" spans="1:10" s="14" customFormat="1" ht="13.8">
      <c r="A44" s="15" t="str">
        <f>+A43</f>
        <v>Eletricidade</v>
      </c>
      <c r="B44" s="9"/>
      <c r="C44" s="10">
        <f>+C43</f>
        <v>0</v>
      </c>
      <c r="D44" s="8" t="s">
        <v>26</v>
      </c>
      <c r="E44" s="11">
        <v>75212</v>
      </c>
      <c r="F44" s="12" t="str">
        <f>IF(E44&gt;0,(VLOOKUP(E44,'Blnct AR'!$C$2:$D$2259,2,0))," ")</f>
        <v>Electricidade</v>
      </c>
      <c r="G44" s="12" t="s">
        <v>31</v>
      </c>
      <c r="H44" s="20">
        <v>5500</v>
      </c>
      <c r="I44" s="13"/>
      <c r="J44" s="9"/>
    </row>
    <row r="45" spans="1:10" s="14" customFormat="1" ht="13.8">
      <c r="A45" s="16"/>
      <c r="B45" s="9"/>
      <c r="E45" s="24"/>
      <c r="F45" s="12" t="str">
        <f>IF(E45&gt;0,(VLOOKUP(E45,'Blnct AR'!$C$2:$D$2259,2,0))," ")</f>
        <v xml:space="preserve"> </v>
      </c>
      <c r="G45" s="24"/>
      <c r="H45" s="19"/>
      <c r="I45" s="19"/>
      <c r="J45" s="9"/>
    </row>
    <row r="46" spans="1:10" s="14" customFormat="1" ht="13.8">
      <c r="A46" s="16" t="s">
        <v>32</v>
      </c>
      <c r="B46" s="9"/>
      <c r="C46" s="10">
        <f>+C45</f>
        <v>0</v>
      </c>
      <c r="D46" s="8" t="s">
        <v>26</v>
      </c>
      <c r="E46" s="11">
        <v>4511</v>
      </c>
      <c r="F46" s="12" t="str">
        <f>IF(E46&gt;0,(VLOOKUP(E46,'Blnct AR'!$C$2:$D$2259,2,0))," ")</f>
        <v>Caixa Kwanza</v>
      </c>
      <c r="G46" s="12" t="s">
        <v>33</v>
      </c>
      <c r="H46" s="20"/>
      <c r="I46" s="20">
        <v>3500</v>
      </c>
      <c r="J46" s="9"/>
    </row>
    <row r="47" spans="1:10" s="14" customFormat="1" ht="13.8">
      <c r="A47" s="15" t="str">
        <f>+A46</f>
        <v>Outras Desp.</v>
      </c>
      <c r="B47" s="9"/>
      <c r="C47" s="10">
        <f>+C46</f>
        <v>0</v>
      </c>
      <c r="D47" s="8" t="s">
        <v>26</v>
      </c>
      <c r="E47" s="11">
        <v>75219</v>
      </c>
      <c r="F47" s="12" t="str">
        <f>IF(E47&gt;0,(VLOOKUP(E47,'Blnct AR'!$C$2:$D$2259,2,0))," ")</f>
        <v>Outros fornecimentos</v>
      </c>
      <c r="G47" s="12" t="s">
        <v>33</v>
      </c>
      <c r="H47" s="20">
        <v>3500</v>
      </c>
      <c r="I47" s="13"/>
      <c r="J47" s="9"/>
    </row>
    <row r="48" spans="1:10" s="14" customFormat="1" ht="13.8">
      <c r="A48" s="16"/>
      <c r="B48" s="9"/>
      <c r="E48" s="24"/>
      <c r="F48" s="12" t="str">
        <f>IF(E48&gt;0,(VLOOKUP(E48,'Blnct AR'!$C$2:$D$2259,2,0))," ")</f>
        <v xml:space="preserve"> </v>
      </c>
      <c r="G48" s="24"/>
      <c r="H48" s="19"/>
      <c r="I48" s="19"/>
      <c r="J48" s="9"/>
    </row>
    <row r="49" spans="1:10" s="14" customFormat="1" ht="13.8">
      <c r="A49" s="16" t="s">
        <v>34</v>
      </c>
      <c r="B49" s="9"/>
      <c r="C49" s="10">
        <f>+C48</f>
        <v>0</v>
      </c>
      <c r="D49" s="8" t="s">
        <v>26</v>
      </c>
      <c r="E49" s="11">
        <v>4511</v>
      </c>
      <c r="F49" s="12" t="str">
        <f>IF(E49&gt;0,(VLOOKUP(E49,'Blnct AR'!$C$2:$D$2259,2,0))," ")</f>
        <v>Caixa Kwanza</v>
      </c>
      <c r="G49" s="21" t="s">
        <v>35</v>
      </c>
      <c r="H49" s="13"/>
      <c r="I49" s="13">
        <v>159</v>
      </c>
      <c r="J49" s="9"/>
    </row>
    <row r="50" spans="1:10" s="14" customFormat="1" ht="13.8">
      <c r="A50" s="15" t="str">
        <f>+A49</f>
        <v>Limpeza</v>
      </c>
      <c r="B50" s="9"/>
      <c r="C50" s="10">
        <f>+C49</f>
        <v>0</v>
      </c>
      <c r="D50" s="8" t="s">
        <v>26</v>
      </c>
      <c r="E50" s="11">
        <v>75228</v>
      </c>
      <c r="F50" s="12" t="str">
        <f>IF(E50&gt;0,(VLOOKUP(E50,'Blnct AR'!$C$2:$D$2259,2,0))," ")</f>
        <v>Limpeza, higiene e conforto</v>
      </c>
      <c r="G50" s="21" t="s">
        <v>35</v>
      </c>
      <c r="H50" s="13">
        <v>159</v>
      </c>
      <c r="I50" s="13"/>
      <c r="J50" s="9"/>
    </row>
    <row r="51" spans="1:10" s="14" customFormat="1" ht="13.8">
      <c r="A51" s="15"/>
      <c r="B51" s="9"/>
      <c r="C51" s="10"/>
      <c r="D51" s="8"/>
      <c r="E51" s="11"/>
      <c r="F51" s="12"/>
      <c r="G51" s="21"/>
      <c r="H51" s="13"/>
      <c r="I51" s="13"/>
      <c r="J51" s="9"/>
    </row>
    <row r="52" spans="1:10" s="14" customFormat="1" ht="13.8">
      <c r="A52" s="16" t="s">
        <v>36</v>
      </c>
      <c r="B52" s="9"/>
      <c r="C52" s="10">
        <f>+C51</f>
        <v>0</v>
      </c>
      <c r="D52" s="8" t="s">
        <v>26</v>
      </c>
      <c r="E52" s="11">
        <v>4511</v>
      </c>
      <c r="F52" s="12" t="str">
        <f>IF(E52&gt;0,(VLOOKUP(E52,'Blnct AR'!$C$2:$D$2259,2,0))," ")</f>
        <v>Caixa Kwanza</v>
      </c>
      <c r="G52" s="21" t="s">
        <v>37</v>
      </c>
      <c r="H52" s="13"/>
      <c r="I52" s="13">
        <v>159</v>
      </c>
      <c r="J52" s="9"/>
    </row>
    <row r="53" spans="1:10" s="14" customFormat="1" ht="13.8">
      <c r="A53" s="15" t="str">
        <f>+A52</f>
        <v>PrtSegConf</v>
      </c>
      <c r="B53" s="9"/>
      <c r="C53" s="10">
        <f>+C52</f>
        <v>0</v>
      </c>
      <c r="D53" s="8" t="s">
        <v>26</v>
      </c>
      <c r="E53" s="11">
        <v>75215</v>
      </c>
      <c r="F53" s="12" t="str">
        <f>IF(E53&gt;0,(VLOOKUP(E53,'Blnct AR'!$C$2:$D$2259,2,0))," ")</f>
        <v>Material protecção, seg.e conforto</v>
      </c>
      <c r="G53" s="21" t="s">
        <v>37</v>
      </c>
      <c r="H53" s="13">
        <v>159</v>
      </c>
      <c r="I53" s="13"/>
      <c r="J53" s="9"/>
    </row>
    <row r="54" spans="1:10" s="14" customFormat="1" ht="13.8">
      <c r="A54" s="16"/>
      <c r="B54" s="9"/>
      <c r="E54" s="24"/>
      <c r="F54" s="12" t="str">
        <f>IF(E54&gt;0,(VLOOKUP(E54,'Blnct AR'!$C$2:$D$2259,2,0))," ")</f>
        <v xml:space="preserve"> </v>
      </c>
      <c r="G54" s="24"/>
      <c r="H54" s="19"/>
      <c r="I54" s="19"/>
      <c r="J54" s="9"/>
    </row>
    <row r="55" spans="1:10" s="14" customFormat="1" ht="13.8">
      <c r="A55" s="16" t="s">
        <v>38</v>
      </c>
      <c r="B55" s="9"/>
      <c r="C55" s="10">
        <f>+C54</f>
        <v>0</v>
      </c>
      <c r="D55" s="8" t="s">
        <v>26</v>
      </c>
      <c r="E55" s="11">
        <v>4511</v>
      </c>
      <c r="F55" s="12" t="str">
        <f>IF(E55&gt;0,(VLOOKUP(E55,'Blnct AR'!$C$2:$D$2259,2,0))," ")</f>
        <v>Caixa Kwanza</v>
      </c>
      <c r="G55" s="21" t="s">
        <v>38</v>
      </c>
      <c r="H55" s="13"/>
      <c r="I55" s="13">
        <v>12680</v>
      </c>
      <c r="J55" s="9"/>
    </row>
    <row r="56" spans="1:10" s="14" customFormat="1" ht="13.8">
      <c r="A56" s="15" t="str">
        <f>+A55</f>
        <v>Recargas</v>
      </c>
      <c r="B56" s="9"/>
      <c r="C56" s="10">
        <f>+C55</f>
        <v>0</v>
      </c>
      <c r="D56" s="8" t="s">
        <v>26</v>
      </c>
      <c r="E56" s="11">
        <v>75220</v>
      </c>
      <c r="F56" s="12" t="str">
        <f>IF(E56&gt;0,(VLOOKUP(E56,'Blnct AR'!$C$2:$D$2259,2,0))," ")</f>
        <v>Comunicação</v>
      </c>
      <c r="G56" s="21" t="s">
        <v>38</v>
      </c>
      <c r="H56" s="13">
        <v>12680</v>
      </c>
      <c r="I56" s="13"/>
      <c r="J56" s="9"/>
    </row>
    <row r="57" spans="1:10" s="14" customFormat="1" ht="13.8">
      <c r="A57" s="16"/>
      <c r="B57" s="9"/>
      <c r="E57" s="24"/>
      <c r="F57" s="12" t="str">
        <f>IF(E57&gt;0,(VLOOKUP(E57,'Blnct AR'!$C$2:$D$2259,2,0))," ")</f>
        <v xml:space="preserve"> </v>
      </c>
      <c r="G57" s="24"/>
      <c r="H57" s="19"/>
      <c r="I57" s="19"/>
      <c r="J57" s="9"/>
    </row>
    <row r="58" spans="1:10" s="14" customFormat="1" ht="13.8">
      <c r="A58" s="16" t="s">
        <v>39</v>
      </c>
      <c r="B58" s="9"/>
      <c r="C58" s="10">
        <f>+C57</f>
        <v>0</v>
      </c>
      <c r="D58" s="8" t="s">
        <v>26</v>
      </c>
      <c r="E58" s="11">
        <v>4511</v>
      </c>
      <c r="F58" s="12" t="str">
        <f>IF(E58&gt;0,(VLOOKUP(E58,'Blnct AR'!$C$2:$D$2259,2,0))," ")</f>
        <v>Caixa Kwanza</v>
      </c>
      <c r="G58" s="21" t="s">
        <v>40</v>
      </c>
      <c r="H58" s="13"/>
      <c r="I58" s="13">
        <v>1000</v>
      </c>
      <c r="J58" s="9"/>
    </row>
    <row r="59" spans="1:10" s="14" customFormat="1" ht="13.8">
      <c r="A59" s="15" t="str">
        <f>+A58</f>
        <v>Rest_Hotel</v>
      </c>
      <c r="B59" s="9"/>
      <c r="C59" s="10">
        <f>+C58</f>
        <v>0</v>
      </c>
      <c r="D59" s="8" t="s">
        <v>26</v>
      </c>
      <c r="E59" s="11">
        <v>75223</v>
      </c>
      <c r="F59" s="12" t="str">
        <f>IF(E59&gt;0,(VLOOKUP(E59,'Blnct AR'!$C$2:$D$2259,2,0))," ")</f>
        <v>Deslocações e estadas</v>
      </c>
      <c r="G59" s="21" t="s">
        <v>40</v>
      </c>
      <c r="H59" s="13">
        <f>+I58</f>
        <v>1000</v>
      </c>
      <c r="I59" s="13"/>
      <c r="J59" s="9"/>
    </row>
    <row r="60" spans="1:10" s="14" customFormat="1" ht="13.8">
      <c r="A60" s="15"/>
      <c r="B60" s="9"/>
      <c r="C60" s="10"/>
      <c r="D60" s="8"/>
      <c r="E60" s="11"/>
      <c r="F60" s="12"/>
      <c r="G60" s="21"/>
      <c r="H60" s="13"/>
      <c r="I60" s="13"/>
      <c r="J60" s="9"/>
    </row>
    <row r="61" spans="1:10" s="14" customFormat="1" ht="13.8">
      <c r="A61" s="16" t="s">
        <v>41</v>
      </c>
      <c r="B61" s="9"/>
      <c r="C61" s="10">
        <f>+C60</f>
        <v>0</v>
      </c>
      <c r="D61" s="8" t="s">
        <v>26</v>
      </c>
      <c r="E61" s="11">
        <v>4511</v>
      </c>
      <c r="F61" s="12" t="str">
        <f>IF(E61&gt;0,(VLOOKUP(E61,'Blnct AR'!$C$2:$D$2259,2,0))," ")</f>
        <v>Caixa Kwanza</v>
      </c>
      <c r="G61" s="21" t="s">
        <v>40</v>
      </c>
      <c r="H61" s="13"/>
      <c r="I61" s="13">
        <v>1000</v>
      </c>
      <c r="J61" s="9"/>
    </row>
    <row r="62" spans="1:10" s="14" customFormat="1" ht="13.8">
      <c r="A62" s="15" t="str">
        <f>+A61</f>
        <v>Representação</v>
      </c>
      <c r="B62" s="9"/>
      <c r="C62" s="10">
        <f>+C61</f>
        <v>0</v>
      </c>
      <c r="D62" s="8" t="s">
        <v>26</v>
      </c>
      <c r="E62" s="11">
        <v>75224</v>
      </c>
      <c r="F62" s="12" t="str">
        <f>IF(E62&gt;0,(VLOOKUP(E62,'Blnct AR'!$C$2:$D$2259,2,0))," ")</f>
        <v>Despesas de representação</v>
      </c>
      <c r="G62" s="21" t="s">
        <v>40</v>
      </c>
      <c r="H62" s="13">
        <v>1000</v>
      </c>
      <c r="I62" s="13"/>
      <c r="J62" s="9"/>
    </row>
    <row r="63" spans="1:10" s="14" customFormat="1" ht="13.8">
      <c r="A63" s="16"/>
      <c r="B63" s="9"/>
      <c r="E63" s="24"/>
      <c r="F63" s="12" t="str">
        <f>IF(E63&gt;0,(VLOOKUP(E63,'Blnct AR'!$C$2:$D$2259,2,0))," ")</f>
        <v xml:space="preserve"> </v>
      </c>
      <c r="G63" s="24"/>
      <c r="H63" s="19"/>
      <c r="I63" s="19"/>
      <c r="J63" s="9"/>
    </row>
    <row r="64" spans="1:10" s="14" customFormat="1" ht="13.8">
      <c r="A64" s="16" t="s">
        <v>42</v>
      </c>
      <c r="B64" s="9"/>
      <c r="C64" s="10">
        <f>+C63</f>
        <v>0</v>
      </c>
      <c r="D64" s="8" t="s">
        <v>26</v>
      </c>
      <c r="E64" s="11">
        <v>4511</v>
      </c>
      <c r="F64" s="12" t="str">
        <f>IF(E64&gt;0,(VLOOKUP(E64,'Blnct AR'!$C$2:$D$2259,2,0))," ")</f>
        <v>Caixa Kwanza</v>
      </c>
      <c r="G64" s="21" t="s">
        <v>40</v>
      </c>
      <c r="H64" s="13"/>
      <c r="I64" s="13">
        <v>8000</v>
      </c>
      <c r="J64" s="9"/>
    </row>
    <row r="65" spans="1:10" s="14" customFormat="1" ht="13.8">
      <c r="A65" s="15" t="str">
        <f>+A64</f>
        <v>Publicidade</v>
      </c>
      <c r="B65" s="9"/>
      <c r="C65" s="10">
        <f>+C64</f>
        <v>0</v>
      </c>
      <c r="D65" s="8" t="s">
        <v>26</v>
      </c>
      <c r="E65" s="11">
        <v>75229</v>
      </c>
      <c r="F65" s="12" t="str">
        <f>IF(E65&gt;0,(VLOOKUP(E65,'Blnct AR'!$C$2:$D$2259,2,0))," ")</f>
        <v>Publicidade e propaganda</v>
      </c>
      <c r="G65" s="21" t="s">
        <v>40</v>
      </c>
      <c r="H65" s="13">
        <v>8000</v>
      </c>
      <c r="I65" s="13"/>
      <c r="J65" s="9"/>
    </row>
    <row r="66" spans="1:10" s="14" customFormat="1" ht="13.8">
      <c r="A66" s="16"/>
      <c r="B66" s="9"/>
      <c r="E66" s="24"/>
      <c r="F66" s="12" t="str">
        <f>IF(E66&gt;0,(VLOOKUP(E66,'Blnct AR'!$C$2:$D$2259,2,0))," ")</f>
        <v xml:space="preserve"> </v>
      </c>
      <c r="G66" s="24"/>
      <c r="H66" s="19"/>
      <c r="I66" s="19"/>
      <c r="J66" s="9"/>
    </row>
    <row r="67" spans="1:10" s="14" customFormat="1" ht="13.8">
      <c r="A67" s="16" t="s">
        <v>43</v>
      </c>
      <c r="B67" s="9"/>
      <c r="C67" s="10">
        <f>+C66</f>
        <v>0</v>
      </c>
      <c r="D67" s="8" t="s">
        <v>26</v>
      </c>
      <c r="E67" s="11">
        <v>4511</v>
      </c>
      <c r="F67" s="12" t="str">
        <f>IF(E67&gt;0,(VLOOKUP(E67,'Blnct AR'!$C$2:$D$2259,2,0))," ")</f>
        <v>Caixa Kwanza</v>
      </c>
      <c r="G67" s="21" t="s">
        <v>40</v>
      </c>
      <c r="H67" s="13"/>
      <c r="I67" s="13">
        <v>4299</v>
      </c>
      <c r="J67" s="9"/>
    </row>
    <row r="68" spans="1:10" s="14" customFormat="1" ht="13.8">
      <c r="A68" s="15" t="str">
        <f>+A67</f>
        <v>Ferramentas</v>
      </c>
      <c r="B68" s="9"/>
      <c r="C68" s="10">
        <f>+C67</f>
        <v>0</v>
      </c>
      <c r="D68" s="8" t="s">
        <v>26</v>
      </c>
      <c r="E68" s="11">
        <v>75216</v>
      </c>
      <c r="F68" s="12" t="str">
        <f>IF(E68&gt;0,(VLOOKUP(E68,'Blnct AR'!$C$2:$D$2259,2,0))," ")</f>
        <v>Ferrament.e utensílios desg.rápido</v>
      </c>
      <c r="G68" s="21" t="s">
        <v>40</v>
      </c>
      <c r="H68" s="13">
        <v>4299</v>
      </c>
      <c r="I68" s="13"/>
      <c r="J68" s="9"/>
    </row>
    <row r="69" spans="1:10" s="14" customFormat="1" ht="13.8">
      <c r="A69" s="16"/>
      <c r="B69" s="9"/>
      <c r="E69" s="24"/>
      <c r="F69" s="12" t="str">
        <f>IF(E69&gt;0,(VLOOKUP(E69,'Blnct AR'!$C$2:$D$2259,2,0))," ")</f>
        <v xml:space="preserve"> </v>
      </c>
      <c r="G69" s="24"/>
      <c r="H69" s="19"/>
      <c r="I69" s="19"/>
      <c r="J69" s="9"/>
    </row>
    <row r="70" spans="1:10" s="14" customFormat="1" ht="13.8">
      <c r="A70" s="16" t="s">
        <v>44</v>
      </c>
      <c r="B70" s="9"/>
      <c r="C70" s="10">
        <f>+C69</f>
        <v>0</v>
      </c>
      <c r="D70" s="8" t="s">
        <v>26</v>
      </c>
      <c r="E70" s="11">
        <v>4511</v>
      </c>
      <c r="F70" s="12" t="str">
        <f>IF(E70&gt;0,(VLOOKUP(E70,'Blnct AR'!$C$2:$D$2259,2,0))," ")</f>
        <v>Caixa Kwanza</v>
      </c>
      <c r="G70" s="12" t="s">
        <v>44</v>
      </c>
      <c r="H70" s="20"/>
      <c r="I70" s="20">
        <v>15350</v>
      </c>
      <c r="J70" s="9"/>
    </row>
    <row r="71" spans="1:10" s="14" customFormat="1" ht="13.8">
      <c r="A71" s="15" t="str">
        <f>+A70</f>
        <v>Gasoleo</v>
      </c>
      <c r="B71" s="9"/>
      <c r="C71" s="10">
        <f>+C70</f>
        <v>0</v>
      </c>
      <c r="D71" s="8" t="s">
        <v>26</v>
      </c>
      <c r="E71" s="11">
        <v>752131</v>
      </c>
      <c r="F71" s="12" t="str">
        <f>IF(E71&gt;0,(VLOOKUP(E71,'Blnct AR'!$C$2:$D$2259,2,0))," ")</f>
        <v>Gasoleo</v>
      </c>
      <c r="G71" s="12" t="s">
        <v>44</v>
      </c>
      <c r="H71" s="20">
        <v>15350</v>
      </c>
      <c r="I71" s="13"/>
      <c r="J71" s="9"/>
    </row>
    <row r="72" spans="1:10" s="14" customFormat="1" ht="13.8">
      <c r="A72" s="16"/>
      <c r="B72" s="9"/>
      <c r="E72" s="24"/>
      <c r="F72" s="12" t="str">
        <f>IF(E72&gt;0,(VLOOKUP(E72,'Blnct AR'!$C$2:$D$2259,2,0))," ")</f>
        <v xml:space="preserve"> </v>
      </c>
      <c r="G72" s="24"/>
      <c r="H72" s="19"/>
      <c r="I72" s="19"/>
      <c r="J72" s="9"/>
    </row>
    <row r="73" spans="1:10" s="14" customFormat="1" ht="13.8">
      <c r="A73" s="16" t="s">
        <v>45</v>
      </c>
      <c r="B73" s="9"/>
      <c r="C73" s="10">
        <f>+C72</f>
        <v>0</v>
      </c>
      <c r="D73" s="8" t="s">
        <v>26</v>
      </c>
      <c r="E73" s="11">
        <v>752142</v>
      </c>
      <c r="F73" s="12" t="str">
        <f>IF(E73&gt;0,(VLOOKUP(E73,'Blnct AR'!$C$2:$D$2259,2,0))," ")</f>
        <v>Edifícios e outras construções</v>
      </c>
      <c r="G73" s="12" t="s">
        <v>46</v>
      </c>
      <c r="H73" s="13">
        <v>13779.4</v>
      </c>
      <c r="I73" s="13"/>
      <c r="J73" s="9"/>
    </row>
    <row r="74" spans="1:10" s="14" customFormat="1" ht="13.8">
      <c r="A74" s="15" t="str">
        <f>+A73</f>
        <v>Mat_Contrução</v>
      </c>
      <c r="B74" s="9"/>
      <c r="C74" s="10">
        <f>+C73</f>
        <v>0</v>
      </c>
      <c r="D74" s="8" t="str">
        <f>+D73</f>
        <v>Dsp_FST</v>
      </c>
      <c r="E74" s="11">
        <v>4511</v>
      </c>
      <c r="F74" s="12" t="str">
        <f>IF(E74&gt;0,(VLOOKUP(E74,'Blnct AR'!$C$2:$D$2259,2,0))," ")</f>
        <v>Caixa Kwanza</v>
      </c>
      <c r="G74" s="12" t="s">
        <v>46</v>
      </c>
      <c r="H74" s="13"/>
      <c r="I74" s="13">
        <v>13779.4</v>
      </c>
      <c r="J74" s="9"/>
    </row>
    <row r="75" spans="1:10" s="14" customFormat="1" ht="13.8">
      <c r="A75" s="15"/>
      <c r="B75" s="9"/>
      <c r="C75" s="10"/>
      <c r="D75" s="8"/>
      <c r="E75" s="11"/>
      <c r="F75" s="12" t="str">
        <f>IF(E75&gt;0,(VLOOKUP(E75,'Blnct AR'!$C$2:$D$2259,2,0))," ")</f>
        <v xml:space="preserve"> </v>
      </c>
      <c r="G75" s="12"/>
      <c r="H75" s="13"/>
      <c r="I75" s="13"/>
      <c r="J75" s="9"/>
    </row>
    <row r="76" spans="1:10" s="14" customFormat="1" ht="13.8">
      <c r="A76" s="16" t="s">
        <v>47</v>
      </c>
      <c r="B76" s="9"/>
      <c r="C76" s="10">
        <f>+C75</f>
        <v>0</v>
      </c>
      <c r="D76" s="8" t="s">
        <v>26</v>
      </c>
      <c r="E76" s="11">
        <v>752262</v>
      </c>
      <c r="F76" s="12" t="str">
        <f>IF(E76&gt;0,(VLOOKUP(E76,'Blnct AR'!$C$2:$D$2259,2,0))," ")</f>
        <v>Edifícios e outras construções</v>
      </c>
      <c r="G76" s="12" t="s">
        <v>48</v>
      </c>
      <c r="H76" s="13">
        <v>0</v>
      </c>
      <c r="I76" s="13"/>
      <c r="J76" s="9"/>
    </row>
    <row r="77" spans="1:10" s="14" customFormat="1" ht="13.8">
      <c r="A77" s="15" t="str">
        <f>+A76</f>
        <v>Obras</v>
      </c>
      <c r="B77" s="9"/>
      <c r="C77" s="10">
        <f>+C76</f>
        <v>0</v>
      </c>
      <c r="D77" s="8" t="str">
        <f>+D76</f>
        <v>Dsp_FST</v>
      </c>
      <c r="E77" s="11">
        <v>4511</v>
      </c>
      <c r="F77" s="12" t="str">
        <f>IF(E77&gt;0,(VLOOKUP(E77,'Blnct AR'!$C$2:$D$2259,2,0))," ")</f>
        <v>Caixa Kwanza</v>
      </c>
      <c r="G77" s="12" t="s">
        <v>48</v>
      </c>
      <c r="H77" s="13"/>
      <c r="I77" s="13">
        <v>0</v>
      </c>
      <c r="J77" s="9"/>
    </row>
    <row r="78" spans="1:10" s="14" customFormat="1" ht="13.8">
      <c r="A78" s="15"/>
      <c r="B78" s="9"/>
      <c r="C78" s="10"/>
      <c r="D78" s="8"/>
      <c r="E78" s="11"/>
      <c r="F78" s="12"/>
      <c r="G78" s="12"/>
      <c r="H78" s="13"/>
      <c r="I78" s="13"/>
      <c r="J78" s="9"/>
    </row>
    <row r="79" spans="1:10" s="14" customFormat="1" ht="13.8">
      <c r="A79" s="16" t="s">
        <v>49</v>
      </c>
      <c r="B79" s="9"/>
      <c r="C79" s="10">
        <f>+C75</f>
        <v>0</v>
      </c>
      <c r="D79" s="8" t="s">
        <v>26</v>
      </c>
      <c r="E79" s="11">
        <v>4511</v>
      </c>
      <c r="F79" s="12" t="str">
        <f>IF(E79&gt;0,(VLOOKUP(E79,'Blnct AR'!$C$2:$D$2259,2,0))," ")</f>
        <v>Caixa Kwanza</v>
      </c>
      <c r="G79" s="12" t="s">
        <v>50</v>
      </c>
      <c r="H79" s="13"/>
      <c r="I79" s="13">
        <v>10000</v>
      </c>
      <c r="J79" s="9"/>
    </row>
    <row r="80" spans="1:10" s="14" customFormat="1" ht="13.8">
      <c r="A80" s="15" t="str">
        <f>+A79</f>
        <v>Revisões</v>
      </c>
      <c r="B80" s="9"/>
      <c r="C80" s="10">
        <f>+C79</f>
        <v>0</v>
      </c>
      <c r="D80" s="8" t="str">
        <f>+D79</f>
        <v>Dsp_FST</v>
      </c>
      <c r="E80" s="11">
        <v>752144</v>
      </c>
      <c r="F80" s="12" t="str">
        <f>IF(E80&gt;0,(VLOOKUP(E80,'Blnct AR'!$C$2:$D$2259,2,0))," ")</f>
        <v>Equipamento de carga e transporte</v>
      </c>
      <c r="G80" s="12" t="s">
        <v>51</v>
      </c>
      <c r="H80" s="13">
        <v>7000</v>
      </c>
      <c r="I80" s="13"/>
      <c r="J80" s="9"/>
    </row>
    <row r="81" spans="1:10" s="14" customFormat="1" ht="13.8">
      <c r="A81" s="15" t="str">
        <f>+A80</f>
        <v>Revisões</v>
      </c>
      <c r="B81" s="9"/>
      <c r="C81" s="10">
        <f>+C80</f>
        <v>0</v>
      </c>
      <c r="D81" s="8" t="s">
        <v>26</v>
      </c>
      <c r="E81" s="11">
        <v>752264</v>
      </c>
      <c r="F81" s="12" t="str">
        <f>IF(E81&gt;0,(VLOOKUP(E81,'Blnct AR'!$C$2:$D$2259,2,0))," ")</f>
        <v>Equipamento de carga e transporte</v>
      </c>
      <c r="G81" s="12" t="s">
        <v>52</v>
      </c>
      <c r="H81" s="13">
        <v>3000</v>
      </c>
      <c r="I81" s="13"/>
      <c r="J81" s="9"/>
    </row>
    <row r="82" spans="1:10" s="14" customFormat="1" ht="13.8">
      <c r="A82" s="15"/>
      <c r="B82" s="9"/>
      <c r="C82" s="10"/>
      <c r="D82" s="8"/>
      <c r="E82" s="11"/>
      <c r="F82" s="12"/>
      <c r="G82" s="12"/>
      <c r="H82" s="13"/>
      <c r="I82" s="13"/>
      <c r="J82" s="9"/>
    </row>
    <row r="83" spans="1:10" s="14" customFormat="1" ht="13.8">
      <c r="A83" s="15" t="s">
        <v>53</v>
      </c>
      <c r="B83" s="9"/>
      <c r="C83" s="10">
        <f>+C82</f>
        <v>0</v>
      </c>
      <c r="D83" s="8" t="s">
        <v>26</v>
      </c>
      <c r="E83" s="11">
        <v>752149</v>
      </c>
      <c r="F83" s="12" t="str">
        <f>IF(E83&gt;0,(VLOOKUP(E83,'Blnct AR'!$C$2:$D$2259,2,0))," ")</f>
        <v>Outras</v>
      </c>
      <c r="G83" s="12" t="s">
        <v>54</v>
      </c>
      <c r="H83" s="13">
        <v>70700</v>
      </c>
      <c r="I83" s="13"/>
      <c r="J83" s="9"/>
    </row>
    <row r="84" spans="1:10" s="14" customFormat="1" ht="13.8">
      <c r="A84" s="15" t="str">
        <f>+A83</f>
        <v>Outr_Mat</v>
      </c>
      <c r="B84" s="9"/>
      <c r="C84" s="10">
        <f>+C83</f>
        <v>0</v>
      </c>
      <c r="D84" s="8" t="str">
        <f>+D83</f>
        <v>Dsp_FST</v>
      </c>
      <c r="E84" s="11">
        <v>4511</v>
      </c>
      <c r="F84" s="12" t="str">
        <f>IF(E84&gt;0,(VLOOKUP(E84,'Blnct AR'!$C$2:$D$2259,2,0))," ")</f>
        <v>Caixa Kwanza</v>
      </c>
      <c r="G84" s="12" t="s">
        <v>54</v>
      </c>
      <c r="H84" s="13"/>
      <c r="I84" s="13">
        <v>70700</v>
      </c>
      <c r="J84" s="9"/>
    </row>
    <row r="85" spans="1:10" s="14" customFormat="1" ht="13.8">
      <c r="A85" s="15"/>
      <c r="B85" s="9"/>
      <c r="C85" s="10"/>
      <c r="D85" s="8"/>
      <c r="E85" s="11"/>
      <c r="F85" s="12"/>
      <c r="G85" s="12"/>
      <c r="H85" s="13"/>
      <c r="I85" s="13"/>
      <c r="J85" s="9"/>
    </row>
    <row r="86" spans="1:10" s="14" customFormat="1" ht="13.8">
      <c r="A86" s="15" t="s">
        <v>55</v>
      </c>
      <c r="B86" s="9"/>
      <c r="C86" s="10">
        <v>0</v>
      </c>
      <c r="D86" s="8" t="s">
        <v>26</v>
      </c>
      <c r="E86" s="11">
        <v>752191</v>
      </c>
      <c r="F86" s="12" t="s">
        <v>56</v>
      </c>
      <c r="G86" s="12" t="s">
        <v>57</v>
      </c>
      <c r="H86" s="13">
        <v>13779.4</v>
      </c>
      <c r="I86" s="13"/>
      <c r="J86" s="9"/>
    </row>
    <row r="87" spans="1:10" s="14" customFormat="1" ht="13.8">
      <c r="A87" s="15" t="s">
        <v>55</v>
      </c>
      <c r="B87" s="9"/>
      <c r="C87" s="10">
        <v>0</v>
      </c>
      <c r="D87" s="8" t="s">
        <v>26</v>
      </c>
      <c r="E87" s="11">
        <v>4511</v>
      </c>
      <c r="F87" s="12" t="s">
        <v>58</v>
      </c>
      <c r="G87" s="12" t="s">
        <v>57</v>
      </c>
      <c r="H87" s="13"/>
      <c r="I87" s="13">
        <v>13779.4</v>
      </c>
      <c r="J87" s="9"/>
    </row>
    <row r="88" spans="1:10" s="14" customFormat="1" ht="13.8">
      <c r="A88" s="16"/>
      <c r="B88" s="9"/>
      <c r="E88" s="24"/>
      <c r="F88" s="12" t="str">
        <f>IF(E88&gt;0,(VLOOKUP(E88,'Blnct AR'!$C$2:$D$2259,2,0))," ")</f>
        <v xml:space="preserve"> </v>
      </c>
      <c r="G88" s="24"/>
      <c r="H88" s="19"/>
      <c r="I88" s="19"/>
      <c r="J88" s="9"/>
    </row>
    <row r="89" spans="1:10" s="14" customFormat="1" ht="13.8">
      <c r="A89" s="16" t="s">
        <v>59</v>
      </c>
      <c r="B89" s="9"/>
      <c r="C89" s="10">
        <f>+C88</f>
        <v>0</v>
      </c>
      <c r="D89" s="8" t="s">
        <v>26</v>
      </c>
      <c r="E89" s="11">
        <v>4511</v>
      </c>
      <c r="F89" s="12" t="str">
        <f>IF(E89&gt;0,(VLOOKUP(E89,'Blnct AR'!$C$2:$D$2259,2,0))," ")</f>
        <v>Caixa Kwanza</v>
      </c>
      <c r="G89" s="12" t="s">
        <v>60</v>
      </c>
      <c r="H89" s="20"/>
      <c r="I89" s="20">
        <v>1000</v>
      </c>
      <c r="J89" s="9"/>
    </row>
    <row r="90" spans="1:10" s="14" customFormat="1" ht="13.8">
      <c r="A90" s="15" t="str">
        <f>+A89</f>
        <v>Mat_Escrt</v>
      </c>
      <c r="B90" s="9"/>
      <c r="C90" s="10">
        <f>+C89</f>
        <v>0</v>
      </c>
      <c r="D90" s="8" t="s">
        <v>26</v>
      </c>
      <c r="E90" s="11">
        <v>75217</v>
      </c>
      <c r="F90" s="12" t="str">
        <f>IF(E90&gt;0,(VLOOKUP(E90,'Blnct AR'!$C$2:$D$2259,2,0))," ")</f>
        <v>Material de escritório</v>
      </c>
      <c r="G90" s="12" t="s">
        <v>60</v>
      </c>
      <c r="H90" s="20">
        <v>1000</v>
      </c>
      <c r="I90" s="13"/>
      <c r="J90" s="9"/>
    </row>
    <row r="91" spans="1:10" s="14" customFormat="1" ht="13.8">
      <c r="A91" s="15"/>
      <c r="B91" s="9"/>
      <c r="C91" s="10"/>
      <c r="D91" s="8"/>
      <c r="E91" s="11"/>
      <c r="F91" s="12"/>
      <c r="G91" s="12"/>
      <c r="H91" s="20"/>
      <c r="I91" s="13"/>
      <c r="J91" s="9"/>
    </row>
    <row r="92" spans="1:10" s="14" customFormat="1" ht="13.8">
      <c r="A92" s="15" t="s">
        <v>61</v>
      </c>
      <c r="B92" s="9"/>
      <c r="C92" s="10">
        <f>+C91</f>
        <v>0</v>
      </c>
      <c r="D92" s="8" t="s">
        <v>26</v>
      </c>
      <c r="E92" s="11">
        <v>4511</v>
      </c>
      <c r="F92" s="12" t="str">
        <f>IF(E92&gt;0,(VLOOKUP(E92,'Blnct AR'!$C$2:$D$2259,2,0))," ")</f>
        <v>Caixa Kwanza</v>
      </c>
      <c r="G92" s="12" t="s">
        <v>62</v>
      </c>
      <c r="H92" s="20"/>
      <c r="I92" s="20">
        <v>589</v>
      </c>
      <c r="J92" s="9"/>
    </row>
    <row r="93" spans="1:10" s="14" customFormat="1" ht="13.8">
      <c r="A93" s="15" t="str">
        <f>+A92</f>
        <v>Eqpt_Adm</v>
      </c>
      <c r="B93" s="9"/>
      <c r="C93" s="10">
        <f>+C92</f>
        <v>0</v>
      </c>
      <c r="D93" s="8" t="s">
        <v>26</v>
      </c>
      <c r="E93" s="25">
        <v>752145</v>
      </c>
      <c r="F93" s="12" t="str">
        <f>IF(E93&gt;0,(VLOOKUP(E93,'Blnct AR'!$C$2:$D$2259,2,0))," ")</f>
        <v>Equipamento administrativo</v>
      </c>
      <c r="G93" s="12" t="s">
        <v>62</v>
      </c>
      <c r="H93" s="20">
        <v>589</v>
      </c>
      <c r="I93" s="13"/>
      <c r="J93" s="9"/>
    </row>
    <row r="94" spans="1:10" s="14" customFormat="1" ht="13.8">
      <c r="A94" s="15"/>
      <c r="B94" s="9"/>
      <c r="C94" s="10"/>
      <c r="D94" s="8"/>
      <c r="E94" s="11"/>
      <c r="F94" s="12"/>
      <c r="G94" s="12"/>
      <c r="H94" s="20"/>
      <c r="I94" s="13"/>
      <c r="J94" s="9"/>
    </row>
    <row r="95" spans="1:10" s="14" customFormat="1" ht="13.8">
      <c r="A95" s="15" t="s">
        <v>63</v>
      </c>
      <c r="B95" s="9"/>
      <c r="C95" s="10">
        <f>+C94</f>
        <v>0</v>
      </c>
      <c r="D95" s="8" t="s">
        <v>26</v>
      </c>
      <c r="E95" s="11">
        <v>4511</v>
      </c>
      <c r="F95" s="12" t="str">
        <f>IF(E95&gt;0,(VLOOKUP(E95,'Blnct AR'!$C$2:$D$2259,2,0))," ")</f>
        <v>Caixa Kwanza</v>
      </c>
      <c r="G95" s="12" t="s">
        <v>63</v>
      </c>
      <c r="H95" s="20"/>
      <c r="I95" s="20">
        <v>75000</v>
      </c>
      <c r="J95" s="9"/>
    </row>
    <row r="96" spans="1:10" s="14" customFormat="1" ht="13.8">
      <c r="A96" s="15" t="str">
        <f>+A95</f>
        <v>Contabilidade</v>
      </c>
      <c r="B96" s="9"/>
      <c r="C96" s="10">
        <f>+C95</f>
        <v>0</v>
      </c>
      <c r="D96" s="8" t="s">
        <v>26</v>
      </c>
      <c r="E96" s="11">
        <v>75325</v>
      </c>
      <c r="F96" s="12" t="str">
        <f>IF(E96&gt;0,(VLOOKUP(E96,'Blnct AR'!$C$2:$D$2259,2,0))," ")</f>
        <v>Serviços contabilisticos</v>
      </c>
      <c r="G96" s="12" t="s">
        <v>63</v>
      </c>
      <c r="H96" s="20">
        <v>75000</v>
      </c>
      <c r="I96" s="13"/>
      <c r="J96" s="9"/>
    </row>
    <row r="97" spans="1:10" s="14" customFormat="1" ht="13.8">
      <c r="A97" s="15"/>
      <c r="B97" s="9"/>
      <c r="C97" s="10"/>
      <c r="D97" s="8"/>
      <c r="E97" s="11"/>
      <c r="F97" s="12"/>
      <c r="G97" s="12"/>
      <c r="H97" s="20"/>
      <c r="I97" s="13"/>
      <c r="J97" s="9"/>
    </row>
    <row r="98" spans="1:10" s="14" customFormat="1" ht="13.8">
      <c r="A98" s="15" t="s">
        <v>64</v>
      </c>
      <c r="B98" s="9"/>
      <c r="C98" s="10">
        <f>+C97</f>
        <v>0</v>
      </c>
      <c r="D98" s="8" t="s">
        <v>26</v>
      </c>
      <c r="E98" s="11">
        <v>4511</v>
      </c>
      <c r="F98" s="12" t="str">
        <f>IF(E98&gt;0,(VLOOKUP(E98,'Blnct AR'!$C$2:$D$2259,2,0))," ")</f>
        <v>Caixa Kwanza</v>
      </c>
      <c r="G98" s="12" t="s">
        <v>65</v>
      </c>
      <c r="H98" s="20"/>
      <c r="I98" s="20">
        <v>237500</v>
      </c>
      <c r="J98" s="9"/>
    </row>
    <row r="99" spans="1:10" s="14" customFormat="1" ht="13.8">
      <c r="A99" s="15" t="str">
        <f>+A98</f>
        <v>Rendas</v>
      </c>
      <c r="B99" s="9"/>
      <c r="C99" s="10">
        <f>+C98</f>
        <v>0</v>
      </c>
      <c r="D99" s="8" t="s">
        <v>26</v>
      </c>
      <c r="E99" s="11">
        <v>752211</v>
      </c>
      <c r="F99" s="12" t="str">
        <f>IF(E99&gt;0,(VLOOKUP(E99,'Blnct AR'!$C$2:$D$2259,2,0))," ")</f>
        <v>Rendas de imóveis Prefor</v>
      </c>
      <c r="G99" s="12" t="s">
        <v>65</v>
      </c>
      <c r="H99" s="20">
        <v>237500</v>
      </c>
      <c r="I99" s="13"/>
      <c r="J99" s="9"/>
    </row>
    <row r="100" spans="1:10" s="14" customFormat="1" ht="13.8">
      <c r="A100" s="15"/>
      <c r="B100" s="9"/>
      <c r="C100" s="10"/>
      <c r="D100" s="8"/>
      <c r="E100" s="11"/>
      <c r="F100" s="12"/>
      <c r="G100" s="12"/>
      <c r="H100" s="20"/>
      <c r="I100" s="13"/>
      <c r="J100" s="9"/>
    </row>
    <row r="101" spans="1:10" s="14" customFormat="1" ht="13.8">
      <c r="A101" s="15" t="s">
        <v>66</v>
      </c>
      <c r="B101" s="9"/>
      <c r="C101" s="10">
        <f>+C100</f>
        <v>0</v>
      </c>
      <c r="D101" s="15" t="s">
        <v>67</v>
      </c>
      <c r="E101" s="11">
        <v>4511</v>
      </c>
      <c r="F101" s="12" t="str">
        <f>IF(E101&gt;0,(VLOOKUP(E101,'Blnct AR'!$C$2:$D$2259,2,0))," ")</f>
        <v>Caixa Kwanza</v>
      </c>
      <c r="G101" s="12" t="s">
        <v>68</v>
      </c>
      <c r="H101" s="20"/>
      <c r="I101" s="20">
        <v>75000</v>
      </c>
      <c r="J101" s="9"/>
    </row>
    <row r="102" spans="1:10" s="14" customFormat="1" ht="13.8">
      <c r="A102" s="15" t="str">
        <f>+A101</f>
        <v>Cpr_ViatPes</v>
      </c>
      <c r="B102" s="9"/>
      <c r="C102" s="10">
        <f>+C101</f>
        <v>0</v>
      </c>
      <c r="D102" s="15" t="str">
        <f>+D101</f>
        <v>Cmpr_Imo</v>
      </c>
      <c r="E102" s="11">
        <v>1141</v>
      </c>
      <c r="F102" s="12" t="str">
        <f>IF(E102&gt;0,(VLOOKUP(E102,'Blnct AR'!$C$2:$D$2259,2,0))," ")</f>
        <v>Veiculos pesados</v>
      </c>
      <c r="G102" s="12" t="s">
        <v>68</v>
      </c>
      <c r="H102" s="20">
        <v>75000</v>
      </c>
      <c r="I102" s="13"/>
      <c r="J102" s="9"/>
    </row>
    <row r="103" spans="1:10" s="14" customFormat="1" ht="13.8">
      <c r="A103" s="15"/>
      <c r="B103" s="9"/>
      <c r="C103" s="10"/>
      <c r="D103" s="15"/>
      <c r="E103" s="11"/>
      <c r="F103" s="12"/>
      <c r="G103" s="12"/>
      <c r="H103" s="20"/>
      <c r="I103" s="13"/>
      <c r="J103" s="9"/>
    </row>
    <row r="104" spans="1:10" s="14" customFormat="1" ht="13.8">
      <c r="A104" s="15" t="s">
        <v>69</v>
      </c>
      <c r="B104" s="9"/>
      <c r="C104" s="10">
        <f>+C103</f>
        <v>0</v>
      </c>
      <c r="D104" s="15" t="s">
        <v>67</v>
      </c>
      <c r="E104" s="11">
        <v>4511</v>
      </c>
      <c r="F104" s="12" t="str">
        <f>IF(E104&gt;0,(VLOOKUP(E104,'Blnct AR'!$C$2:$D$2259,2,0))," ")</f>
        <v>Caixa Kwanza</v>
      </c>
      <c r="G104" s="12" t="s">
        <v>70</v>
      </c>
      <c r="H104" s="20"/>
      <c r="I104" s="20">
        <v>75000</v>
      </c>
      <c r="J104" s="9"/>
    </row>
    <row r="105" spans="1:10" s="14" customFormat="1" ht="13.8">
      <c r="A105" s="15" t="str">
        <f>+A104</f>
        <v>Cpr_ViatLig</v>
      </c>
      <c r="B105" s="9"/>
      <c r="C105" s="10">
        <f>+C104</f>
        <v>0</v>
      </c>
      <c r="D105" s="15" t="str">
        <f>+D104</f>
        <v>Cmpr_Imo</v>
      </c>
      <c r="E105" s="11">
        <v>1142</v>
      </c>
      <c r="F105" s="12" t="str">
        <f>IF(E105&gt;0,(VLOOKUP(E105,'Blnct AR'!$C$2:$D$2259,2,0))," ")</f>
        <v>Veiculos mistos e ligeiros</v>
      </c>
      <c r="G105" s="12" t="s">
        <v>70</v>
      </c>
      <c r="H105" s="20">
        <v>75000</v>
      </c>
      <c r="I105" s="13"/>
      <c r="J105" s="9"/>
    </row>
    <row r="106" spans="1:10" s="14" customFormat="1" ht="13.8">
      <c r="A106" s="15"/>
      <c r="B106" s="9"/>
      <c r="C106" s="10"/>
      <c r="D106" s="8"/>
      <c r="E106" s="11"/>
      <c r="F106" s="12"/>
      <c r="G106" s="12"/>
      <c r="H106" s="20"/>
      <c r="I106" s="13"/>
      <c r="J106" s="9"/>
    </row>
    <row r="107" spans="1:10" s="14" customFormat="1" ht="13.8">
      <c r="A107" s="15" t="s">
        <v>71</v>
      </c>
      <c r="B107" s="9"/>
      <c r="C107" s="10">
        <f>+C106</f>
        <v>0</v>
      </c>
      <c r="D107" s="15" t="s">
        <v>72</v>
      </c>
      <c r="E107" s="11">
        <v>7314</v>
      </c>
      <c r="F107" s="12" t="str">
        <f>IF(E107&gt;0,(VLOOKUP(E107,'Blnct AR'!$C$2:$D$2259,2,0))," ")</f>
        <v>Equipamento de carga e transporte</v>
      </c>
      <c r="G107" s="12" t="s">
        <v>73</v>
      </c>
      <c r="H107" s="20">
        <v>75000</v>
      </c>
      <c r="I107" s="20"/>
      <c r="J107" s="9"/>
    </row>
    <row r="108" spans="1:10" s="14" customFormat="1" ht="13.8">
      <c r="A108" s="15" t="str">
        <f>+A107</f>
        <v>Imobilizado</v>
      </c>
      <c r="B108" s="9"/>
      <c r="C108" s="10">
        <f>+C107</f>
        <v>0</v>
      </c>
      <c r="D108" s="15" t="str">
        <f>+D107</f>
        <v>Amrtz_Imo</v>
      </c>
      <c r="E108" s="11">
        <v>1814</v>
      </c>
      <c r="F108" s="12" t="str">
        <f>IF(E108&gt;0,(VLOOKUP(E108,'Blnct AR'!$C$2:$D$2259,2,0))," ")</f>
        <v>Equipamento de carga e transporte</v>
      </c>
      <c r="G108" s="12" t="s">
        <v>73</v>
      </c>
      <c r="H108" s="20"/>
      <c r="I108" s="13">
        <v>75000</v>
      </c>
      <c r="J108" s="9"/>
    </row>
    <row r="109" spans="1:10" s="14" customFormat="1" ht="13.8">
      <c r="A109" s="15"/>
      <c r="B109" s="9"/>
      <c r="C109" s="10"/>
      <c r="D109" s="8"/>
      <c r="E109" s="11"/>
      <c r="F109" s="12"/>
      <c r="G109" s="12"/>
      <c r="H109" s="20"/>
      <c r="I109" s="13"/>
      <c r="J109" s="9"/>
    </row>
    <row r="110" spans="1:10" s="14" customFormat="1" ht="13.8">
      <c r="A110" s="15" t="s">
        <v>74</v>
      </c>
      <c r="B110" s="9"/>
      <c r="C110" s="10">
        <f>+C100</f>
        <v>0</v>
      </c>
      <c r="D110" s="23" t="s">
        <v>75</v>
      </c>
      <c r="E110" s="11">
        <v>43106</v>
      </c>
      <c r="F110" s="12" t="str">
        <f>IF(E110&gt;0,(VLOOKUP(E110,'Blnct AR'!$C$2:$D$2260,2,0))," ")</f>
        <v>Banco BIC - 118133685.15.1</v>
      </c>
      <c r="G110" s="11" t="s">
        <v>76</v>
      </c>
      <c r="H110" s="26"/>
      <c r="I110" s="26">
        <v>3500</v>
      </c>
      <c r="J110" s="9"/>
    </row>
    <row r="111" spans="1:10" s="14" customFormat="1" ht="13.8">
      <c r="A111" s="15" t="str">
        <f>+A110</f>
        <v>Alg_TPA</v>
      </c>
      <c r="B111" s="9"/>
      <c r="C111" s="10">
        <f>+C110</f>
        <v>0</v>
      </c>
      <c r="D111" s="15" t="str">
        <f>+D110</f>
        <v>Conc_Bnk_CxAng</v>
      </c>
      <c r="E111" s="11">
        <v>7678</v>
      </c>
      <c r="F111" s="12" t="str">
        <f>IF(E111&gt;0,(VLOOKUP(E111,'Blnct AR'!$C$2:$D$2260,2,0))," ")</f>
        <v>Sb - outros</v>
      </c>
      <c r="G111" s="11" t="s">
        <v>76</v>
      </c>
      <c r="H111" s="26">
        <v>3500</v>
      </c>
      <c r="I111" s="26"/>
      <c r="J111" s="9"/>
    </row>
    <row r="112" spans="1:10" s="14" customFormat="1" ht="13.8">
      <c r="A112" s="15"/>
      <c r="B112" s="9"/>
      <c r="C112" s="10"/>
      <c r="D112" s="23"/>
      <c r="E112" s="11"/>
      <c r="F112" s="12"/>
      <c r="G112" s="11"/>
      <c r="H112" s="26"/>
      <c r="I112" s="26"/>
      <c r="J112" s="9"/>
    </row>
    <row r="113" spans="1:10" s="14" customFormat="1" ht="13.8">
      <c r="A113" s="15" t="s">
        <v>77</v>
      </c>
      <c r="B113" s="9"/>
      <c r="C113" s="10">
        <f>+C112</f>
        <v>0</v>
      </c>
      <c r="D113" s="23" t="s">
        <v>75</v>
      </c>
      <c r="E113" s="11">
        <v>43106</v>
      </c>
      <c r="F113" s="12" t="str">
        <f>IF(E113&gt;0,(VLOOKUP(E113,'Blnct AR'!$C$2:$D$2260,2,0))," ")</f>
        <v>Banco BIC - 118133685.15.1</v>
      </c>
      <c r="G113" s="11" t="s">
        <v>78</v>
      </c>
      <c r="H113" s="26"/>
      <c r="I113" s="26">
        <v>4000</v>
      </c>
      <c r="J113" s="9"/>
    </row>
    <row r="114" spans="1:10" s="14" customFormat="1" ht="13.8">
      <c r="A114" s="15" t="str">
        <f>+A113</f>
        <v>Cheques</v>
      </c>
      <c r="B114" s="9"/>
      <c r="C114" s="10">
        <f>+C113</f>
        <v>0</v>
      </c>
      <c r="D114" s="15" t="str">
        <f>+D113</f>
        <v>Conc_Bnk_CxAng</v>
      </c>
      <c r="E114" s="11">
        <v>7671</v>
      </c>
      <c r="F114" s="12" t="str">
        <f>IF(E114&gt;0,(VLOOKUP(E114,'Blnct AR'!$C$2:$D$2260,2,0))," ")</f>
        <v>Sb - livros bancarios</v>
      </c>
      <c r="G114" s="11" t="s">
        <v>78</v>
      </c>
      <c r="H114" s="26">
        <v>4000</v>
      </c>
      <c r="I114" s="26"/>
      <c r="J114" s="9"/>
    </row>
    <row r="115" spans="1:10" s="14" customFormat="1" ht="13.8">
      <c r="A115" s="15"/>
      <c r="B115" s="9"/>
      <c r="C115" s="10"/>
      <c r="D115" s="23"/>
      <c r="E115" s="11"/>
      <c r="F115" s="12"/>
      <c r="G115" s="11"/>
      <c r="H115" s="26"/>
      <c r="I115" s="26"/>
      <c r="J115" s="9"/>
    </row>
    <row r="116" spans="1:10" s="14" customFormat="1" ht="13.8">
      <c r="A116" s="15" t="s">
        <v>79</v>
      </c>
      <c r="B116" s="9"/>
      <c r="C116" s="10">
        <f>+C115</f>
        <v>0</v>
      </c>
      <c r="D116" s="23" t="s">
        <v>75</v>
      </c>
      <c r="E116" s="11">
        <v>43106</v>
      </c>
      <c r="F116" s="12" t="str">
        <f>IF(E116&gt;0,(VLOOKUP(E116,'Blnct AR'!$C$2:$D$2260,2,0))," ")</f>
        <v>Banco BIC - 118133685.15.1</v>
      </c>
      <c r="G116" s="11" t="s">
        <v>80</v>
      </c>
      <c r="H116" s="26"/>
      <c r="I116" s="26">
        <v>601.5</v>
      </c>
      <c r="J116" s="9"/>
    </row>
    <row r="117" spans="1:10" s="14" customFormat="1" ht="13.8">
      <c r="A117" s="15" t="str">
        <f>+A116</f>
        <v>Imp_Selo_Bnk</v>
      </c>
      <c r="B117" s="9"/>
      <c r="C117" s="10">
        <f>+C116</f>
        <v>0</v>
      </c>
      <c r="D117" s="15" t="str">
        <f>+D116</f>
        <v>Conc_Bnk_CxAng</v>
      </c>
      <c r="E117" s="11">
        <v>34731334</v>
      </c>
      <c r="F117" s="12" t="str">
        <f>IF(E117&gt;0,(VLOOKUP(E117,'Blnct AR'!$C$2:$D$2260,2,0))," ")</f>
        <v>IS - recibos outros</v>
      </c>
      <c r="G117" s="11" t="s">
        <v>80</v>
      </c>
      <c r="H117" s="26">
        <v>601.5</v>
      </c>
      <c r="I117" s="26">
        <v>601.5</v>
      </c>
      <c r="J117" s="9"/>
    </row>
    <row r="118" spans="1:10" s="14" customFormat="1" ht="13.8">
      <c r="A118" s="15" t="str">
        <f>+A117</f>
        <v>Imp_Selo_Bnk</v>
      </c>
      <c r="B118" s="9"/>
      <c r="C118" s="10">
        <f>+C117</f>
        <v>0</v>
      </c>
      <c r="D118" s="15" t="str">
        <f>+D117</f>
        <v>Conc_Bnk_CxAng</v>
      </c>
      <c r="E118" s="11">
        <v>75311</v>
      </c>
      <c r="F118" s="12" t="str">
        <f>IF(E118&gt;0,(VLOOKUP(E118,'Blnct AR'!$C$2:$D$2260,2,0))," ")</f>
        <v>Imposto de selo</v>
      </c>
      <c r="G118" s="11" t="s">
        <v>80</v>
      </c>
      <c r="H118" s="26">
        <v>601.5</v>
      </c>
      <c r="I118" s="26"/>
      <c r="J118" s="9"/>
    </row>
    <row r="119" spans="1:10" s="14" customFormat="1" ht="13.8">
      <c r="A119" s="15"/>
      <c r="B119" s="9"/>
      <c r="C119" s="10"/>
      <c r="D119" s="15"/>
      <c r="E119" s="11"/>
      <c r="F119" s="12"/>
      <c r="G119" s="11"/>
      <c r="H119" s="26"/>
      <c r="I119" s="26"/>
      <c r="J119" s="9"/>
    </row>
    <row r="120" spans="1:10" s="14" customFormat="1" ht="13.8">
      <c r="A120" s="15" t="s">
        <v>81</v>
      </c>
      <c r="B120" s="9"/>
      <c r="C120" s="10">
        <f>+C119</f>
        <v>0</v>
      </c>
      <c r="D120" s="23" t="s">
        <v>75</v>
      </c>
      <c r="E120" s="11">
        <v>43106</v>
      </c>
      <c r="F120" s="12" t="str">
        <f>IF(E120&gt;0,(VLOOKUP(E120,'Blnct AR'!$C$2:$D$2260,2,0))," ")</f>
        <v>Banco BIC - 118133685.15.1</v>
      </c>
      <c r="G120" s="11" t="s">
        <v>82</v>
      </c>
      <c r="H120" s="26">
        <v>716515.05</v>
      </c>
      <c r="I120" s="26"/>
      <c r="J120" s="9"/>
    </row>
    <row r="121" spans="1:10" s="14" customFormat="1" ht="13.8">
      <c r="A121" s="15" t="str">
        <f>+A120</f>
        <v>Acrt_Sld</v>
      </c>
      <c r="B121" s="9"/>
      <c r="C121" s="10">
        <f>+C120</f>
        <v>0</v>
      </c>
      <c r="D121" s="23" t="str">
        <f>+D120</f>
        <v>Conc_Bnk_CxAng</v>
      </c>
      <c r="E121" s="11">
        <v>4511</v>
      </c>
      <c r="F121" s="12" t="str">
        <f>IF(E121&gt;0,(VLOOKUP(E121,'Blnct AR'!$C$2:$D$2260,2,0))," ")</f>
        <v>Caixa Kwanza</v>
      </c>
      <c r="G121" s="11" t="s">
        <v>82</v>
      </c>
      <c r="H121" s="26"/>
      <c r="I121" s="26">
        <v>716515.05</v>
      </c>
      <c r="J121" s="9"/>
    </row>
    <row r="122" spans="1:10" s="14" customFormat="1" ht="13.8">
      <c r="A122" s="15"/>
      <c r="B122" s="9"/>
      <c r="C122" s="10"/>
      <c r="D122" s="15"/>
      <c r="E122" s="11"/>
      <c r="F122" s="12"/>
      <c r="G122" s="11"/>
      <c r="H122" s="26"/>
      <c r="I122" s="26"/>
      <c r="J122" s="9"/>
    </row>
    <row r="123" spans="1:10" s="14" customFormat="1" ht="13.8">
      <c r="A123" s="15" t="s">
        <v>83</v>
      </c>
      <c r="B123" s="9"/>
      <c r="C123" s="10">
        <f>+C122</f>
        <v>0</v>
      </c>
      <c r="D123" s="23" t="s">
        <v>75</v>
      </c>
      <c r="E123" s="11">
        <v>43106</v>
      </c>
      <c r="F123" s="12" t="str">
        <f>IF(E123&gt;0,(VLOOKUP(E123,'Blnct AR'!$C$2:$D$2260,2,0))," ")</f>
        <v>Banco BIC - 118133685.15.1</v>
      </c>
      <c r="G123" s="11" t="s">
        <v>84</v>
      </c>
      <c r="H123" s="26"/>
      <c r="I123" s="26">
        <v>2750</v>
      </c>
      <c r="J123" s="9"/>
    </row>
    <row r="124" spans="1:10" s="14" customFormat="1" ht="13.8">
      <c r="A124" s="15" t="str">
        <f>+A123</f>
        <v>Desp_Bnk</v>
      </c>
      <c r="B124" s="9"/>
      <c r="C124" s="10">
        <f>+C123</f>
        <v>0</v>
      </c>
      <c r="D124" s="23" t="str">
        <f>+D123</f>
        <v>Conc_Bnk_CxAng</v>
      </c>
      <c r="E124" s="11">
        <v>7678</v>
      </c>
      <c r="F124" s="12" t="str">
        <f>IF(E124&gt;0,(VLOOKUP(E124,'Blnct AR'!$C$2:$D$2260,2,0))," ")</f>
        <v>Sb - outros</v>
      </c>
      <c r="G124" s="11" t="s">
        <v>84</v>
      </c>
      <c r="H124" s="26">
        <v>2750</v>
      </c>
      <c r="I124" s="26"/>
      <c r="J124" s="9"/>
    </row>
    <row r="125" spans="1:10" s="14" customFormat="1" ht="13.8">
      <c r="A125" s="15"/>
      <c r="B125" s="9"/>
      <c r="C125" s="10"/>
      <c r="D125" s="15"/>
      <c r="E125" s="11"/>
      <c r="F125" s="12"/>
      <c r="G125" s="11"/>
      <c r="H125" s="26"/>
      <c r="I125" s="26"/>
      <c r="J125" s="9"/>
    </row>
    <row r="126" spans="1:10" s="14" customFormat="1" ht="13.8">
      <c r="A126" s="15" t="s">
        <v>85</v>
      </c>
      <c r="B126" s="9"/>
      <c r="C126" s="10">
        <f>+C125</f>
        <v>0</v>
      </c>
      <c r="D126" s="23" t="s">
        <v>75</v>
      </c>
      <c r="E126" s="11">
        <v>43106</v>
      </c>
      <c r="F126" s="12" t="str">
        <f>IF(E126&gt;0,(VLOOKUP(E126,'Blnct AR'!$C$2:$D$2260,2,0))," ")</f>
        <v>Banco BIC - 118133685.15.1</v>
      </c>
      <c r="G126" s="11" t="s">
        <v>84</v>
      </c>
      <c r="H126" s="26"/>
      <c r="I126" s="26">
        <v>2750</v>
      </c>
      <c r="J126" s="9"/>
    </row>
    <row r="127" spans="1:10" s="14" customFormat="1" ht="13.8">
      <c r="A127" s="15" t="str">
        <f>+A126</f>
        <v>Amrtzc_ELD</v>
      </c>
      <c r="B127" s="9"/>
      <c r="C127" s="10">
        <f>+C126</f>
        <v>0</v>
      </c>
      <c r="D127" s="23" t="str">
        <f>+D126</f>
        <v>Conc_Bnk_CxAng</v>
      </c>
      <c r="E127" s="11">
        <v>7678</v>
      </c>
      <c r="F127" s="12" t="str">
        <f>IF(E127&gt;0,(VLOOKUP(E127,'Blnct AR'!$C$2:$D$2260,2,0))," ")</f>
        <v>Sb - outros</v>
      </c>
      <c r="G127" s="11" t="s">
        <v>84</v>
      </c>
      <c r="H127" s="26">
        <v>2750</v>
      </c>
      <c r="I127" s="26"/>
      <c r="J127" s="9"/>
    </row>
    <row r="128" spans="1:10" s="14" customFormat="1" ht="13.8">
      <c r="A128" s="16"/>
      <c r="B128" s="9"/>
      <c r="E128" s="24"/>
      <c r="F128" s="24"/>
      <c r="G128" s="24"/>
      <c r="H128" s="19"/>
      <c r="I128" s="19"/>
      <c r="J128" s="9"/>
    </row>
    <row r="129" spans="1:10" s="14" customFormat="1" ht="13.8">
      <c r="A129" s="16" t="s">
        <v>86</v>
      </c>
      <c r="B129" s="9"/>
      <c r="C129" s="10">
        <f t="shared" ref="C129:C137" si="3">+C128</f>
        <v>0</v>
      </c>
      <c r="D129" s="23" t="s">
        <v>87</v>
      </c>
      <c r="E129" s="11">
        <v>61321</v>
      </c>
      <c r="F129" s="12" t="str">
        <f>IF(E129&gt;0,(VLOOKUP(E129,'Blnct AR'!$C$2:$D$2259,2,0))," ")</f>
        <v>Mercado africano</v>
      </c>
      <c r="G129" s="11" t="s">
        <v>88</v>
      </c>
      <c r="H129" s="13"/>
      <c r="I129" s="13">
        <v>2874000</v>
      </c>
      <c r="J129" s="9"/>
    </row>
    <row r="130" spans="1:10" s="14" customFormat="1" ht="13.8">
      <c r="A130" s="15" t="str">
        <f t="shared" ref="A130:A137" si="4">+A129</f>
        <v>Exportação</v>
      </c>
      <c r="B130" s="9"/>
      <c r="C130" s="10">
        <f t="shared" si="3"/>
        <v>0</v>
      </c>
      <c r="D130" s="15" t="str">
        <f t="shared" ref="D130:D137" si="5">+D129</f>
        <v>Exp_Mer</v>
      </c>
      <c r="E130" s="11">
        <v>311221</v>
      </c>
      <c r="F130" s="12" t="str">
        <f>IF(E130&gt;0,(VLOOKUP(E130,'Blnct AR'!$C$2:$D$2259,2,0))," ")</f>
        <v>Estrangeiros</v>
      </c>
      <c r="G130" s="11" t="s">
        <v>88</v>
      </c>
      <c r="H130" s="13">
        <v>2874000</v>
      </c>
      <c r="I130" s="19"/>
      <c r="J130" s="9"/>
    </row>
    <row r="131" spans="1:10" s="14" customFormat="1" ht="13.8">
      <c r="A131" s="15" t="str">
        <f t="shared" si="4"/>
        <v>Exportação</v>
      </c>
      <c r="B131" s="9"/>
      <c r="C131" s="10">
        <f t="shared" si="3"/>
        <v>0</v>
      </c>
      <c r="D131" s="15" t="str">
        <f t="shared" si="5"/>
        <v>Exp_Mer</v>
      </c>
      <c r="E131" s="11">
        <v>2611</v>
      </c>
      <c r="F131" s="12" t="str">
        <f>IF(E131&gt;0,(VLOOKUP(E131,'Blnct AR'!$C$2:$D$2259,2,0))," ")</f>
        <v>Merc-Existências</v>
      </c>
      <c r="G131" s="11" t="s">
        <v>89</v>
      </c>
      <c r="H131" s="13"/>
      <c r="I131" s="13">
        <f>I129*100/145</f>
        <v>1982068.9655172413</v>
      </c>
      <c r="J131" s="9"/>
    </row>
    <row r="132" spans="1:10" s="14" customFormat="1" ht="13.8">
      <c r="A132" s="15" t="str">
        <f t="shared" si="4"/>
        <v>Exportação</v>
      </c>
      <c r="B132" s="9"/>
      <c r="C132" s="10">
        <f t="shared" si="3"/>
        <v>0</v>
      </c>
      <c r="D132" s="15" t="str">
        <f t="shared" si="5"/>
        <v>Exp_Mer</v>
      </c>
      <c r="E132" s="11">
        <v>7161</v>
      </c>
      <c r="F132" s="12" t="str">
        <f>IF(E132&gt;0,(VLOOKUP(E132,'Blnct AR'!$C$2:$D$2259,2,0))," ")</f>
        <v>Mr - cevc</v>
      </c>
      <c r="G132" s="11" t="s">
        <v>89</v>
      </c>
      <c r="H132" s="13">
        <f>H130*100/145</f>
        <v>1982068.9655172413</v>
      </c>
      <c r="I132" s="19"/>
      <c r="J132" s="9"/>
    </row>
    <row r="133" spans="1:10" s="14" customFormat="1" ht="13.8">
      <c r="A133" s="15" t="str">
        <f t="shared" si="4"/>
        <v>Exportação</v>
      </c>
      <c r="B133" s="9"/>
      <c r="C133" s="10">
        <f t="shared" si="3"/>
        <v>0</v>
      </c>
      <c r="D133" s="15" t="str">
        <f t="shared" si="5"/>
        <v>Exp_Mer</v>
      </c>
      <c r="E133" s="11">
        <v>311221</v>
      </c>
      <c r="F133" s="12" t="str">
        <f>IF(E133&gt;0,(VLOOKUP(E133,'Blnct AR'!$C$2:$D$2259,2,0))," ")</f>
        <v>Estrangeiros</v>
      </c>
      <c r="G133" s="11" t="s">
        <v>90</v>
      </c>
      <c r="H133" s="19"/>
      <c r="I133" s="13">
        <v>2874000</v>
      </c>
      <c r="J133" s="9"/>
    </row>
    <row r="134" spans="1:10" s="14" customFormat="1" ht="13.8">
      <c r="A134" s="15" t="str">
        <f t="shared" si="4"/>
        <v>Exportação</v>
      </c>
      <c r="B134" s="9"/>
      <c r="C134" s="10">
        <f t="shared" si="3"/>
        <v>0</v>
      </c>
      <c r="D134" s="15" t="str">
        <f t="shared" si="5"/>
        <v>Exp_Mer</v>
      </c>
      <c r="E134" s="11">
        <v>4511</v>
      </c>
      <c r="F134" s="12" t="str">
        <f>IF(E134&gt;0,(VLOOKUP(E134,'Blnct AR'!$C$2:$D$2259,2,0))," ")</f>
        <v>Caixa Kwanza</v>
      </c>
      <c r="G134" s="11" t="s">
        <v>90</v>
      </c>
      <c r="H134" s="13">
        <v>2874000</v>
      </c>
      <c r="I134" s="13"/>
      <c r="J134" s="9"/>
    </row>
    <row r="135" spans="1:10" s="14" customFormat="1" ht="13.8">
      <c r="A135" s="15" t="str">
        <f t="shared" si="4"/>
        <v>Exportação</v>
      </c>
      <c r="B135" s="9"/>
      <c r="C135" s="10">
        <f t="shared" si="3"/>
        <v>0</v>
      </c>
      <c r="D135" s="15" t="str">
        <f t="shared" si="5"/>
        <v>Exp_Mer</v>
      </c>
      <c r="E135" s="24">
        <v>3492</v>
      </c>
      <c r="F135" s="12" t="str">
        <f>IF(E135&gt;0,(VLOOKUP(E135,'Blnct AR'!$C$2:$D$2259,2,0))," ")</f>
        <v>Contribuição Especial Sobre Operações Cambiais de Invisiveis Correntes</v>
      </c>
      <c r="G135" s="11" t="s">
        <v>91</v>
      </c>
      <c r="H135" s="13">
        <f>I129*1%</f>
        <v>28740</v>
      </c>
      <c r="I135" s="13">
        <f>I129*1%</f>
        <v>28740</v>
      </c>
      <c r="J135" s="9"/>
    </row>
    <row r="136" spans="1:10" s="14" customFormat="1" ht="13.8">
      <c r="A136" s="15" t="str">
        <f t="shared" si="4"/>
        <v>Exportação</v>
      </c>
      <c r="B136" s="9"/>
      <c r="C136" s="10">
        <f t="shared" si="3"/>
        <v>0</v>
      </c>
      <c r="D136" s="15" t="str">
        <f t="shared" si="5"/>
        <v>Exp_Mer</v>
      </c>
      <c r="E136" s="11">
        <v>4511</v>
      </c>
      <c r="F136" s="12" t="str">
        <f>IF(E136&gt;0,(VLOOKUP(E136,'Blnct AR'!$C$2:$D$2259,2,0))," ")</f>
        <v>Caixa Kwanza</v>
      </c>
      <c r="G136" s="11" t="s">
        <v>91</v>
      </c>
      <c r="H136" s="13"/>
      <c r="I136" s="13">
        <f>I129*1%</f>
        <v>28740</v>
      </c>
      <c r="J136" s="9"/>
    </row>
    <row r="137" spans="1:10" s="14" customFormat="1" ht="13.8">
      <c r="A137" s="15" t="str">
        <f t="shared" si="4"/>
        <v>Exportação</v>
      </c>
      <c r="B137" s="9"/>
      <c r="C137" s="10">
        <f t="shared" si="3"/>
        <v>0</v>
      </c>
      <c r="D137" s="15" t="str">
        <f t="shared" si="5"/>
        <v>Exp_Mer</v>
      </c>
      <c r="E137" s="24">
        <v>753132</v>
      </c>
      <c r="F137" s="12" t="e">
        <f>IF(E137&gt;0,(VLOOKUP(E137,'Blnct AR'!$C$2:$D$2259,2,0))," ")</f>
        <v>#N/A</v>
      </c>
      <c r="G137" s="11" t="s">
        <v>91</v>
      </c>
      <c r="H137" s="13">
        <f>I129*1%</f>
        <v>28740</v>
      </c>
      <c r="I137" s="13"/>
      <c r="J137" s="9"/>
    </row>
    <row r="138" spans="1:10" s="14" customFormat="1" ht="13.8">
      <c r="A138" s="16"/>
      <c r="B138" s="9"/>
      <c r="E138" s="24"/>
      <c r="F138" s="24"/>
      <c r="G138" s="24"/>
      <c r="H138" s="19"/>
      <c r="I138" s="19"/>
      <c r="J138" s="9"/>
    </row>
    <row r="139" spans="1:10" s="14" customFormat="1" ht="13.8">
      <c r="A139" s="16" t="s">
        <v>92</v>
      </c>
      <c r="B139" s="9"/>
      <c r="C139" s="10">
        <f t="shared" ref="C139:C149" si="6">+C138</f>
        <v>0</v>
      </c>
      <c r="D139" s="23" t="s">
        <v>93</v>
      </c>
      <c r="E139" s="11">
        <v>2121221</v>
      </c>
      <c r="F139" s="12" t="str">
        <f>IF(E139&gt;0,(VLOOKUP(E139,'Blnct AR'!$C$2:$D$2259,2,0))," ")</f>
        <v>Mr.OM-Custo de factura</v>
      </c>
      <c r="G139" s="21" t="s">
        <v>94</v>
      </c>
      <c r="H139" s="13">
        <v>5628800</v>
      </c>
      <c r="I139" s="13">
        <v>5628800</v>
      </c>
      <c r="J139" s="9"/>
    </row>
    <row r="140" spans="1:10" s="14" customFormat="1" ht="13.8">
      <c r="A140" s="15" t="str">
        <f t="shared" ref="A140:A149" si="7">+A139</f>
        <v>Importação</v>
      </c>
      <c r="B140" s="9"/>
      <c r="C140" s="10">
        <f t="shared" si="6"/>
        <v>0</v>
      </c>
      <c r="D140" s="15" t="str">
        <f t="shared" ref="D140:D149" si="8">+D139</f>
        <v>Imp_Mrc</v>
      </c>
      <c r="E140" s="11">
        <v>2611</v>
      </c>
      <c r="F140" s="12" t="str">
        <f>IF(E140&gt;0,(VLOOKUP(E140,'Blnct AR'!$C$2:$D$2259,2,0))," ")</f>
        <v>Merc-Existências</v>
      </c>
      <c r="G140" s="21" t="s">
        <v>95</v>
      </c>
      <c r="H140" s="13">
        <v>5628800</v>
      </c>
      <c r="I140" s="13"/>
      <c r="J140" s="9"/>
    </row>
    <row r="141" spans="1:10" s="14" customFormat="1" ht="13.8">
      <c r="A141" s="15" t="str">
        <f t="shared" si="7"/>
        <v>Importação</v>
      </c>
      <c r="B141" s="9"/>
      <c r="C141" s="10">
        <f t="shared" si="6"/>
        <v>0</v>
      </c>
      <c r="D141" s="15" t="str">
        <f t="shared" si="8"/>
        <v>Imp_Mrc</v>
      </c>
      <c r="E141" s="11">
        <v>4511</v>
      </c>
      <c r="F141" s="12" t="str">
        <f>IF(E141&gt;0,(VLOOKUP(E141,'Blnct AR'!$C$2:$D$2259,2,0))," ")</f>
        <v>Caixa Kwanza</v>
      </c>
      <c r="G141" s="21" t="s">
        <v>96</v>
      </c>
      <c r="H141" s="13"/>
      <c r="I141" s="13">
        <v>5628800</v>
      </c>
      <c r="J141" s="9"/>
    </row>
    <row r="142" spans="1:10" s="14" customFormat="1" ht="13.8">
      <c r="A142" s="15" t="str">
        <f t="shared" si="7"/>
        <v>Importação</v>
      </c>
      <c r="B142" s="9"/>
      <c r="C142" s="10">
        <f t="shared" si="6"/>
        <v>0</v>
      </c>
      <c r="D142" s="15" t="str">
        <f t="shared" si="8"/>
        <v>Imp_Mrc</v>
      </c>
      <c r="E142" s="11">
        <v>32122001</v>
      </c>
      <c r="F142" s="12" t="str">
        <f>IF(E142&gt;0,(VLOOKUP(E142,'Blnct AR'!$C$2:$D$2259,2,0))," ")</f>
        <v>Pulicações Directas,S.A.</v>
      </c>
      <c r="G142" s="21" t="s">
        <v>97</v>
      </c>
      <c r="H142" s="13">
        <v>5628800</v>
      </c>
      <c r="I142" s="13">
        <v>5628800</v>
      </c>
      <c r="J142" s="9"/>
    </row>
    <row r="143" spans="1:10" s="14" customFormat="1" ht="13.8">
      <c r="A143" s="15" t="str">
        <f t="shared" si="7"/>
        <v>Importação</v>
      </c>
      <c r="B143" s="9"/>
      <c r="C143" s="10">
        <f t="shared" si="6"/>
        <v>0</v>
      </c>
      <c r="D143" s="15" t="str">
        <f t="shared" si="8"/>
        <v>Imp_Mrc</v>
      </c>
      <c r="E143" s="24">
        <v>3491</v>
      </c>
      <c r="F143" s="12" t="str">
        <f>IF(E143&gt;0,(VLOOKUP(E143,'Blnct AR'!$C$2:$D$2259,2,0))," ")</f>
        <v>IPU</v>
      </c>
      <c r="G143" s="21" t="s">
        <v>98</v>
      </c>
      <c r="H143" s="13">
        <v>348000</v>
      </c>
      <c r="I143" s="13">
        <v>348000</v>
      </c>
      <c r="J143" s="9"/>
    </row>
    <row r="144" spans="1:10" s="14" customFormat="1" ht="13.8">
      <c r="A144" s="15" t="str">
        <f t="shared" si="7"/>
        <v>Importação</v>
      </c>
      <c r="B144" s="9"/>
      <c r="C144" s="10">
        <f t="shared" si="6"/>
        <v>0</v>
      </c>
      <c r="D144" s="15" t="str">
        <f t="shared" si="8"/>
        <v>Imp_Mrc</v>
      </c>
      <c r="E144" s="24">
        <v>3493</v>
      </c>
      <c r="F144" s="12" t="e">
        <f>IF(E144&gt;0,(VLOOKUP(E144,'Blnct AR'!$C$2:$D$2259,2,0))," ")</f>
        <v>#N/A</v>
      </c>
      <c r="G144" s="21" t="s">
        <v>98</v>
      </c>
      <c r="H144" s="13">
        <v>195000</v>
      </c>
      <c r="I144" s="13">
        <v>195000</v>
      </c>
      <c r="J144" s="9"/>
    </row>
    <row r="145" spans="1:10" s="14" customFormat="1" ht="13.8">
      <c r="A145" s="15" t="str">
        <f t="shared" si="7"/>
        <v>Importação</v>
      </c>
      <c r="B145" s="9"/>
      <c r="C145" s="10">
        <f t="shared" si="6"/>
        <v>0</v>
      </c>
      <c r="D145" s="15" t="str">
        <f t="shared" si="8"/>
        <v>Imp_Mrc</v>
      </c>
      <c r="E145" s="24">
        <v>3492</v>
      </c>
      <c r="F145" s="12" t="str">
        <f>IF(E145&gt;0,(VLOOKUP(E145,'Blnct AR'!$C$2:$D$2259,2,0))," ")</f>
        <v>Contribuição Especial Sobre Operações Cambiais de Invisiveis Correntes</v>
      </c>
      <c r="G145" s="21" t="s">
        <v>98</v>
      </c>
      <c r="H145" s="13">
        <v>56288</v>
      </c>
      <c r="I145" s="13">
        <v>56288</v>
      </c>
      <c r="J145" s="9"/>
    </row>
    <row r="146" spans="1:10" s="14" customFormat="1" ht="13.8">
      <c r="A146" s="15" t="str">
        <f t="shared" si="7"/>
        <v>Importação</v>
      </c>
      <c r="B146" s="9"/>
      <c r="C146" s="10">
        <f t="shared" si="6"/>
        <v>0</v>
      </c>
      <c r="D146" s="15" t="str">
        <f t="shared" si="8"/>
        <v>Imp_Mrc</v>
      </c>
      <c r="E146" s="24">
        <v>753131</v>
      </c>
      <c r="F146" s="12" t="e">
        <f>IF(E146&gt;0,(VLOOKUP(E146,'Blnct AR'!$C$2:$D$2259,2,0))," ")</f>
        <v>#N/A</v>
      </c>
      <c r="G146" s="21" t="s">
        <v>99</v>
      </c>
      <c r="H146" s="13">
        <v>348000</v>
      </c>
      <c r="I146" s="13"/>
      <c r="J146" s="9"/>
    </row>
    <row r="147" spans="1:10" s="14" customFormat="1" ht="13.8">
      <c r="A147" s="15" t="str">
        <f t="shared" si="7"/>
        <v>Importação</v>
      </c>
      <c r="B147" s="9"/>
      <c r="C147" s="10">
        <f t="shared" si="6"/>
        <v>0</v>
      </c>
      <c r="D147" s="15" t="str">
        <f t="shared" si="8"/>
        <v>Imp_Mrc</v>
      </c>
      <c r="E147" s="24">
        <v>75312</v>
      </c>
      <c r="F147" s="12" t="str">
        <f>IF(E147&gt;0,(VLOOKUP(E147,'Blnct AR'!$C$2:$D$2259,2,0))," ")</f>
        <v>Imposto de Produção e Consumo</v>
      </c>
      <c r="G147" s="21" t="s">
        <v>99</v>
      </c>
      <c r="H147" s="13">
        <v>195000</v>
      </c>
      <c r="I147" s="13"/>
      <c r="J147" s="9"/>
    </row>
    <row r="148" spans="1:10" s="14" customFormat="1" ht="13.8">
      <c r="A148" s="15" t="str">
        <f t="shared" si="7"/>
        <v>Importação</v>
      </c>
      <c r="B148" s="9"/>
      <c r="C148" s="10">
        <f t="shared" si="6"/>
        <v>0</v>
      </c>
      <c r="D148" s="15" t="str">
        <f t="shared" si="8"/>
        <v>Imp_Mrc</v>
      </c>
      <c r="E148" s="24">
        <v>753132</v>
      </c>
      <c r="F148" s="12" t="e">
        <f>IF(E148&gt;0,(VLOOKUP(E148,'Blnct AR'!$C$2:$D$2259,2,0))," ")</f>
        <v>#N/A</v>
      </c>
      <c r="G148" s="21" t="s">
        <v>99</v>
      </c>
      <c r="H148" s="13">
        <v>56288</v>
      </c>
      <c r="I148" s="13"/>
      <c r="J148" s="9"/>
    </row>
    <row r="149" spans="1:10" s="14" customFormat="1" ht="13.8">
      <c r="A149" s="15" t="str">
        <f t="shared" si="7"/>
        <v>Importação</v>
      </c>
      <c r="B149" s="9"/>
      <c r="C149" s="10">
        <f t="shared" si="6"/>
        <v>0</v>
      </c>
      <c r="D149" s="15" t="str">
        <f t="shared" si="8"/>
        <v>Imp_Mrc</v>
      </c>
      <c r="E149" s="11">
        <v>4511</v>
      </c>
      <c r="F149" s="12" t="str">
        <f>IF(E149&gt;0,(VLOOKUP(E149,'Blnct AR'!$C$2:$D$2259,2,0))," ")</f>
        <v>Caixa Kwanza</v>
      </c>
      <c r="G149" s="21" t="s">
        <v>100</v>
      </c>
      <c r="H149" s="13"/>
      <c r="I149" s="13">
        <v>599288</v>
      </c>
      <c r="J149" s="9"/>
    </row>
    <row r="150" spans="1:10" s="14" customFormat="1" ht="13.8">
      <c r="B150" s="9"/>
      <c r="E150" s="24"/>
      <c r="F150" s="24"/>
      <c r="G150" s="24"/>
      <c r="J150" s="9"/>
    </row>
    <row r="151" spans="1:10" s="14" customFormat="1" ht="13.8">
      <c r="A151" s="23" t="s">
        <v>101</v>
      </c>
      <c r="B151" s="9"/>
      <c r="C151" s="10">
        <f>+C1</f>
        <v>0</v>
      </c>
      <c r="D151" s="23" t="s">
        <v>102</v>
      </c>
      <c r="E151" s="11">
        <v>6111</v>
      </c>
      <c r="F151" s="12" t="str">
        <f>IF(E151&gt;0,(VLOOKUP(E151,'Blnct AR'!$C$2:$D$2259,2,0))," ")</f>
        <v>Vnd Mercado nacional</v>
      </c>
      <c r="G151" s="11" t="s">
        <v>103</v>
      </c>
      <c r="H151" s="13"/>
      <c r="I151" s="13">
        <v>3723400</v>
      </c>
      <c r="J151" s="9"/>
    </row>
    <row r="152" spans="1:10" s="14" customFormat="1" ht="13.8">
      <c r="A152" s="15" t="str">
        <f>+A151</f>
        <v>Vnd_Mer_Nac</v>
      </c>
      <c r="B152" s="9"/>
      <c r="C152" s="10">
        <f t="shared" ref="C152:D156" si="9">+C151</f>
        <v>0</v>
      </c>
      <c r="D152" s="15" t="str">
        <f t="shared" si="9"/>
        <v>Vnd_Merc</v>
      </c>
      <c r="E152" s="11">
        <v>31121002</v>
      </c>
      <c r="F152" s="12" t="str">
        <f>IF(E152&gt;0,(VLOOKUP(E152,'Blnct AR'!$C$2:$D$2259,2,0))," ")</f>
        <v>Afavias Engª &amp; Const Lda</v>
      </c>
      <c r="G152" s="11" t="s">
        <v>103</v>
      </c>
      <c r="H152" s="13">
        <v>3723400</v>
      </c>
      <c r="I152" s="19"/>
      <c r="J152" s="9"/>
    </row>
    <row r="153" spans="1:10" s="14" customFormat="1" ht="13.8">
      <c r="A153" s="15" t="str">
        <f>+A152</f>
        <v>Vnd_Mer_Nac</v>
      </c>
      <c r="B153" s="9"/>
      <c r="C153" s="10">
        <f t="shared" si="9"/>
        <v>0</v>
      </c>
      <c r="D153" s="15" t="str">
        <f t="shared" si="9"/>
        <v>Vnd_Merc</v>
      </c>
      <c r="E153" s="11">
        <v>2611</v>
      </c>
      <c r="F153" s="12" t="str">
        <f>IF(E153&gt;0,(VLOOKUP(E153,'Blnct AR'!$C$2:$D$2259,2,0))," ")</f>
        <v>Merc-Existências</v>
      </c>
      <c r="G153" s="11" t="s">
        <v>104</v>
      </c>
      <c r="H153" s="13"/>
      <c r="I153" s="13">
        <f>I151*100/142.5</f>
        <v>2612912.2807017546</v>
      </c>
      <c r="J153" s="9"/>
    </row>
    <row r="154" spans="1:10" s="14" customFormat="1" ht="13.8">
      <c r="A154" s="15" t="str">
        <f>+A153</f>
        <v>Vnd_Mer_Nac</v>
      </c>
      <c r="B154" s="9"/>
      <c r="C154" s="10">
        <f t="shared" si="9"/>
        <v>0</v>
      </c>
      <c r="D154" s="15" t="str">
        <f t="shared" si="9"/>
        <v>Vnd_Merc</v>
      </c>
      <c r="E154" s="11">
        <v>7161</v>
      </c>
      <c r="F154" s="12" t="str">
        <f>IF(E154&gt;0,(VLOOKUP(E154,'Blnct AR'!$C$2:$D$2259,2,0))," ")</f>
        <v>Mr - cevc</v>
      </c>
      <c r="G154" s="11" t="s">
        <v>104</v>
      </c>
      <c r="H154" s="13">
        <f>H152*100/142.5</f>
        <v>2612912.2807017546</v>
      </c>
      <c r="I154" s="19"/>
      <c r="J154" s="9"/>
    </row>
    <row r="155" spans="1:10" s="14" customFormat="1" ht="13.8">
      <c r="A155" s="15" t="str">
        <f>+A154</f>
        <v>Vnd_Mer_Nac</v>
      </c>
      <c r="B155" s="9"/>
      <c r="C155" s="10">
        <f t="shared" si="9"/>
        <v>0</v>
      </c>
      <c r="D155" s="15" t="str">
        <f t="shared" si="9"/>
        <v>Vnd_Merc</v>
      </c>
      <c r="E155" s="11">
        <v>31121002</v>
      </c>
      <c r="F155" s="12" t="str">
        <f>IF(E155&gt;0,(VLOOKUP(E155,'Blnct AR'!$C$2:$D$2259,2,0))," ")</f>
        <v>Afavias Engª &amp; Const Lda</v>
      </c>
      <c r="G155" s="11" t="s">
        <v>105</v>
      </c>
      <c r="H155" s="19"/>
      <c r="I155" s="13">
        <v>3723400</v>
      </c>
      <c r="J155" s="9"/>
    </row>
    <row r="156" spans="1:10" s="14" customFormat="1" ht="13.8">
      <c r="A156" s="15" t="str">
        <f>+A155</f>
        <v>Vnd_Mer_Nac</v>
      </c>
      <c r="B156" s="9"/>
      <c r="C156" s="10">
        <f t="shared" si="9"/>
        <v>0</v>
      </c>
      <c r="D156" s="15" t="str">
        <f t="shared" si="9"/>
        <v>Vnd_Merc</v>
      </c>
      <c r="E156" s="11">
        <v>4511</v>
      </c>
      <c r="F156" s="12" t="str">
        <f>IF(E156&gt;0,(VLOOKUP(E156,'Blnct AR'!$C$2:$D$2259,2,0))," ")</f>
        <v>Caixa Kwanza</v>
      </c>
      <c r="G156" s="11" t="s">
        <v>105</v>
      </c>
      <c r="H156" s="13">
        <v>3723400</v>
      </c>
      <c r="I156" s="13"/>
      <c r="J156" s="9"/>
    </row>
    <row r="157" spans="1:10" s="14" customFormat="1" ht="13.8">
      <c r="A157" s="16"/>
      <c r="B157" s="9"/>
      <c r="C157" s="27"/>
      <c r="D157" s="23"/>
      <c r="E157" s="11"/>
      <c r="F157" s="12" t="str">
        <f>IF(E157&gt;0,(VLOOKUP(E157,'Blnct AR'!$C$2:$D$2259,2,0))," ")</f>
        <v xml:space="preserve"> </v>
      </c>
      <c r="G157" s="11"/>
      <c r="H157" s="13"/>
      <c r="I157" s="13"/>
      <c r="J157" s="9"/>
    </row>
    <row r="158" spans="1:10" s="14" customFormat="1" ht="13.8">
      <c r="A158" s="23" t="s">
        <v>106</v>
      </c>
      <c r="B158" s="9"/>
      <c r="C158" s="10">
        <f>+C24</f>
        <v>0</v>
      </c>
      <c r="D158" s="23" t="s">
        <v>106</v>
      </c>
      <c r="E158" s="11">
        <v>212111</v>
      </c>
      <c r="F158" s="12" t="str">
        <f>IF(E158&gt;0,(VLOOKUP(E158,'Blnct AR'!$C$2:$D$2259,2,0))," ")</f>
        <v>Mr.MN-Custo de factura</v>
      </c>
      <c r="G158" s="21" t="s">
        <v>107</v>
      </c>
      <c r="H158" s="13">
        <v>30000</v>
      </c>
      <c r="I158" s="13">
        <v>30000</v>
      </c>
      <c r="J158" s="9"/>
    </row>
    <row r="159" spans="1:10" s="14" customFormat="1" ht="13.8">
      <c r="A159" s="15" t="str">
        <f>+A158</f>
        <v>Compr_Merc</v>
      </c>
      <c r="B159" s="9"/>
      <c r="C159" s="10">
        <f t="shared" ref="C159:D161" si="10">+C158</f>
        <v>0</v>
      </c>
      <c r="D159" s="15" t="str">
        <f t="shared" si="10"/>
        <v>Compr_Merc</v>
      </c>
      <c r="E159" s="11">
        <v>2611</v>
      </c>
      <c r="F159" s="12" t="str">
        <f>IF(E159&gt;0,(VLOOKUP(E159,'Blnct AR'!$C$2:$D$2259,2,0))," ")</f>
        <v>Merc-Existências</v>
      </c>
      <c r="G159" s="21" t="s">
        <v>108</v>
      </c>
      <c r="H159" s="13">
        <v>30000</v>
      </c>
      <c r="I159" s="13"/>
      <c r="J159" s="9"/>
    </row>
    <row r="160" spans="1:10" s="14" customFormat="1" ht="13.8">
      <c r="A160" s="15" t="str">
        <f>+A159</f>
        <v>Compr_Merc</v>
      </c>
      <c r="B160" s="9"/>
      <c r="C160" s="10">
        <f t="shared" si="10"/>
        <v>0</v>
      </c>
      <c r="D160" s="15" t="str">
        <f t="shared" si="10"/>
        <v>Compr_Merc</v>
      </c>
      <c r="E160" s="11">
        <v>4511</v>
      </c>
      <c r="F160" s="12" t="str">
        <f>IF(E160&gt;0,(VLOOKUP(E160,'Blnct AR'!$C$2:$D$2259,2,0))," ")</f>
        <v>Caixa Kwanza</v>
      </c>
      <c r="G160" s="21" t="s">
        <v>109</v>
      </c>
      <c r="H160" s="13"/>
      <c r="I160" s="13">
        <v>30000</v>
      </c>
      <c r="J160" s="9"/>
    </row>
    <row r="161" spans="1:12" s="14" customFormat="1" ht="13.8">
      <c r="A161" s="15" t="str">
        <f>+A160</f>
        <v>Compr_Merc</v>
      </c>
      <c r="B161" s="9"/>
      <c r="C161" s="10">
        <f t="shared" si="10"/>
        <v>0</v>
      </c>
      <c r="D161" s="15" t="str">
        <f t="shared" si="10"/>
        <v>Compr_Merc</v>
      </c>
      <c r="E161" s="11">
        <v>32121001</v>
      </c>
      <c r="F161" s="12" t="str">
        <f>IF(E161&gt;0,(VLOOKUP(E161,'Blnct AR'!$C$2:$D$2259,2,0))," ")</f>
        <v>Gameiro Advogados, Lda.</v>
      </c>
      <c r="G161" s="21" t="s">
        <v>109</v>
      </c>
      <c r="H161" s="13">
        <v>30000</v>
      </c>
      <c r="I161" s="13">
        <v>30000</v>
      </c>
      <c r="J161" s="9"/>
    </row>
    <row r="162" spans="1:12" s="14" customFormat="1" ht="13.8">
      <c r="A162" s="16"/>
      <c r="B162" s="9"/>
      <c r="C162" s="17"/>
      <c r="D162" s="18"/>
      <c r="E162" s="11"/>
      <c r="F162" s="12" t="str">
        <f>IF(E162&gt;0,(VLOOKUP(E162,'Blnct AR'!$C$2:$D$2259,2,0))," ")</f>
        <v xml:space="preserve"> </v>
      </c>
      <c r="G162" s="11"/>
      <c r="H162" s="19"/>
      <c r="I162" s="19"/>
      <c r="J162" s="9"/>
    </row>
    <row r="163" spans="1:12" s="14" customFormat="1" ht="13.8">
      <c r="A163" s="23" t="s">
        <v>110</v>
      </c>
      <c r="B163" s="9"/>
      <c r="C163" s="10">
        <f t="shared" ref="C163:C171" si="11">+C29</f>
        <v>0</v>
      </c>
      <c r="D163" s="23" t="s">
        <v>110</v>
      </c>
      <c r="E163" s="11">
        <v>6211</v>
      </c>
      <c r="F163" s="12" t="str">
        <f>IF(E163&gt;0,(VLOOKUP(E163,'Blnct AR'!$C$2:$D$2259,2,0))," ")</f>
        <v>Mercado nacional</v>
      </c>
      <c r="G163" s="21" t="s">
        <v>111</v>
      </c>
      <c r="H163" s="13"/>
      <c r="I163" s="13">
        <v>35507772</v>
      </c>
      <c r="J163" s="9"/>
    </row>
    <row r="164" spans="1:12" s="14" customFormat="1" ht="13.8">
      <c r="A164" s="15" t="str">
        <f t="shared" ref="A164:A177" si="12">+A163</f>
        <v>Pres_Serv</v>
      </c>
      <c r="B164" s="9"/>
      <c r="C164" s="10">
        <f t="shared" si="11"/>
        <v>0</v>
      </c>
      <c r="D164" s="15" t="str">
        <f t="shared" ref="D164:D177" si="13">+D163</f>
        <v>Pres_Serv</v>
      </c>
      <c r="E164" s="11">
        <v>3415</v>
      </c>
      <c r="F164" s="12" t="str">
        <f>IF(E164&gt;0,(VLOOKUP(E164,'Blnct AR'!$C$2:$D$2259,2,0))," ")</f>
        <v>IL - apuramento</v>
      </c>
      <c r="G164" s="21" t="s">
        <v>112</v>
      </c>
      <c r="H164" s="13">
        <f>I163*3.5%</f>
        <v>1242772.02</v>
      </c>
      <c r="I164" s="13"/>
      <c r="J164" s="9"/>
    </row>
    <row r="165" spans="1:12" s="14" customFormat="1" ht="13.8">
      <c r="A165" s="15" t="str">
        <f t="shared" si="12"/>
        <v>Pres_Serv</v>
      </c>
      <c r="B165" s="9"/>
      <c r="C165" s="10">
        <f t="shared" si="11"/>
        <v>0</v>
      </c>
      <c r="D165" s="15" t="str">
        <f t="shared" si="13"/>
        <v>Pres_Serv</v>
      </c>
      <c r="E165" s="11">
        <v>4511</v>
      </c>
      <c r="F165" s="12" t="str">
        <f>IF(E165&gt;0,(VLOOKUP(E165,'Blnct AR'!$C$2:$D$2259,2,0))," ")</f>
        <v>Caixa Kwanza</v>
      </c>
      <c r="G165" s="21" t="s">
        <v>113</v>
      </c>
      <c r="H165" s="13">
        <f>I163-((I163)*3.5%)-H167</f>
        <v>20061891.179999996</v>
      </c>
      <c r="I165" s="13"/>
      <c r="J165" s="9"/>
    </row>
    <row r="166" spans="1:12" s="14" customFormat="1" ht="13.8">
      <c r="A166" s="15" t="str">
        <f t="shared" si="12"/>
        <v>Pres_Serv</v>
      </c>
      <c r="B166" s="9"/>
      <c r="C166" s="10">
        <f t="shared" si="11"/>
        <v>0</v>
      </c>
      <c r="D166" s="15" t="str">
        <f t="shared" si="13"/>
        <v>Pres_Serv</v>
      </c>
      <c r="E166" s="11">
        <v>31121003</v>
      </c>
      <c r="F166" s="12" t="str">
        <f>IF(E166&gt;0,(VLOOKUP(E166,'Blnct AR'!$C$2:$D$2259,2,0))," ")</f>
        <v>UEM-Unid. Estruturas Metálicas, SA</v>
      </c>
      <c r="G166" s="21" t="s">
        <v>113</v>
      </c>
      <c r="H166" s="13">
        <f>I163</f>
        <v>35507772</v>
      </c>
      <c r="I166" s="13">
        <f>I163</f>
        <v>35507772</v>
      </c>
      <c r="J166" s="9"/>
    </row>
    <row r="167" spans="1:12" s="14" customFormat="1" ht="13.8">
      <c r="A167" s="15" t="str">
        <f t="shared" si="12"/>
        <v>Pres_Serv</v>
      </c>
      <c r="B167" s="9"/>
      <c r="C167" s="10">
        <f t="shared" si="11"/>
        <v>0</v>
      </c>
      <c r="D167" s="15" t="str">
        <f t="shared" si="13"/>
        <v>Pres_Serv</v>
      </c>
      <c r="E167" s="11">
        <v>752262</v>
      </c>
      <c r="F167" s="12" t="str">
        <f>IF(E167&gt;0,(VLOOKUP(E167,'Blnct AR'!$C$2:$D$2259,2,0))," ")</f>
        <v>Edifícios e outras construções</v>
      </c>
      <c r="G167" s="21" t="s">
        <v>114</v>
      </c>
      <c r="H167" s="13">
        <f>I163*40%</f>
        <v>14203108.800000001</v>
      </c>
      <c r="I167" s="19"/>
      <c r="J167" s="9"/>
    </row>
    <row r="168" spans="1:12" s="14" customFormat="1" ht="13.8">
      <c r="A168" s="15" t="str">
        <f t="shared" si="12"/>
        <v>Pres_Serv</v>
      </c>
      <c r="B168" s="9"/>
      <c r="C168" s="10">
        <f t="shared" si="11"/>
        <v>0</v>
      </c>
      <c r="D168" s="15" t="str">
        <f t="shared" si="13"/>
        <v>Pres_Serv</v>
      </c>
      <c r="E168" s="11">
        <v>212111</v>
      </c>
      <c r="F168" s="12" t="str">
        <f>IF(E168&gt;0,(VLOOKUP(E168,'Blnct AR'!$C$2:$D$2259,2,0))," ")</f>
        <v>Mr.MN-Custo de factura</v>
      </c>
      <c r="G168" s="21" t="s">
        <v>107</v>
      </c>
      <c r="H168" s="13">
        <f>ROUND(I172*85%,0)</f>
        <v>12934974</v>
      </c>
      <c r="I168" s="13">
        <f>ROUND(I172*85%,0)</f>
        <v>12934974</v>
      </c>
      <c r="J168" s="9"/>
    </row>
    <row r="169" spans="1:12" s="14" customFormat="1" ht="13.8">
      <c r="A169" s="15" t="str">
        <f t="shared" si="12"/>
        <v>Pres_Serv</v>
      </c>
      <c r="B169" s="9"/>
      <c r="C169" s="10">
        <f t="shared" si="11"/>
        <v>0</v>
      </c>
      <c r="D169" s="15" t="str">
        <f t="shared" si="13"/>
        <v>Pres_Serv</v>
      </c>
      <c r="E169" s="11">
        <v>2611</v>
      </c>
      <c r="F169" s="12" t="str">
        <f>IF(E169&gt;0,(VLOOKUP(E169,'Blnct AR'!$C$2:$D$2259,2,0))," ")</f>
        <v>Merc-Existências</v>
      </c>
      <c r="G169" s="21" t="s">
        <v>108</v>
      </c>
      <c r="H169" s="13">
        <f>ROUND(I172*85%,0)</f>
        <v>12934974</v>
      </c>
      <c r="I169" s="13"/>
      <c r="J169" s="9"/>
    </row>
    <row r="170" spans="1:12" s="14" customFormat="1" ht="13.8">
      <c r="A170" s="15" t="str">
        <f t="shared" si="12"/>
        <v>Pres_Serv</v>
      </c>
      <c r="B170" s="9"/>
      <c r="C170" s="10">
        <f t="shared" si="11"/>
        <v>0</v>
      </c>
      <c r="D170" s="15" t="str">
        <f t="shared" si="13"/>
        <v>Pres_Serv</v>
      </c>
      <c r="E170" s="11">
        <v>4511</v>
      </c>
      <c r="F170" s="12" t="str">
        <f>IF(E170&gt;0,(VLOOKUP(E170,'Blnct AR'!$C$2:$D$2259,2,0))," ")</f>
        <v>Caixa Kwanza</v>
      </c>
      <c r="G170" s="21" t="s">
        <v>109</v>
      </c>
      <c r="H170" s="13"/>
      <c r="I170" s="13">
        <f>ROUND(I172*85%,0)</f>
        <v>12934974</v>
      </c>
      <c r="J170" s="9"/>
    </row>
    <row r="171" spans="1:12" s="14" customFormat="1" ht="13.8">
      <c r="A171" s="15" t="str">
        <f t="shared" si="12"/>
        <v>Pres_Serv</v>
      </c>
      <c r="B171" s="9"/>
      <c r="C171" s="10">
        <f t="shared" si="11"/>
        <v>0</v>
      </c>
      <c r="D171" s="15" t="str">
        <f t="shared" si="13"/>
        <v>Pres_Serv</v>
      </c>
      <c r="E171" s="11">
        <v>32121001</v>
      </c>
      <c r="F171" s="12" t="str">
        <f>IF(E171&gt;0,(VLOOKUP(E171,'Blnct AR'!$C$2:$D$2259,2,0))," ")</f>
        <v>Gameiro Advogados, Lda.</v>
      </c>
      <c r="G171" s="21" t="s">
        <v>109</v>
      </c>
      <c r="H171" s="13">
        <f>ROUND(I172*85%,0)</f>
        <v>12934974</v>
      </c>
      <c r="I171" s="13">
        <f>ROUND(I172*85%,0)</f>
        <v>12934974</v>
      </c>
      <c r="J171" s="9"/>
      <c r="K171" s="28"/>
      <c r="L171" s="28"/>
    </row>
    <row r="172" spans="1:12" s="14" customFormat="1" ht="13.8">
      <c r="A172" s="15" t="str">
        <f t="shared" si="12"/>
        <v>Pres_Serv</v>
      </c>
      <c r="B172" s="9"/>
      <c r="C172" s="10">
        <f>+C22</f>
        <v>0</v>
      </c>
      <c r="D172" s="15" t="str">
        <f t="shared" si="13"/>
        <v>Pres_Serv</v>
      </c>
      <c r="E172" s="11">
        <v>6111</v>
      </c>
      <c r="F172" s="12" t="str">
        <f>IF(E172&gt;0,(VLOOKUP(E172,'Blnct AR'!$C$2:$D$2259,2,0))," ")</f>
        <v>Vnd Mercado nacional</v>
      </c>
      <c r="G172" s="11" t="s">
        <v>103</v>
      </c>
      <c r="H172" s="13"/>
      <c r="I172" s="13">
        <f>ROUND(I163*0.42857143,0)</f>
        <v>15217617</v>
      </c>
      <c r="J172" s="9"/>
      <c r="K172" s="29"/>
      <c r="L172" s="28"/>
    </row>
    <row r="173" spans="1:12" s="14" customFormat="1" ht="13.8">
      <c r="A173" s="15" t="str">
        <f t="shared" si="12"/>
        <v>Pres_Serv</v>
      </c>
      <c r="B173" s="9"/>
      <c r="C173" s="10">
        <f>+C172</f>
        <v>0</v>
      </c>
      <c r="D173" s="15" t="str">
        <f t="shared" si="13"/>
        <v>Pres_Serv</v>
      </c>
      <c r="E173" s="11">
        <v>31121003</v>
      </c>
      <c r="F173" s="12" t="str">
        <f>IF(E173&gt;0,(VLOOKUP(E173,'Blnct AR'!$C$2:$D$2259,2,0))," ")</f>
        <v>UEM-Unid. Estruturas Metálicas, SA</v>
      </c>
      <c r="G173" s="11" t="s">
        <v>103</v>
      </c>
      <c r="H173" s="13">
        <f>ROUND(I163*0.42857143,0)</f>
        <v>15217617</v>
      </c>
      <c r="I173" s="19"/>
      <c r="J173" s="9"/>
    </row>
    <row r="174" spans="1:12" s="14" customFormat="1" ht="13.8">
      <c r="A174" s="15" t="str">
        <f t="shared" si="12"/>
        <v>Pres_Serv</v>
      </c>
      <c r="B174" s="9"/>
      <c r="C174" s="10">
        <f>+C173</f>
        <v>0</v>
      </c>
      <c r="D174" s="15" t="str">
        <f t="shared" si="13"/>
        <v>Pres_Serv</v>
      </c>
      <c r="E174" s="11">
        <v>2611</v>
      </c>
      <c r="F174" s="12" t="str">
        <f>IF(E174&gt;0,(VLOOKUP(E174,'Blnct AR'!$C$2:$D$2259,2,0))," ")</f>
        <v>Merc-Existências</v>
      </c>
      <c r="G174" s="11" t="s">
        <v>104</v>
      </c>
      <c r="H174" s="13"/>
      <c r="I174" s="13">
        <f>H169</f>
        <v>12934974</v>
      </c>
      <c r="J174" s="9"/>
      <c r="K174" s="28"/>
    </row>
    <row r="175" spans="1:12" s="14" customFormat="1" ht="13.8">
      <c r="A175" s="15" t="str">
        <f t="shared" si="12"/>
        <v>Pres_Serv</v>
      </c>
      <c r="B175" s="9"/>
      <c r="C175" s="10">
        <f>+C174</f>
        <v>0</v>
      </c>
      <c r="D175" s="15" t="str">
        <f t="shared" si="13"/>
        <v>Pres_Serv</v>
      </c>
      <c r="E175" s="11">
        <v>7161</v>
      </c>
      <c r="F175" s="12" t="str">
        <f>IF(E175&gt;0,(VLOOKUP(E175,'Blnct AR'!$C$2:$D$2259,2,0))," ")</f>
        <v>Mr - cevc</v>
      </c>
      <c r="G175" s="11" t="s">
        <v>104</v>
      </c>
      <c r="H175" s="13">
        <f>H169</f>
        <v>12934974</v>
      </c>
      <c r="I175" s="19"/>
      <c r="J175" s="9"/>
    </row>
    <row r="176" spans="1:12" s="14" customFormat="1" ht="13.8">
      <c r="A176" s="15" t="str">
        <f t="shared" si="12"/>
        <v>Pres_Serv</v>
      </c>
      <c r="B176" s="9"/>
      <c r="C176" s="10">
        <f>+C175</f>
        <v>0</v>
      </c>
      <c r="D176" s="15" t="str">
        <f t="shared" si="13"/>
        <v>Pres_Serv</v>
      </c>
      <c r="E176" s="11">
        <v>31121003</v>
      </c>
      <c r="F176" s="12" t="str">
        <f>IF(E176&gt;0,(VLOOKUP(E176,'Blnct AR'!$C$2:$D$2259,2,0))," ")</f>
        <v>UEM-Unid. Estruturas Metálicas, SA</v>
      </c>
      <c r="G176" s="11" t="s">
        <v>105</v>
      </c>
      <c r="H176" s="19"/>
      <c r="I176" s="13">
        <f>ROUND(I163*0.42857143,0)</f>
        <v>15217617</v>
      </c>
      <c r="J176" s="9"/>
      <c r="K176" s="28"/>
      <c r="L176" s="28"/>
    </row>
    <row r="177" spans="1:12" s="14" customFormat="1" ht="13.8">
      <c r="A177" s="15" t="str">
        <f t="shared" si="12"/>
        <v>Pres_Serv</v>
      </c>
      <c r="B177" s="9"/>
      <c r="C177" s="10">
        <f>+C176</f>
        <v>0</v>
      </c>
      <c r="D177" s="15" t="str">
        <f t="shared" si="13"/>
        <v>Pres_Serv</v>
      </c>
      <c r="E177" s="11">
        <v>4511</v>
      </c>
      <c r="F177" s="12" t="str">
        <f>IF(E177&gt;0,(VLOOKUP(E177,'Blnct AR'!$C$2:$D$2259,2,0))," ")</f>
        <v>Caixa Kwanza</v>
      </c>
      <c r="G177" s="11" t="s">
        <v>105</v>
      </c>
      <c r="H177" s="13">
        <f>ROUND(I163*0.42857143,0)</f>
        <v>15217617</v>
      </c>
      <c r="I177" s="13"/>
      <c r="J177" s="9"/>
      <c r="K177" s="29"/>
      <c r="L177" s="28"/>
    </row>
    <row r="178" spans="1:12" s="14" customFormat="1" ht="13.8">
      <c r="B178" s="9"/>
      <c r="E178" s="24"/>
      <c r="F178" s="24"/>
      <c r="G178" s="24"/>
      <c r="J178" s="9"/>
    </row>
    <row r="179" spans="1:12" s="14" customFormat="1" ht="13.8">
      <c r="A179" s="16" t="s">
        <v>115</v>
      </c>
      <c r="B179" s="9"/>
      <c r="C179" s="10">
        <f>+C175</f>
        <v>0</v>
      </c>
      <c r="D179" s="8" t="s">
        <v>116</v>
      </c>
      <c r="E179" s="11">
        <v>4511</v>
      </c>
      <c r="F179" s="12" t="str">
        <f>IF(E179&gt;0,(VLOOKUP(E179,'Blnct AR'!$C$2:$D$2262,2,0))," ")</f>
        <v>Caixa Kwanza</v>
      </c>
      <c r="G179" s="12" t="s">
        <v>117</v>
      </c>
      <c r="H179" s="13"/>
      <c r="I179" s="26">
        <v>255199</v>
      </c>
      <c r="J179" s="9"/>
      <c r="K179" s="28"/>
    </row>
    <row r="180" spans="1:12" s="14" customFormat="1" ht="13.8">
      <c r="A180" s="15" t="str">
        <f>+A179</f>
        <v>ABR_IsLucros</v>
      </c>
      <c r="B180" s="9"/>
      <c r="C180" s="10">
        <f>+C176</f>
        <v>0</v>
      </c>
      <c r="D180" s="8" t="s">
        <v>116</v>
      </c>
      <c r="E180" s="11">
        <v>3411</v>
      </c>
      <c r="F180" s="12" t="str">
        <f>IF(E180&gt;0,(VLOOKUP(E180,'Blnct AR'!$C$2:$D$2262,2,0))," ")</f>
        <v>IL- imposto corrente</v>
      </c>
      <c r="G180" s="12" t="s">
        <v>117</v>
      </c>
      <c r="H180" s="26">
        <f>+I179</f>
        <v>255199</v>
      </c>
      <c r="I180" s="26">
        <v>255199</v>
      </c>
      <c r="J180" s="9"/>
    </row>
    <row r="181" spans="1:12" s="14" customFormat="1" ht="13.8">
      <c r="A181" s="15" t="str">
        <f>+A180</f>
        <v>ABR_IsLucros</v>
      </c>
      <c r="B181" s="9"/>
      <c r="C181" s="10">
        <f>+C177</f>
        <v>0</v>
      </c>
      <c r="D181" s="8" t="s">
        <v>116</v>
      </c>
      <c r="E181" s="11">
        <v>3415</v>
      </c>
      <c r="F181" s="12" t="str">
        <f>IF(E181&gt;0,(VLOOKUP(E181,'Blnct AR'!$C$2:$D$2262,2,0))," ")</f>
        <v>IL - apuramento</v>
      </c>
      <c r="G181" s="12" t="s">
        <v>117</v>
      </c>
      <c r="H181" s="26">
        <v>255199</v>
      </c>
      <c r="I181" s="26">
        <v>255199</v>
      </c>
      <c r="J181" s="9"/>
    </row>
    <row r="182" spans="1:12" s="14" customFormat="1" ht="13.8">
      <c r="A182" s="15"/>
      <c r="B182" s="9"/>
      <c r="E182" s="24"/>
      <c r="F182" s="24"/>
      <c r="G182" s="24"/>
      <c r="J182" s="9"/>
    </row>
    <row r="183" spans="1:12" s="14" customFormat="1" ht="13.8">
      <c r="A183" s="8" t="s">
        <v>118</v>
      </c>
      <c r="B183" s="9"/>
      <c r="C183" s="10">
        <f>+C180</f>
        <v>0</v>
      </c>
      <c r="D183" s="8" t="s">
        <v>119</v>
      </c>
      <c r="E183" s="11">
        <v>35143</v>
      </c>
      <c r="F183" s="12" t="str">
        <f>IF(E183&gt;0,(VLOOKUP(E183,'Blnct AR'!$C$2:$D$2262,2,0))," ")</f>
        <v>c/ lucros</v>
      </c>
      <c r="G183" s="12" t="s">
        <v>120</v>
      </c>
      <c r="H183" s="26"/>
      <c r="I183" s="26">
        <v>585464</v>
      </c>
      <c r="J183" s="9"/>
    </row>
    <row r="184" spans="1:12" s="14" customFormat="1" ht="13.8">
      <c r="A184" s="15" t="str">
        <f>+A183</f>
        <v>ABR_Pag_Div</v>
      </c>
      <c r="B184" s="9"/>
      <c r="C184" s="10">
        <f>+C183</f>
        <v>0</v>
      </c>
      <c r="D184" s="8" t="s">
        <v>119</v>
      </c>
      <c r="E184" s="11">
        <v>8111</v>
      </c>
      <c r="F184" s="12" t="str">
        <f>IF(E184&gt;0,(VLOOKUP(E184,'Blnct AR'!$C$2:$D$2262,2,0))," ")</f>
        <v>Resultado do ano</v>
      </c>
      <c r="G184" s="12" t="s">
        <v>120</v>
      </c>
      <c r="H184" s="26">
        <v>840663</v>
      </c>
      <c r="I184" s="26"/>
      <c r="J184" s="9"/>
    </row>
    <row r="185" spans="1:12" s="14" customFormat="1" ht="13.8">
      <c r="A185" s="15"/>
      <c r="B185" s="9"/>
      <c r="C185" s="10"/>
      <c r="D185" s="8"/>
      <c r="E185" s="11"/>
      <c r="F185" s="12"/>
      <c r="G185" s="12"/>
      <c r="H185" s="26"/>
      <c r="I185" s="26"/>
      <c r="J185" s="9"/>
    </row>
    <row r="186" spans="1:12" s="14" customFormat="1" ht="13.8">
      <c r="A186" s="8" t="s">
        <v>121</v>
      </c>
      <c r="B186" s="9"/>
      <c r="C186" s="10">
        <f>+C185</f>
        <v>0</v>
      </c>
      <c r="D186" s="8" t="s">
        <v>122</v>
      </c>
      <c r="E186" s="11">
        <v>35143</v>
      </c>
      <c r="F186" s="12" t="str">
        <f>IF(E186&gt;0,(VLOOKUP(E186,'Blnct AR'!$C$2:$D$2253,2,0))," ")</f>
        <v>c/ lucros</v>
      </c>
      <c r="G186" s="21" t="s">
        <v>123</v>
      </c>
      <c r="H186" s="26">
        <v>63515830</v>
      </c>
      <c r="I186" s="26"/>
      <c r="J186" s="9"/>
    </row>
    <row r="187" spans="1:12" s="14" customFormat="1" ht="13.8">
      <c r="A187" s="8" t="str">
        <f>+A186</f>
        <v>ABR_Lucros</v>
      </c>
      <c r="B187" s="9"/>
      <c r="C187" s="10">
        <f>+C186</f>
        <v>0</v>
      </c>
      <c r="D187" s="8" t="str">
        <f>+D186</f>
        <v>Lucros</v>
      </c>
      <c r="E187" s="11">
        <v>541</v>
      </c>
      <c r="F187" s="12" t="str">
        <f>IF(E187&gt;0,(VLOOKUP(E187,'Blnct AR'!$C$2:$D$2253,2,0))," ")</f>
        <v>Prestações suplementares</v>
      </c>
      <c r="G187" s="21" t="s">
        <v>123</v>
      </c>
      <c r="H187" s="17"/>
      <c r="I187" s="26">
        <v>63515830</v>
      </c>
      <c r="J187" s="9"/>
    </row>
    <row r="188" spans="1:12" s="14" customFormat="1" ht="13.8">
      <c r="A188" s="15"/>
      <c r="B188" s="9"/>
      <c r="E188" s="24"/>
      <c r="F188" s="12" t="str">
        <f>IF(E188&gt;0,(VLOOKUP(E188,'Blnct AR'!$C$2:$D$2262,2,0))," ")</f>
        <v xml:space="preserve"> </v>
      </c>
      <c r="G188" s="24"/>
      <c r="J188" s="9"/>
    </row>
    <row r="189" spans="1:12" s="14" customFormat="1" ht="13.8">
      <c r="A189" s="15" t="s">
        <v>124</v>
      </c>
      <c r="B189" s="9"/>
      <c r="C189" s="10">
        <f>+C183</f>
        <v>0</v>
      </c>
      <c r="D189" s="8" t="s">
        <v>125</v>
      </c>
      <c r="E189" s="11">
        <v>72622</v>
      </c>
      <c r="F189" s="12" t="str">
        <f>IF(E189&gt;0,(VLOOKUP(E189,'Blnct AR'!$C$2:$D$2262,2,0))," ")</f>
        <v>Produção</v>
      </c>
      <c r="G189" s="12" t="s">
        <v>126</v>
      </c>
      <c r="H189" s="26">
        <v>445200</v>
      </c>
      <c r="I189" s="26"/>
      <c r="J189" s="9"/>
    </row>
    <row r="190" spans="1:12" s="14" customFormat="1" ht="13.8">
      <c r="A190" s="15" t="str">
        <f>+A189</f>
        <v>Seguros</v>
      </c>
      <c r="B190" s="9"/>
      <c r="C190" s="10">
        <f>+C189</f>
        <v>0</v>
      </c>
      <c r="D190" s="8" t="s">
        <v>125</v>
      </c>
      <c r="E190" s="11">
        <v>4511</v>
      </c>
      <c r="F190" s="12" t="str">
        <f>IF(E190&gt;0,(VLOOKUP(E190,'Blnct AR'!$C$2:$D$2262,2,0))," ")</f>
        <v>Caixa Kwanza</v>
      </c>
      <c r="G190" s="12" t="s">
        <v>126</v>
      </c>
      <c r="H190" s="13"/>
      <c r="I190" s="13">
        <v>445200</v>
      </c>
      <c r="J190" s="9"/>
    </row>
    <row r="192" spans="1:12">
      <c r="C192" s="10"/>
      <c r="D192" s="8"/>
      <c r="E192" s="11"/>
      <c r="F192" s="12"/>
      <c r="G192" s="12"/>
      <c r="H192" s="13"/>
      <c r="I192" s="13"/>
    </row>
    <row r="193" spans="3:9">
      <c r="C193" s="10"/>
      <c r="D193" s="8"/>
      <c r="E193" s="11"/>
      <c r="F193" s="12"/>
      <c r="G193" s="12"/>
      <c r="H193" s="13"/>
      <c r="I193" s="13"/>
    </row>
    <row r="194" spans="3:9">
      <c r="C194" s="10"/>
      <c r="D194" s="8"/>
      <c r="E194" s="11"/>
      <c r="F194" s="12"/>
      <c r="G194" s="12"/>
      <c r="H194" s="13"/>
      <c r="I194" s="13"/>
    </row>
    <row r="195" spans="3:9">
      <c r="C195" s="10"/>
      <c r="D195" s="8"/>
      <c r="E195" s="11"/>
      <c r="F195" s="12"/>
      <c r="G195" s="12"/>
      <c r="H195" s="13"/>
      <c r="I195" s="13"/>
    </row>
    <row r="196" spans="3:9">
      <c r="C196" s="10"/>
      <c r="D196" s="8"/>
      <c r="E196" s="11"/>
      <c r="F196" s="12"/>
      <c r="G196" s="12"/>
      <c r="H196" s="13"/>
      <c r="I196" s="13"/>
    </row>
    <row r="197" spans="3:9">
      <c r="C197" s="10"/>
      <c r="D197" s="8"/>
      <c r="E197" s="11"/>
      <c r="F197" s="12"/>
      <c r="G197" s="12"/>
      <c r="H197" s="13"/>
      <c r="I197" s="13"/>
    </row>
    <row r="198" spans="3:9">
      <c r="C198" s="10"/>
      <c r="D198" s="8"/>
      <c r="E198" s="11"/>
      <c r="F198" s="12"/>
      <c r="G198" s="12"/>
      <c r="H198" s="13"/>
      <c r="I198" s="13"/>
    </row>
    <row r="199" spans="3:9">
      <c r="C199" s="10"/>
      <c r="D199" s="8"/>
      <c r="E199" s="11"/>
      <c r="F199" s="12"/>
      <c r="G199" s="12"/>
      <c r="H199" s="13"/>
      <c r="I199" s="13"/>
    </row>
    <row r="200" spans="3:9">
      <c r="C200" s="10"/>
      <c r="D200" s="8"/>
      <c r="E200" s="11"/>
      <c r="F200" s="12"/>
      <c r="G200" s="12"/>
      <c r="H200" s="13"/>
      <c r="I200" s="13"/>
    </row>
    <row r="201" spans="3:9">
      <c r="C201" s="10"/>
      <c r="D201" s="8"/>
      <c r="E201" s="11"/>
      <c r="F201" s="12"/>
      <c r="G201" s="12"/>
      <c r="H201" s="13"/>
      <c r="I201" s="13"/>
    </row>
    <row r="202" spans="3:9">
      <c r="C202" s="10"/>
      <c r="D202" s="8"/>
      <c r="E202" s="11"/>
      <c r="F202" s="12"/>
      <c r="G202" s="12"/>
      <c r="H202" s="13"/>
      <c r="I202" s="13"/>
    </row>
    <row r="203" spans="3:9">
      <c r="C203" s="10"/>
      <c r="D203" s="8"/>
      <c r="E203" s="11"/>
      <c r="F203" s="12"/>
      <c r="G203" s="12"/>
      <c r="H203" s="13"/>
      <c r="I203" s="13"/>
    </row>
    <row r="204" spans="3:9">
      <c r="C204" s="10"/>
      <c r="D204" s="8"/>
      <c r="E204" s="11"/>
      <c r="F204" s="12"/>
      <c r="G204" s="12"/>
      <c r="H204" s="13"/>
      <c r="I204" s="13"/>
    </row>
    <row r="205" spans="3:9">
      <c r="C205" s="10"/>
      <c r="D205" s="8"/>
      <c r="E205" s="11"/>
      <c r="F205" s="12"/>
      <c r="G205" s="12"/>
      <c r="H205" s="13"/>
      <c r="I205" s="13"/>
    </row>
  </sheetData>
  <autoFilter ref="A1:A190" xr:uid="{00000000-0009-0000-0000-000002000000}"/>
  <dataValidations count="2">
    <dataValidation type="date" allowBlank="1" showInputMessage="1" showErrorMessage="1" sqref="C2:C23 C25:C32 C34:C44 C46:C47 C49:C53 C55:C56 C58:C62 C64:C65 C67:C68 C70:C71 C73:C87 C89:C127 C129 C139:C149 C151 C158:C161 C163:C172 C179:C181 C183:C185 C189:C190 C192:C205" xr:uid="{00000000-0002-0000-0200-000000000000}">
      <formula1>42004</formula1>
      <formula2>47848</formula2>
    </dataValidation>
    <dataValidation type="date" allowBlank="1" showInputMessage="1" showErrorMessage="1" sqref="C130:C137 C152:C157 C173:C177 C186:C187" xr:uid="{00000000-0002-0000-0200-000001000000}">
      <formula1>41640</formula1>
      <formula2>43830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8"/>
  <sheetViews>
    <sheetView zoomScaleNormal="100" workbookViewId="0">
      <pane ySplit="1" topLeftCell="A2" activePane="bottomLeft" state="frozen"/>
      <selection pane="bottomLeft" activeCell="A147" sqref="A147"/>
    </sheetView>
  </sheetViews>
  <sheetFormatPr defaultRowHeight="14.4"/>
  <cols>
    <col min="1" max="1" width="16.5546875" style="30" customWidth="1"/>
    <col min="2" max="2" width="2.77734375" customWidth="1"/>
    <col min="3" max="3" width="8.44140625" customWidth="1"/>
    <col min="4" max="4" width="15.21875" style="30" customWidth="1"/>
    <col min="5" max="5" width="12.77734375" style="4" customWidth="1"/>
    <col min="6" max="6" width="35.77734375" style="4" customWidth="1"/>
    <col min="7" max="7" width="34.109375" style="4" customWidth="1"/>
    <col min="8" max="8" width="13.77734375" customWidth="1"/>
    <col min="9" max="9" width="15.21875" customWidth="1"/>
    <col min="10" max="10" width="2.77734375" customWidth="1"/>
    <col min="11" max="11" width="14.77734375" customWidth="1"/>
    <col min="12" max="12" width="9.21875" customWidth="1"/>
    <col min="13" max="1025" width="8.44140625" customWidth="1"/>
  </cols>
  <sheetData>
    <row r="1" spans="1:10" ht="25.05" customHeight="1">
      <c r="A1" s="5" t="s">
        <v>10</v>
      </c>
      <c r="E1"/>
      <c r="F1"/>
      <c r="G1"/>
      <c r="H1" s="6">
        <f>(SUM($H$2:$H$5345)-SUM($I$2:$I5346))</f>
        <v>0</v>
      </c>
      <c r="I1" s="7" t="str">
        <f>IF((SUM($I$2:$I$65928)-SUM($H$2:$H$65928))&lt;&gt;0,"DEB&lt;&gt;CRE","CONCLUÍDO")</f>
        <v>CONCLUÍDO</v>
      </c>
    </row>
    <row r="2" spans="1:10" s="14" customFormat="1" ht="13.8">
      <c r="A2" s="8" t="s">
        <v>127</v>
      </c>
      <c r="B2" s="9"/>
      <c r="C2" s="10">
        <f>+C128</f>
        <v>0</v>
      </c>
      <c r="D2" s="8" t="s">
        <v>128</v>
      </c>
      <c r="E2" s="11">
        <v>4511</v>
      </c>
      <c r="F2" s="12" t="str">
        <f>IF(E2&gt;0,(VLOOKUP(E2,'Blnct AR'!$C$2:$D$2259,2,0))," ")</f>
        <v>Caixa Kwanza</v>
      </c>
      <c r="G2" s="12" t="s">
        <v>129</v>
      </c>
      <c r="H2" s="13"/>
      <c r="I2" s="13">
        <v>0</v>
      </c>
      <c r="J2" s="9"/>
    </row>
    <row r="3" spans="1:10" s="14" customFormat="1" ht="13.8">
      <c r="A3" s="8" t="str">
        <f>+A2</f>
        <v>21 Caixa</v>
      </c>
      <c r="B3" s="9"/>
      <c r="C3" s="10">
        <f>+C2</f>
        <v>0</v>
      </c>
      <c r="D3" s="8" t="str">
        <f>+D2</f>
        <v>Pgto</v>
      </c>
      <c r="E3" s="11">
        <v>75329</v>
      </c>
      <c r="F3" s="12" t="str">
        <f>IF(E3&gt;0,(VLOOKUP(E3,'Blnct AR'!$C$2:$D$2259,2,0))," ")</f>
        <v>Outros impostos</v>
      </c>
      <c r="G3" s="12" t="str">
        <f>+G2</f>
        <v>Pgto Taxas</v>
      </c>
      <c r="H3" s="13">
        <f>I2</f>
        <v>0</v>
      </c>
      <c r="I3" s="13"/>
      <c r="J3" s="9"/>
    </row>
    <row r="4" spans="1:10" s="14" customFormat="1" ht="13.8">
      <c r="A4" s="16"/>
      <c r="B4" s="9"/>
      <c r="C4" s="10"/>
      <c r="D4" s="8"/>
      <c r="E4" s="11"/>
      <c r="F4" s="12"/>
      <c r="G4" s="12"/>
      <c r="H4" s="13"/>
      <c r="I4" s="13"/>
      <c r="J4" s="9"/>
    </row>
    <row r="5" spans="1:10" s="14" customFormat="1" ht="13.8">
      <c r="A5" s="8" t="s">
        <v>127</v>
      </c>
      <c r="B5" s="9"/>
      <c r="C5" s="10">
        <f>+C131</f>
        <v>0</v>
      </c>
      <c r="D5" s="8" t="s">
        <v>130</v>
      </c>
      <c r="E5" s="11">
        <v>4511</v>
      </c>
      <c r="F5" s="12" t="str">
        <f>IF(E5&gt;0,(VLOOKUP(E5,'Blnct AR'!$C$2:$D$2259,2,0))," ")</f>
        <v>Caixa Kwanza</v>
      </c>
      <c r="G5" s="12" t="s">
        <v>131</v>
      </c>
      <c r="H5" s="13">
        <v>0</v>
      </c>
      <c r="I5" s="13"/>
      <c r="J5" s="9"/>
    </row>
    <row r="6" spans="1:10" s="14" customFormat="1" ht="13.8">
      <c r="A6" s="8" t="str">
        <f>+A5</f>
        <v>21 Caixa</v>
      </c>
      <c r="B6" s="9"/>
      <c r="C6" s="10">
        <f>+C5</f>
        <v>0</v>
      </c>
      <c r="D6" s="8" t="str">
        <f>+D5</f>
        <v>Rcbto</v>
      </c>
      <c r="E6" s="11">
        <v>33921</v>
      </c>
      <c r="F6" s="12" t="str">
        <f>IF(E6&gt;0,(VLOOKUP(E6,'Blnct AR'!$C$2:$D$2259,2,0))," ")</f>
        <v>Entidade grupo</v>
      </c>
      <c r="G6" s="12" t="str">
        <f>+G5</f>
        <v>Rcbto Empréstimo</v>
      </c>
      <c r="H6" s="13"/>
      <c r="I6" s="13">
        <f>H5</f>
        <v>0</v>
      </c>
      <c r="J6" s="9"/>
    </row>
    <row r="7" spans="1:10" s="14" customFormat="1" ht="13.8">
      <c r="A7" s="16"/>
      <c r="B7" s="9"/>
      <c r="C7" s="10"/>
      <c r="D7" s="8"/>
      <c r="E7" s="11"/>
      <c r="F7" s="12"/>
      <c r="G7" s="12"/>
      <c r="H7" s="13"/>
      <c r="I7" s="13"/>
      <c r="J7" s="9"/>
    </row>
    <row r="8" spans="1:10" s="14" customFormat="1" ht="13.8">
      <c r="A8" s="8" t="s">
        <v>127</v>
      </c>
      <c r="B8" s="9"/>
      <c r="C8" s="10">
        <f>+C129</f>
        <v>0</v>
      </c>
      <c r="D8" s="8" t="s">
        <v>132</v>
      </c>
      <c r="E8" s="11">
        <v>4511</v>
      </c>
      <c r="F8" s="12" t="str">
        <f>IF(E8&gt;0,(VLOOKUP(E8,'Blnct AR'!$C$2:$D$2259,2,0))," ")</f>
        <v>Caixa Kwanza</v>
      </c>
      <c r="G8" s="12" t="s">
        <v>133</v>
      </c>
      <c r="H8" s="13"/>
      <c r="I8" s="13">
        <v>0</v>
      </c>
      <c r="J8" s="9"/>
    </row>
    <row r="9" spans="1:10" s="14" customFormat="1" ht="13.8">
      <c r="A9" s="8" t="str">
        <f>+A8</f>
        <v>21 Caixa</v>
      </c>
      <c r="B9" s="9"/>
      <c r="C9" s="10">
        <f>+C8</f>
        <v>0</v>
      </c>
      <c r="D9" s="8" t="str">
        <f>+D8</f>
        <v>INSS</v>
      </c>
      <c r="E9" s="11">
        <v>3452</v>
      </c>
      <c r="F9" s="12" t="str">
        <f>IF(E9&gt;0,(VLOOKUP(E9,'Blnct AR'!$C$2:$D$2259,2,0))," ")</f>
        <v>IVA - Dedutível</v>
      </c>
      <c r="G9" s="12" t="str">
        <f>+G8</f>
        <v>Pgto INSS</v>
      </c>
      <c r="H9" s="13">
        <f>I8</f>
        <v>0</v>
      </c>
      <c r="I9" s="13"/>
      <c r="J9" s="9"/>
    </row>
    <row r="10" spans="1:10" s="14" customFormat="1" ht="13.8">
      <c r="A10" s="16"/>
      <c r="B10" s="9"/>
      <c r="C10" s="17"/>
      <c r="D10" s="31"/>
      <c r="E10" s="11"/>
      <c r="F10" s="12" t="str">
        <f>IF(E10&gt;0,(VLOOKUP(E10,'Blnct AR'!$C$2:$D$2259,2,0))," ")</f>
        <v xml:space="preserve"> </v>
      </c>
      <c r="G10" s="11"/>
      <c r="H10" s="19"/>
      <c r="I10" s="19"/>
      <c r="J10" s="9"/>
    </row>
    <row r="11" spans="1:10" s="14" customFormat="1" ht="13.8">
      <c r="A11" s="8" t="s">
        <v>127</v>
      </c>
      <c r="B11" s="9"/>
      <c r="C11" s="10">
        <v>0</v>
      </c>
      <c r="D11" s="8" t="s">
        <v>134</v>
      </c>
      <c r="E11" s="11">
        <v>4511</v>
      </c>
      <c r="F11" s="12" t="str">
        <f>IF(E11&gt;0,(VLOOKUP(E11,'Blnct AR'!$C$2:$D$2259,2,0))," ")</f>
        <v>Caixa Kwanza</v>
      </c>
      <c r="G11" s="12" t="s">
        <v>135</v>
      </c>
      <c r="H11" s="13"/>
      <c r="I11" s="13">
        <v>0</v>
      </c>
      <c r="J11" s="9"/>
    </row>
    <row r="12" spans="1:10" s="14" customFormat="1" ht="13.8">
      <c r="A12" s="8" t="str">
        <f>+A11</f>
        <v>21 Caixa</v>
      </c>
      <c r="B12" s="9"/>
      <c r="C12" s="10">
        <v>0</v>
      </c>
      <c r="D12" s="8" t="str">
        <f>+D11</f>
        <v>IRT</v>
      </c>
      <c r="E12" s="11">
        <v>3431</v>
      </c>
      <c r="F12" s="12" t="str">
        <f>IF(E12&gt;0,(VLOOKUP(E12,'Blnct AR'!$C$2:$D$2259,2,0))," ")</f>
        <v>IRT dependentes</v>
      </c>
      <c r="G12" s="12" t="str">
        <f>+G11</f>
        <v>Pgto IRT</v>
      </c>
      <c r="H12" s="13">
        <f>I11</f>
        <v>0</v>
      </c>
      <c r="I12" s="13"/>
      <c r="J12" s="9"/>
    </row>
    <row r="13" spans="1:10" s="14" customFormat="1" ht="13.8">
      <c r="A13" s="16"/>
      <c r="B13" s="9"/>
      <c r="C13" s="10"/>
      <c r="D13" s="8"/>
      <c r="E13" s="11"/>
      <c r="F13" s="12" t="str">
        <f>IF(E13&gt;0,(VLOOKUP(E13,'Blnct AR'!$C$2:$D$2259,2,0))," ")</f>
        <v xml:space="preserve"> </v>
      </c>
      <c r="G13" s="12"/>
      <c r="H13" s="20"/>
      <c r="I13" s="13"/>
      <c r="J13" s="9"/>
    </row>
    <row r="14" spans="1:10" s="14" customFormat="1" ht="13.8">
      <c r="A14" s="8" t="s">
        <v>127</v>
      </c>
      <c r="B14" s="9"/>
      <c r="C14" s="10">
        <v>0</v>
      </c>
      <c r="D14" s="8" t="s">
        <v>136</v>
      </c>
      <c r="E14" s="11">
        <v>4511</v>
      </c>
      <c r="F14" s="12" t="str">
        <f>IF(E14&gt;0,(VLOOKUP(E14,'Blnct AR'!$C$2:$D$2259,2,0))," ")</f>
        <v>Caixa Kwanza</v>
      </c>
      <c r="G14" s="12" t="s">
        <v>137</v>
      </c>
      <c r="H14" s="13"/>
      <c r="I14" s="13">
        <v>0</v>
      </c>
      <c r="J14" s="9"/>
    </row>
    <row r="15" spans="1:10" s="14" customFormat="1" ht="13.8">
      <c r="A15" s="8" t="str">
        <f>+A14</f>
        <v>21 Caixa</v>
      </c>
      <c r="B15" s="9"/>
      <c r="C15" s="10">
        <v>0</v>
      </c>
      <c r="D15" s="8" t="str">
        <f>+D14</f>
        <v>IPC</v>
      </c>
      <c r="E15" s="11">
        <v>75312</v>
      </c>
      <c r="F15" s="12" t="str">
        <f>IF(E15&gt;0,(VLOOKUP(E15,'Blnct AR'!$C$2:$D$2259,2,0))," ")</f>
        <v>Imposto de Produção e Consumo</v>
      </c>
      <c r="G15" s="12" t="str">
        <f>+G14</f>
        <v>Pgto IPC</v>
      </c>
      <c r="H15" s="13">
        <f>I14</f>
        <v>0</v>
      </c>
      <c r="I15" s="13"/>
      <c r="J15" s="9"/>
    </row>
    <row r="16" spans="1:10" s="14" customFormat="1" ht="13.8">
      <c r="A16" s="16"/>
      <c r="B16" s="9"/>
      <c r="C16" s="18"/>
      <c r="D16" s="31"/>
      <c r="E16" s="11"/>
      <c r="F16" s="12" t="str">
        <f>IF(E16&gt;0,(VLOOKUP(E16,'Blnct AR'!$C$2:$D$2259,2,0))," ")</f>
        <v xml:space="preserve"> </v>
      </c>
      <c r="G16" s="11"/>
      <c r="H16" s="19"/>
      <c r="I16" s="19"/>
      <c r="J16" s="9"/>
    </row>
    <row r="17" spans="1:10" s="14" customFormat="1" ht="13.8">
      <c r="A17" s="8" t="s">
        <v>127</v>
      </c>
      <c r="B17" s="9"/>
      <c r="C17" s="10">
        <f>+C48</f>
        <v>0</v>
      </c>
      <c r="D17" s="8" t="s">
        <v>23</v>
      </c>
      <c r="E17" s="11">
        <v>4511</v>
      </c>
      <c r="F17" s="12" t="str">
        <f>IF(E17&gt;0,(VLOOKUP(E17,'Blnct AR'!$C$2:$D$2259,2,0))," ")</f>
        <v>Caixa Kwanza</v>
      </c>
      <c r="G17" s="12" t="s">
        <v>138</v>
      </c>
      <c r="H17" s="13"/>
      <c r="I17" s="13">
        <v>0</v>
      </c>
      <c r="J17" s="9"/>
    </row>
    <row r="18" spans="1:10" s="14" customFormat="1" ht="13.8">
      <c r="A18" s="8" t="str">
        <f>+A17</f>
        <v>21 Caixa</v>
      </c>
      <c r="B18" s="9"/>
      <c r="C18" s="10">
        <f>+C17</f>
        <v>0</v>
      </c>
      <c r="D18" s="8" t="str">
        <f>+D17</f>
        <v>Imp_Selo</v>
      </c>
      <c r="E18" s="11">
        <v>75311</v>
      </c>
      <c r="F18" s="12" t="str">
        <f>IF(E18&gt;0,(VLOOKUP(E18,'Blnct AR'!$C$2:$D$2259,2,0))," ")</f>
        <v>Imposto de selo</v>
      </c>
      <c r="G18" s="12" t="str">
        <f>+G17</f>
        <v>Pgto Imposto Selo</v>
      </c>
      <c r="H18" s="13">
        <f>+I17</f>
        <v>0</v>
      </c>
      <c r="I18" s="13"/>
      <c r="J18" s="9"/>
    </row>
    <row r="19" spans="1:10" s="14" customFormat="1" ht="13.8">
      <c r="A19" s="15"/>
      <c r="B19" s="9"/>
      <c r="C19" s="10"/>
      <c r="D19" s="8"/>
      <c r="E19" s="11"/>
      <c r="F19" s="12"/>
      <c r="G19" s="12"/>
      <c r="H19" s="20"/>
      <c r="I19" s="13"/>
      <c r="J19" s="9"/>
    </row>
    <row r="20" spans="1:10" s="14" customFormat="1" ht="13.8">
      <c r="A20" s="8" t="s">
        <v>127</v>
      </c>
      <c r="B20" s="9"/>
      <c r="C20" s="10">
        <f>+C50</f>
        <v>0</v>
      </c>
      <c r="D20" s="8" t="s">
        <v>139</v>
      </c>
      <c r="E20" s="11">
        <v>4511</v>
      </c>
      <c r="F20" s="12" t="str">
        <f>IF(E20&gt;0,(VLOOKUP(E20,'Blnct AR'!$C$2:$D$2259,2,0))," ")</f>
        <v>Caixa Kwanza</v>
      </c>
      <c r="G20" s="12" t="s">
        <v>140</v>
      </c>
      <c r="H20" s="20"/>
      <c r="I20" s="20">
        <v>0</v>
      </c>
      <c r="J20" s="9"/>
    </row>
    <row r="21" spans="1:10" s="14" customFormat="1" ht="13.8">
      <c r="A21" s="8" t="str">
        <f>+A20</f>
        <v>21 Caixa</v>
      </c>
      <c r="B21" s="9"/>
      <c r="C21" s="10">
        <f>+C20</f>
        <v>0</v>
      </c>
      <c r="D21" s="8" t="str">
        <f>+D20</f>
        <v>IsL 2%</v>
      </c>
      <c r="E21" s="11">
        <v>3412</v>
      </c>
      <c r="F21" s="12" t="str">
        <f>IF(E21&gt;0,(VLOOKUP(E21,'Blnct AR'!$C$2:$D$2259,2,0))," ")</f>
        <v>IL- pagamentos por conta</v>
      </c>
      <c r="G21" s="12" t="str">
        <f>+G20</f>
        <v>Pgto IsL 2%</v>
      </c>
      <c r="H21" s="20">
        <f>+I20</f>
        <v>0</v>
      </c>
      <c r="I21" s="13"/>
      <c r="J21" s="9"/>
    </row>
    <row r="22" spans="1:10" s="14" customFormat="1" ht="13.8">
      <c r="A22" s="15"/>
      <c r="B22" s="9"/>
      <c r="C22" s="10"/>
      <c r="D22" s="8"/>
      <c r="E22" s="11"/>
      <c r="F22" s="12"/>
      <c r="G22" s="12"/>
      <c r="H22" s="20"/>
      <c r="I22" s="13"/>
      <c r="J22" s="9"/>
    </row>
    <row r="23" spans="1:10" s="14" customFormat="1" ht="13.8">
      <c r="A23" s="8" t="s">
        <v>127</v>
      </c>
      <c r="B23" s="9"/>
      <c r="C23" s="10">
        <f>+C50</f>
        <v>0</v>
      </c>
      <c r="D23" s="8" t="s">
        <v>141</v>
      </c>
      <c r="E23" s="11">
        <v>4511</v>
      </c>
      <c r="F23" s="12" t="str">
        <f>IF(E23&gt;0,(VLOOKUP(E23,'Blnct AR'!$C$2:$D$2259,2,0))," ")</f>
        <v>Caixa Kwanza</v>
      </c>
      <c r="G23" s="12" t="s">
        <v>142</v>
      </c>
      <c r="H23" s="20"/>
      <c r="I23" s="20">
        <v>0</v>
      </c>
      <c r="J23" s="9"/>
    </row>
    <row r="24" spans="1:10" s="14" customFormat="1" ht="13.8">
      <c r="A24" s="8" t="str">
        <f>+A23</f>
        <v>21 Caixa</v>
      </c>
      <c r="B24" s="9"/>
      <c r="C24" s="10">
        <f>+C23</f>
        <v>0</v>
      </c>
      <c r="D24" s="8" t="s">
        <v>26</v>
      </c>
      <c r="E24" s="11">
        <v>34131</v>
      </c>
      <c r="F24" s="12" t="str">
        <f>IF(E24&gt;0,(VLOOKUP(E24,'Blnct AR'!$C$2:$D$2259,2,0))," ")</f>
        <v>Rf - juros bancarios</v>
      </c>
      <c r="G24" s="12" t="str">
        <f>+G23</f>
        <v>Pgto Rf Fornecedor</v>
      </c>
      <c r="H24" s="20">
        <f>+I23</f>
        <v>0</v>
      </c>
      <c r="I24" s="13"/>
      <c r="J24" s="9"/>
    </row>
    <row r="25" spans="1:10" s="14" customFormat="1" ht="13.8">
      <c r="A25" s="15"/>
      <c r="B25" s="9"/>
      <c r="C25" s="10"/>
      <c r="D25" s="8"/>
      <c r="E25" s="11"/>
      <c r="F25" s="12"/>
      <c r="G25" s="12"/>
      <c r="H25" s="20"/>
      <c r="I25" s="13"/>
      <c r="J25" s="9"/>
    </row>
    <row r="26" spans="1:10" s="14" customFormat="1" ht="13.8">
      <c r="A26" s="15" t="s">
        <v>143</v>
      </c>
      <c r="B26" s="9"/>
      <c r="C26" s="10">
        <f>+C55</f>
        <v>0</v>
      </c>
      <c r="D26" s="8" t="s">
        <v>130</v>
      </c>
      <c r="E26" s="11">
        <v>43102</v>
      </c>
      <c r="F26" s="12" t="str">
        <f>IF(E26&gt;0,(VLOOKUP(E26,'Blnct AR'!$C$2:$D$2259,2,0))," ")</f>
        <v>Banco - BECN. nº 0000984586</v>
      </c>
      <c r="G26" s="12" t="s">
        <v>144</v>
      </c>
      <c r="H26" s="20">
        <v>0</v>
      </c>
      <c r="I26" s="20"/>
      <c r="J26" s="9"/>
    </row>
    <row r="27" spans="1:10" s="14" customFormat="1" ht="13.8">
      <c r="A27" s="15" t="str">
        <f>+A26</f>
        <v>31 Bancos</v>
      </c>
      <c r="B27" s="9"/>
      <c r="C27" s="10">
        <f>+C26</f>
        <v>0</v>
      </c>
      <c r="D27" s="8" t="str">
        <f>+D26</f>
        <v>Rcbto</v>
      </c>
      <c r="E27" s="11">
        <v>31121008</v>
      </c>
      <c r="F27" s="12" t="str">
        <f>IF(E27&gt;0,(VLOOKUP(E27,'Blnct AR'!$C$2:$D$2259,2,0))," ")</f>
        <v>Mota-Engil Angola,S.A</v>
      </c>
      <c r="G27" s="12" t="str">
        <f>+G26</f>
        <v>Recibo Cliente</v>
      </c>
      <c r="H27" s="20"/>
      <c r="I27" s="13">
        <f>+H26</f>
        <v>0</v>
      </c>
      <c r="J27" s="9"/>
    </row>
    <row r="28" spans="1:10" s="14" customFormat="1" ht="13.8">
      <c r="A28" s="15"/>
      <c r="B28" s="9"/>
      <c r="C28" s="10"/>
      <c r="D28" s="8"/>
      <c r="E28" s="11"/>
      <c r="F28" s="12"/>
      <c r="G28" s="12"/>
      <c r="H28" s="20"/>
      <c r="I28" s="13"/>
      <c r="J28" s="9"/>
    </row>
    <row r="29" spans="1:10" s="14" customFormat="1" ht="13.8">
      <c r="A29" s="15" t="s">
        <v>143</v>
      </c>
      <c r="B29" s="9"/>
      <c r="C29" s="10">
        <f>+C58</f>
        <v>0</v>
      </c>
      <c r="D29" s="8" t="s">
        <v>145</v>
      </c>
      <c r="E29" s="11">
        <v>43102</v>
      </c>
      <c r="F29" s="12" t="str">
        <f>IF(E29&gt;0,(VLOOKUP(E29,'Blnct AR'!$C$2:$D$2259,2,0))," ")</f>
        <v>Banco - BECN. nº 0000984586</v>
      </c>
      <c r="G29" s="12" t="s">
        <v>146</v>
      </c>
      <c r="H29" s="20">
        <v>0</v>
      </c>
      <c r="I29" s="20"/>
      <c r="J29" s="9"/>
    </row>
    <row r="30" spans="1:10" s="14" customFormat="1" ht="13.8">
      <c r="A30" s="15" t="str">
        <f>+A29</f>
        <v>31 Bancos</v>
      </c>
      <c r="B30" s="9"/>
      <c r="C30" s="10">
        <f>+C29</f>
        <v>0</v>
      </c>
      <c r="D30" s="8" t="str">
        <f>+D29</f>
        <v>Dep_Num</v>
      </c>
      <c r="E30" s="11">
        <v>4511</v>
      </c>
      <c r="F30" s="12" t="str">
        <f>IF(E30&gt;0,(VLOOKUP(E30,'Blnct AR'!$C$2:$D$2259,2,0))," ")</f>
        <v>Caixa Kwanza</v>
      </c>
      <c r="G30" s="12" t="str">
        <f>+G29</f>
        <v>Depósito Numerário</v>
      </c>
      <c r="H30" s="20"/>
      <c r="I30" s="13">
        <f>+H29</f>
        <v>0</v>
      </c>
      <c r="J30" s="9"/>
    </row>
    <row r="31" spans="1:10" s="14" customFormat="1" ht="13.8">
      <c r="A31" s="15"/>
      <c r="B31" s="9"/>
      <c r="C31" s="10"/>
      <c r="D31" s="8"/>
      <c r="E31" s="11"/>
      <c r="F31" s="12"/>
      <c r="G31" s="12"/>
      <c r="H31" s="20"/>
      <c r="I31" s="13"/>
      <c r="J31" s="9"/>
    </row>
    <row r="32" spans="1:10" s="14" customFormat="1" ht="13.8">
      <c r="A32" s="15" t="s">
        <v>143</v>
      </c>
      <c r="B32" s="9"/>
      <c r="C32" s="10">
        <f>+C58</f>
        <v>0</v>
      </c>
      <c r="D32" s="8" t="s">
        <v>147</v>
      </c>
      <c r="E32" s="11">
        <v>43102</v>
      </c>
      <c r="F32" s="12" t="str">
        <f>IF(E32&gt;0,(VLOOKUP(E32,'Blnct AR'!$C$2:$D$2259,2,0))," ")</f>
        <v>Banco - BECN. nº 0000984586</v>
      </c>
      <c r="G32" s="12" t="s">
        <v>148</v>
      </c>
      <c r="H32" s="20">
        <v>0</v>
      </c>
      <c r="I32" s="20"/>
      <c r="J32" s="9"/>
    </row>
    <row r="33" spans="1:10" s="14" customFormat="1" ht="13.8">
      <c r="A33" s="15" t="str">
        <f>+A32</f>
        <v>31 Bancos</v>
      </c>
      <c r="B33" s="9"/>
      <c r="C33" s="10">
        <f>+C32</f>
        <v>0</v>
      </c>
      <c r="D33" s="8" t="str">
        <f>+D32</f>
        <v>Adtmto</v>
      </c>
      <c r="E33" s="11">
        <v>319121001</v>
      </c>
      <c r="F33" s="12" t="str">
        <f>IF(E33&gt;0,(VLOOKUP(E33,'Blnct AR'!$C$2:$D$2259,2,0))," ")</f>
        <v>Topoduarte Topografia e Imob, Lda</v>
      </c>
      <c r="G33" s="12" t="str">
        <f>+G32</f>
        <v>Adiantamento Cliente Cliente</v>
      </c>
      <c r="H33" s="20"/>
      <c r="I33" s="13">
        <f>+H32</f>
        <v>0</v>
      </c>
      <c r="J33" s="9"/>
    </row>
    <row r="34" spans="1:10" s="14" customFormat="1" ht="13.8">
      <c r="A34" s="16"/>
      <c r="B34" s="9"/>
      <c r="C34" s="10"/>
      <c r="D34" s="16"/>
      <c r="E34" s="24"/>
      <c r="F34" s="12"/>
      <c r="G34" s="24"/>
      <c r="H34" s="19"/>
      <c r="I34" s="19"/>
      <c r="J34" s="9"/>
    </row>
    <row r="35" spans="1:10" s="14" customFormat="1" ht="13.8">
      <c r="A35" s="15" t="s">
        <v>143</v>
      </c>
      <c r="B35" s="9"/>
      <c r="C35" s="10">
        <f>+C34</f>
        <v>0</v>
      </c>
      <c r="D35" s="8" t="s">
        <v>149</v>
      </c>
      <c r="E35" s="11">
        <v>43102</v>
      </c>
      <c r="F35" s="12" t="str">
        <f>IF(E35&gt;0,(VLOOKUP(E35,'Blnct AR'!$C$2:$D$2259,2,0))," ")</f>
        <v>Banco - BECN. nº 0000984586</v>
      </c>
      <c r="G35" s="12" t="s">
        <v>84</v>
      </c>
      <c r="H35" s="20"/>
      <c r="I35" s="20">
        <f>SUM(H36:H38)</f>
        <v>0</v>
      </c>
      <c r="J35" s="9"/>
    </row>
    <row r="36" spans="1:10" s="14" customFormat="1" ht="13.8">
      <c r="A36" s="15" t="str">
        <f>+A35</f>
        <v>31 Bancos</v>
      </c>
      <c r="B36" s="9"/>
      <c r="C36" s="10">
        <f>+C35</f>
        <v>0</v>
      </c>
      <c r="D36" s="8" t="str">
        <f>+D35</f>
        <v>Dsp_Bnk</v>
      </c>
      <c r="E36" s="11">
        <v>7673</v>
      </c>
      <c r="F36" s="12" t="str">
        <f>IF(E36&gt;0,(VLOOKUP(E36,'Blnct AR'!$C$2:$D$2259,2,0))," ")</f>
        <v>Despesas Bancárias</v>
      </c>
      <c r="G36" s="12" t="str">
        <f>+G35</f>
        <v>Despesas Bancárias</v>
      </c>
      <c r="H36" s="20">
        <v>0</v>
      </c>
      <c r="I36" s="13"/>
      <c r="J36" s="9"/>
    </row>
    <row r="37" spans="1:10" s="14" customFormat="1" ht="13.8">
      <c r="A37" s="15" t="str">
        <f>+A36</f>
        <v>31 Bancos</v>
      </c>
      <c r="B37" s="9"/>
      <c r="C37" s="10">
        <f>+C36</f>
        <v>0</v>
      </c>
      <c r="D37" s="8" t="str">
        <f>+D36</f>
        <v>Dsp_Bnk</v>
      </c>
      <c r="E37" s="11">
        <v>7674</v>
      </c>
      <c r="F37" s="12" t="e">
        <f>IF(E37&gt;0,(VLOOKUP(E37,'Blnct AR'!$C$2:$D$2259,2,0))," ")</f>
        <v>#N/A</v>
      </c>
      <c r="G37" s="12" t="str">
        <f>+G36</f>
        <v>Despesas Bancárias</v>
      </c>
      <c r="H37" s="20">
        <f>H36*0.7%</f>
        <v>0</v>
      </c>
      <c r="I37" s="13"/>
      <c r="J37" s="9"/>
    </row>
    <row r="38" spans="1:10" s="14" customFormat="1" ht="13.8">
      <c r="A38" s="15" t="str">
        <f>+A37</f>
        <v>31 Bancos</v>
      </c>
      <c r="B38" s="9"/>
      <c r="C38" s="10">
        <f>+C37</f>
        <v>0</v>
      </c>
      <c r="D38" s="8" t="str">
        <f>+D37</f>
        <v>Dsp_Bnk</v>
      </c>
      <c r="E38" s="11">
        <v>7675</v>
      </c>
      <c r="F38" s="12" t="e">
        <f>IF(E38&gt;0,(VLOOKUP(E38,'Blnct AR'!$C$2:$D$2259,2,0))," ")</f>
        <v>#N/A</v>
      </c>
      <c r="G38" s="12" t="str">
        <f>+G37</f>
        <v>Despesas Bancárias</v>
      </c>
      <c r="H38" s="20">
        <v>0</v>
      </c>
      <c r="I38" s="13"/>
      <c r="J38" s="9"/>
    </row>
    <row r="39" spans="1:10" s="14" customFormat="1" ht="13.8">
      <c r="A39" s="16"/>
      <c r="B39" s="9"/>
      <c r="D39" s="16"/>
      <c r="E39" s="24"/>
      <c r="F39" s="12" t="str">
        <f>IF(E39&gt;0,(VLOOKUP(E39,'Blnct AR'!$C$2:$D$2259,2,0))," ")</f>
        <v xml:space="preserve"> </v>
      </c>
      <c r="G39" s="24"/>
      <c r="H39" s="19"/>
      <c r="I39" s="19"/>
      <c r="J39" s="9"/>
    </row>
    <row r="40" spans="1:10" s="14" customFormat="1" ht="13.8">
      <c r="A40" s="15" t="s">
        <v>143</v>
      </c>
      <c r="B40" s="9"/>
      <c r="C40" s="10">
        <f>+C39</f>
        <v>0</v>
      </c>
      <c r="D40" s="8" t="s">
        <v>150</v>
      </c>
      <c r="E40" s="11">
        <v>43102</v>
      </c>
      <c r="F40" s="12" t="str">
        <f>IF(E40&gt;0,(VLOOKUP(E40,'Blnct AR'!$C$2:$D$2259,2,0))," ")</f>
        <v>Banco - BECN. nº 0000984586</v>
      </c>
      <c r="G40" s="21" t="s">
        <v>151</v>
      </c>
      <c r="H40" s="13"/>
      <c r="I40" s="13">
        <f>SUM(H41:H44)</f>
        <v>0</v>
      </c>
      <c r="J40" s="9"/>
    </row>
    <row r="41" spans="1:10" s="14" customFormat="1" ht="13.8">
      <c r="A41" s="15" t="str">
        <f>+A40</f>
        <v>31 Bancos</v>
      </c>
      <c r="B41" s="9"/>
      <c r="C41" s="10">
        <f>+C40</f>
        <v>0</v>
      </c>
      <c r="D41" s="8" t="str">
        <f>+D40</f>
        <v>Chq_Bnk</v>
      </c>
      <c r="E41" s="11">
        <v>7671</v>
      </c>
      <c r="F41" s="12" t="str">
        <f>IF(E41&gt;0,(VLOOKUP(E41,'Blnct AR'!$C$2:$D$2259,2,0))," ")</f>
        <v>Sb - livros bancarios</v>
      </c>
      <c r="G41" s="32" t="str">
        <f>+G40</f>
        <v>Emissão Cheques</v>
      </c>
      <c r="H41" s="13">
        <v>0</v>
      </c>
      <c r="I41" s="13"/>
      <c r="J41" s="9"/>
    </row>
    <row r="42" spans="1:10" s="14" customFormat="1" ht="13.8">
      <c r="A42" s="15" t="str">
        <f>+A41</f>
        <v>31 Bancos</v>
      </c>
      <c r="B42" s="9"/>
      <c r="C42" s="10">
        <f>+C41</f>
        <v>0</v>
      </c>
      <c r="D42" s="8" t="str">
        <f>+D41</f>
        <v>Chq_Bnk</v>
      </c>
      <c r="E42" s="11">
        <v>7674</v>
      </c>
      <c r="F42" s="12" t="e">
        <f>IF(E42&gt;0,(VLOOKUP(E42,'Blnct AR'!$C$2:$D$2259,2,0))," ")</f>
        <v>#N/A</v>
      </c>
      <c r="G42" s="32" t="str">
        <f>+G41</f>
        <v>Emissão Cheques</v>
      </c>
      <c r="H42" s="13">
        <v>0</v>
      </c>
      <c r="I42" s="13"/>
      <c r="J42" s="9"/>
    </row>
    <row r="43" spans="1:10" s="14" customFormat="1" ht="13.8">
      <c r="A43" s="15" t="str">
        <f>+A42</f>
        <v>31 Bancos</v>
      </c>
      <c r="B43" s="9"/>
      <c r="C43" s="10">
        <f>+C42</f>
        <v>0</v>
      </c>
      <c r="D43" s="8" t="str">
        <f>+D42</f>
        <v>Chq_Bnk</v>
      </c>
      <c r="E43" s="11">
        <v>7674</v>
      </c>
      <c r="F43" s="12" t="e">
        <f>IF(E43&gt;0,(VLOOKUP(E43,'Blnct AR'!$C$2:$D$2259,2,0))," ")</f>
        <v>#N/A</v>
      </c>
      <c r="G43" s="32" t="str">
        <f>+G42</f>
        <v>Emissão Cheques</v>
      </c>
      <c r="H43" s="13">
        <v>0</v>
      </c>
      <c r="I43" s="13"/>
      <c r="J43" s="9"/>
    </row>
    <row r="44" spans="1:10" s="14" customFormat="1" ht="13.8">
      <c r="A44" s="15" t="str">
        <f>+A42</f>
        <v>31 Bancos</v>
      </c>
      <c r="B44" s="9"/>
      <c r="C44" s="10">
        <f>+C42</f>
        <v>0</v>
      </c>
      <c r="D44" s="8" t="str">
        <f>+D42</f>
        <v>Chq_Bnk</v>
      </c>
      <c r="E44" s="11">
        <v>7675</v>
      </c>
      <c r="F44" s="12" t="e">
        <f>IF(E44&gt;0,(VLOOKUP(E44,'Blnct AR'!$C$2:$D$2259,2,0))," ")</f>
        <v>#N/A</v>
      </c>
      <c r="G44" s="32" t="str">
        <f>+G42</f>
        <v>Emissão Cheques</v>
      </c>
      <c r="H44" s="13">
        <v>0</v>
      </c>
      <c r="I44" s="13"/>
      <c r="J44" s="9"/>
    </row>
    <row r="45" spans="1:10" s="14" customFormat="1" ht="13.8">
      <c r="A45" s="15"/>
      <c r="B45" s="9"/>
      <c r="C45" s="10"/>
      <c r="D45" s="8"/>
      <c r="E45" s="11"/>
      <c r="F45" s="12"/>
      <c r="G45" s="21"/>
      <c r="H45" s="13"/>
      <c r="I45" s="13"/>
      <c r="J45" s="9"/>
    </row>
    <row r="46" spans="1:10" s="14" customFormat="1" ht="13.8">
      <c r="A46" s="15" t="s">
        <v>143</v>
      </c>
      <c r="B46" s="9"/>
      <c r="C46" s="10">
        <f>+C45</f>
        <v>0</v>
      </c>
      <c r="D46" s="8" t="s">
        <v>152</v>
      </c>
      <c r="E46" s="11">
        <v>43105</v>
      </c>
      <c r="F46" s="12" t="str">
        <f>IF(E46&gt;0,(VLOOKUP(E46,'Blnct AR'!$C$2:$D$2259,2,0))," ")</f>
        <v>Banco Valor- 00022736510001</v>
      </c>
      <c r="G46" s="21" t="s">
        <v>153</v>
      </c>
      <c r="H46" s="13"/>
      <c r="I46" s="13">
        <f>SUM(H47:H49)</f>
        <v>2016</v>
      </c>
      <c r="J46" s="9"/>
    </row>
    <row r="47" spans="1:10" s="14" customFormat="1" ht="13.8">
      <c r="A47" s="15" t="str">
        <f>+A46</f>
        <v>31 Bancos</v>
      </c>
      <c r="B47" s="9"/>
      <c r="C47" s="10">
        <f>+C46</f>
        <v>0</v>
      </c>
      <c r="D47" s="8" t="str">
        <f>+D46</f>
        <v>Cms_Bnk</v>
      </c>
      <c r="E47" s="11">
        <v>7672</v>
      </c>
      <c r="F47" s="12" t="str">
        <f>IF(E47&gt;0,(VLOOKUP(E47,'Blnct AR'!$C$2:$D$2259,2,0))," ")</f>
        <v>Sb - importação e exportação</v>
      </c>
      <c r="G47" s="32" t="str">
        <f>+G46</f>
        <v>Comissão</v>
      </c>
      <c r="H47" s="13">
        <v>2000</v>
      </c>
      <c r="I47" s="13"/>
      <c r="J47" s="9"/>
    </row>
    <row r="48" spans="1:10" s="14" customFormat="1" ht="13.8">
      <c r="A48" s="15" t="str">
        <f>+A47</f>
        <v>31 Bancos</v>
      </c>
      <c r="B48" s="9"/>
      <c r="C48" s="10">
        <f>+C47</f>
        <v>0</v>
      </c>
      <c r="D48" s="8" t="str">
        <f>+D47</f>
        <v>Cms_Bnk</v>
      </c>
      <c r="E48" s="11">
        <v>7674</v>
      </c>
      <c r="F48" s="12" t="e">
        <f>IF(E48&gt;0,(VLOOKUP(E48,'Blnct AR'!$C$2:$D$2259,2,0))," ")</f>
        <v>#N/A</v>
      </c>
      <c r="G48" s="32" t="str">
        <f>+G47</f>
        <v>Comissão</v>
      </c>
      <c r="H48" s="13">
        <v>14</v>
      </c>
      <c r="I48" s="13"/>
      <c r="J48" s="9"/>
    </row>
    <row r="49" spans="1:10" s="14" customFormat="1" ht="13.8">
      <c r="A49" s="15" t="str">
        <f>+A48</f>
        <v>31 Bancos</v>
      </c>
      <c r="B49" s="9"/>
      <c r="C49" s="10">
        <f>+C48</f>
        <v>0</v>
      </c>
      <c r="D49" s="8" t="str">
        <f>+D48</f>
        <v>Cms_Bnk</v>
      </c>
      <c r="E49" s="11">
        <v>7675</v>
      </c>
      <c r="F49" s="12" t="e">
        <f>IF(E49&gt;0,(VLOOKUP(E49,'Blnct AR'!$C$2:$D$2259,2,0))," ")</f>
        <v>#N/A</v>
      </c>
      <c r="G49" s="32" t="str">
        <f>+G48</f>
        <v>Comissão</v>
      </c>
      <c r="H49" s="13">
        <v>2</v>
      </c>
      <c r="I49" s="13"/>
      <c r="J49" s="9"/>
    </row>
    <row r="50" spans="1:10" s="14" customFormat="1" ht="13.8">
      <c r="A50" s="16"/>
      <c r="B50" s="9"/>
      <c r="D50" s="16"/>
      <c r="E50" s="24"/>
      <c r="F50" s="12" t="str">
        <f>IF(E50&gt;0,(VLOOKUP(E50,'Blnct AR'!$C$2:$D$2259,2,0))," ")</f>
        <v xml:space="preserve"> </v>
      </c>
      <c r="G50" s="24"/>
      <c r="H50" s="19"/>
      <c r="I50" s="19"/>
      <c r="J50" s="9"/>
    </row>
    <row r="51" spans="1:10" s="14" customFormat="1" ht="13.8">
      <c r="A51" s="15" t="s">
        <v>143</v>
      </c>
      <c r="B51" s="9"/>
      <c r="C51" s="10">
        <f>+C50</f>
        <v>0</v>
      </c>
      <c r="D51" s="8" t="s">
        <v>154</v>
      </c>
      <c r="E51" s="11">
        <v>43102</v>
      </c>
      <c r="F51" s="12" t="str">
        <f>IF(E51&gt;0,(VLOOKUP(E51,'Blnct AR'!$C$2:$D$2259,2,0))," ")</f>
        <v>Banco - BECN. nº 0000984586</v>
      </c>
      <c r="G51" s="21" t="s">
        <v>155</v>
      </c>
      <c r="H51" s="13"/>
      <c r="I51" s="13">
        <v>2000000</v>
      </c>
      <c r="J51" s="9"/>
    </row>
    <row r="52" spans="1:10" s="14" customFormat="1" ht="13.8">
      <c r="A52" s="15" t="str">
        <f>+A51</f>
        <v>31 Bancos</v>
      </c>
      <c r="B52" s="9"/>
      <c r="C52" s="10">
        <f>+C51</f>
        <v>0</v>
      </c>
      <c r="D52" s="8" t="s">
        <v>154</v>
      </c>
      <c r="E52" s="11">
        <v>4511</v>
      </c>
      <c r="F52" s="12" t="str">
        <f>IF(E52&gt;0,(VLOOKUP(E52,'Blnct AR'!$C$2:$D$2259,2,0))," ")</f>
        <v>Caixa Kwanza</v>
      </c>
      <c r="G52" s="32" t="str">
        <f>+G51</f>
        <v>Cheque de caixa</v>
      </c>
      <c r="H52" s="13">
        <f>+I51</f>
        <v>2000000</v>
      </c>
      <c r="I52" s="13"/>
      <c r="J52" s="9"/>
    </row>
    <row r="53" spans="1:10" s="14" customFormat="1" ht="13.8">
      <c r="A53" s="15" t="str">
        <f>+A52</f>
        <v>31 Bancos</v>
      </c>
      <c r="B53" s="9"/>
      <c r="C53" s="10">
        <f>+C52</f>
        <v>0</v>
      </c>
      <c r="D53" s="8" t="str">
        <f>+D51</f>
        <v>Chq_Cx</v>
      </c>
      <c r="E53" s="11">
        <v>43102</v>
      </c>
      <c r="F53" s="12" t="str">
        <f>IF(E53&gt;0,(VLOOKUP(E53,'Blnct AR'!$C$2:$D$2259,2,0))," ")</f>
        <v>Banco - BECN. nº 0000984586</v>
      </c>
      <c r="G53" s="32" t="str">
        <f>+G52</f>
        <v>Cheque de caixa</v>
      </c>
      <c r="H53" s="13"/>
      <c r="I53" s="13">
        <f>I51*0.1%</f>
        <v>2000</v>
      </c>
      <c r="J53" s="9"/>
    </row>
    <row r="54" spans="1:10" s="14" customFormat="1" ht="13.8">
      <c r="A54" s="15" t="str">
        <f>+A53</f>
        <v>31 Bancos</v>
      </c>
      <c r="B54" s="9"/>
      <c r="C54" s="10">
        <f>+C53</f>
        <v>0</v>
      </c>
      <c r="D54" s="8" t="str">
        <f>+D52</f>
        <v>Chq_Cx</v>
      </c>
      <c r="E54" s="11">
        <v>7675</v>
      </c>
      <c r="F54" s="12" t="e">
        <f>IF(E54&gt;0,(VLOOKUP(E54,'Blnct AR'!$C$2:$D$2259,2,0))," ")</f>
        <v>#N/A</v>
      </c>
      <c r="G54" s="32" t="str">
        <f>+G53</f>
        <v>Cheque de caixa</v>
      </c>
      <c r="H54" s="13">
        <f>+I53</f>
        <v>2000</v>
      </c>
      <c r="I54" s="13"/>
      <c r="J54" s="9"/>
    </row>
    <row r="55" spans="1:10" s="14" customFormat="1" ht="13.8">
      <c r="A55" s="16"/>
      <c r="B55" s="9"/>
      <c r="D55" s="16"/>
      <c r="E55" s="24"/>
      <c r="F55" s="12" t="str">
        <f>IF(E55&gt;0,(VLOOKUP(E55,'Blnct AR'!$C$2:$D$2259,2,0))," ")</f>
        <v xml:space="preserve"> </v>
      </c>
      <c r="G55" s="24"/>
      <c r="H55" s="19"/>
      <c r="I55" s="19"/>
      <c r="J55" s="9"/>
    </row>
    <row r="56" spans="1:10" s="14" customFormat="1" ht="13.8">
      <c r="A56" s="15" t="s">
        <v>143</v>
      </c>
      <c r="B56" s="9"/>
      <c r="C56" s="10">
        <f>+C55</f>
        <v>0</v>
      </c>
      <c r="D56" s="8" t="s">
        <v>156</v>
      </c>
      <c r="E56" s="11">
        <v>43102</v>
      </c>
      <c r="F56" s="12" t="str">
        <f>IF(E56&gt;0,(VLOOKUP(E56,'Blnct AR'!$C$2:$D$2259,2,0))," ")</f>
        <v>Banco - BECN. nº 0000984586</v>
      </c>
      <c r="G56" s="21" t="s">
        <v>157</v>
      </c>
      <c r="H56" s="13"/>
      <c r="I56" s="13">
        <f>SUM(H57:H59)</f>
        <v>0</v>
      </c>
      <c r="J56" s="9"/>
    </row>
    <row r="57" spans="1:10" s="14" customFormat="1" ht="13.8">
      <c r="A57" s="15" t="str">
        <f>+A56</f>
        <v>31 Bancos</v>
      </c>
      <c r="B57" s="9"/>
      <c r="C57" s="10">
        <f>+C56</f>
        <v>0</v>
      </c>
      <c r="D57" s="8" t="s">
        <v>156</v>
      </c>
      <c r="E57" s="11">
        <v>3773</v>
      </c>
      <c r="F57" s="12" t="e">
        <f>IF(E57&gt;0,(VLOOKUP(E57,'Blnct AR'!$C$2:$D$2259,2,0))," ")</f>
        <v>#N/A</v>
      </c>
      <c r="G57" s="32" t="str">
        <f>+G56</f>
        <v>Cheque de caixa ERP</v>
      </c>
      <c r="H57" s="13">
        <v>0</v>
      </c>
      <c r="I57" s="13"/>
      <c r="J57" s="9"/>
    </row>
    <row r="58" spans="1:10" s="14" customFormat="1" ht="13.8">
      <c r="A58" s="15" t="str">
        <f>+A57</f>
        <v>31 Bancos</v>
      </c>
      <c r="B58" s="9"/>
      <c r="C58" s="10">
        <f>+C57</f>
        <v>0</v>
      </c>
      <c r="D58" s="8" t="str">
        <f>+D56</f>
        <v>Chq_Erp</v>
      </c>
      <c r="E58" s="11">
        <v>7673</v>
      </c>
      <c r="F58" s="12" t="str">
        <f>IF(E58&gt;0,(VLOOKUP(E58,'Blnct AR'!$C$2:$D$2259,2,0))," ")</f>
        <v>Despesas Bancárias</v>
      </c>
      <c r="G58" s="32" t="str">
        <f>+G57</f>
        <v>Cheque de caixa ERP</v>
      </c>
      <c r="H58" s="13">
        <v>0</v>
      </c>
      <c r="I58" s="13"/>
      <c r="J58" s="9"/>
    </row>
    <row r="59" spans="1:10" s="14" customFormat="1" ht="13.8">
      <c r="A59" s="15" t="str">
        <f>+A58</f>
        <v>31 Bancos</v>
      </c>
      <c r="B59" s="9"/>
      <c r="C59" s="10">
        <f>+C58</f>
        <v>0</v>
      </c>
      <c r="D59" s="8" t="str">
        <f>+D58</f>
        <v>Chq_Erp</v>
      </c>
      <c r="E59" s="11">
        <v>7674</v>
      </c>
      <c r="F59" s="12" t="e">
        <f>IF(E59&gt;0,(VLOOKUP(E59,'Blnct AR'!$C$2:$D$2259,2,0))," ")</f>
        <v>#N/A</v>
      </c>
      <c r="G59" s="32" t="str">
        <f>+G58</f>
        <v>Cheque de caixa ERP</v>
      </c>
      <c r="H59" s="13">
        <f>H58*0.7%</f>
        <v>0</v>
      </c>
      <c r="I59" s="13"/>
      <c r="J59" s="9"/>
    </row>
    <row r="60" spans="1:10" s="14" customFormat="1" ht="13.8">
      <c r="A60" s="15"/>
      <c r="B60" s="9"/>
      <c r="C60" s="10"/>
      <c r="D60" s="8"/>
      <c r="E60" s="11"/>
      <c r="F60" s="12"/>
      <c r="G60" s="32"/>
      <c r="H60" s="13"/>
      <c r="I60" s="13"/>
      <c r="J60" s="9"/>
    </row>
    <row r="61" spans="1:10" s="14" customFormat="1" ht="13.8">
      <c r="A61" s="15" t="s">
        <v>143</v>
      </c>
      <c r="B61" s="9"/>
      <c r="C61" s="10">
        <f>+C60</f>
        <v>0</v>
      </c>
      <c r="D61" s="8" t="s">
        <v>158</v>
      </c>
      <c r="E61" s="11">
        <v>43102</v>
      </c>
      <c r="F61" s="12" t="str">
        <f>IF(E61&gt;0,(VLOOKUP(E61,'Blnct AR'!$C$2:$D$2259,2,0))," ")</f>
        <v>Banco - BECN. nº 0000984586</v>
      </c>
      <c r="G61" s="21" t="s">
        <v>159</v>
      </c>
      <c r="H61" s="13"/>
      <c r="I61" s="13">
        <f>SUM(H62:H64)</f>
        <v>0</v>
      </c>
      <c r="J61" s="9"/>
    </row>
    <row r="62" spans="1:10" s="14" customFormat="1" ht="13.8">
      <c r="A62" s="15" t="str">
        <f>+A61</f>
        <v>31 Bancos</v>
      </c>
      <c r="B62" s="9"/>
      <c r="C62" s="10">
        <f>+C61</f>
        <v>0</v>
      </c>
      <c r="D62" s="8" t="s">
        <v>156</v>
      </c>
      <c r="E62" s="11">
        <v>33921</v>
      </c>
      <c r="F62" s="12" t="str">
        <f>IF(E62&gt;0,(VLOOKUP(E62,'Blnct AR'!$C$2:$D$2259,2,0))," ")</f>
        <v>Entidade grupo</v>
      </c>
      <c r="G62" s="32" t="str">
        <f>+G61</f>
        <v>Transf. Para Iberestradas</v>
      </c>
      <c r="H62" s="13">
        <v>0</v>
      </c>
      <c r="I62" s="13"/>
      <c r="J62" s="9"/>
    </row>
    <row r="63" spans="1:10" s="14" customFormat="1" ht="13.8">
      <c r="A63" s="15" t="str">
        <f>+A62</f>
        <v>31 Bancos</v>
      </c>
      <c r="B63" s="9"/>
      <c r="C63" s="10">
        <f>+C62</f>
        <v>0</v>
      </c>
      <c r="D63" s="8" t="str">
        <f>+D61</f>
        <v>Tranf_Ent</v>
      </c>
      <c r="E63" s="11">
        <v>7673</v>
      </c>
      <c r="F63" s="12" t="str">
        <f>IF(E63&gt;0,(VLOOKUP(E63,'Blnct AR'!$C$2:$D$2259,2,0))," ")</f>
        <v>Despesas Bancárias</v>
      </c>
      <c r="G63" s="32" t="str">
        <f>+G62</f>
        <v>Transf. Para Iberestradas</v>
      </c>
      <c r="H63" s="13">
        <v>0</v>
      </c>
      <c r="I63" s="13"/>
      <c r="J63" s="9"/>
    </row>
    <row r="64" spans="1:10" s="14" customFormat="1" ht="13.8">
      <c r="A64" s="15" t="str">
        <f>+A63</f>
        <v>31 Bancos</v>
      </c>
      <c r="B64" s="9"/>
      <c r="C64" s="10">
        <f>+C63</f>
        <v>0</v>
      </c>
      <c r="D64" s="8" t="str">
        <f>+D63</f>
        <v>Tranf_Ent</v>
      </c>
      <c r="E64" s="11">
        <v>7674</v>
      </c>
      <c r="F64" s="12" t="e">
        <f>IF(E64&gt;0,(VLOOKUP(E64,'Blnct AR'!$C$2:$D$2259,2,0))," ")</f>
        <v>#N/A</v>
      </c>
      <c r="G64" s="32" t="str">
        <f>+G63</f>
        <v>Transf. Para Iberestradas</v>
      </c>
      <c r="H64" s="13">
        <f>H63*0.7%</f>
        <v>0</v>
      </c>
      <c r="I64" s="13"/>
      <c r="J64" s="9"/>
    </row>
    <row r="65" spans="1:10" s="14" customFormat="1" ht="13.8">
      <c r="A65" s="16"/>
      <c r="B65" s="9"/>
      <c r="D65" s="16"/>
      <c r="E65" s="24"/>
      <c r="F65" s="12" t="str">
        <f>IF(E65&gt;0,(VLOOKUP(E65,'Blnct AR'!$C$2:$D$2259,2,0))," ")</f>
        <v xml:space="preserve"> </v>
      </c>
      <c r="G65" s="24"/>
      <c r="H65" s="19"/>
      <c r="I65" s="19"/>
      <c r="J65" s="9"/>
    </row>
    <row r="66" spans="1:10" s="14" customFormat="1" ht="13.8">
      <c r="A66" s="15" t="s">
        <v>160</v>
      </c>
      <c r="B66" s="9"/>
      <c r="C66" s="10">
        <f>+C54</f>
        <v>0</v>
      </c>
      <c r="D66" s="8" t="s">
        <v>161</v>
      </c>
      <c r="E66" s="11">
        <v>43102</v>
      </c>
      <c r="F66" s="12" t="str">
        <f>IF(E66&gt;0,(VLOOKUP(E66,'Blnct AR'!$C$2:$D$2259,2,0))," ")</f>
        <v>Banco - BECN. nº 0000984586</v>
      </c>
      <c r="G66" s="12" t="s">
        <v>162</v>
      </c>
      <c r="H66" s="20"/>
      <c r="I66" s="20">
        <f>SUM(H67:H67)</f>
        <v>0</v>
      </c>
      <c r="J66" s="9"/>
    </row>
    <row r="67" spans="1:10" s="14" customFormat="1" ht="13.8">
      <c r="A67" s="15" t="str">
        <f>+A66</f>
        <v>32 Bancos</v>
      </c>
      <c r="B67" s="9"/>
      <c r="C67" s="10">
        <f>+C55</f>
        <v>0</v>
      </c>
      <c r="D67" s="8" t="s">
        <v>161</v>
      </c>
      <c r="E67" s="11">
        <v>32121001</v>
      </c>
      <c r="F67" s="12" t="str">
        <f>IF(E67&gt;0,(VLOOKUP(E67,'Blnct AR'!$C$2:$D$2259,2,0))," ")</f>
        <v>Gameiro Advogados, Lda.</v>
      </c>
      <c r="G67" s="12" t="str">
        <f>+G66</f>
        <v>Pgto Fornecedor</v>
      </c>
      <c r="H67" s="20">
        <v>0</v>
      </c>
      <c r="I67" s="20"/>
      <c r="J67" s="9"/>
    </row>
    <row r="68" spans="1:10" s="14" customFormat="1" ht="13.8">
      <c r="A68" s="16"/>
      <c r="B68" s="9"/>
      <c r="D68" s="16"/>
      <c r="E68" s="24"/>
      <c r="F68" s="12"/>
      <c r="G68" s="24"/>
      <c r="H68" s="19"/>
      <c r="I68" s="19"/>
      <c r="J68" s="9"/>
    </row>
    <row r="69" spans="1:10" s="14" customFormat="1" ht="13.8">
      <c r="A69" s="16" t="s">
        <v>163</v>
      </c>
      <c r="B69" s="9"/>
      <c r="C69" s="10">
        <f>+C65</f>
        <v>0</v>
      </c>
      <c r="D69" s="8" t="s">
        <v>164</v>
      </c>
      <c r="E69" s="11">
        <v>32121001</v>
      </c>
      <c r="F69" s="12" t="str">
        <f>IF(E69&gt;0,(VLOOKUP(E69,'Blnct AR'!$C$2:$D$2259,2,0))," ")</f>
        <v>Gameiro Advogados, Lda.</v>
      </c>
      <c r="G69" s="12" t="s">
        <v>165</v>
      </c>
      <c r="H69" s="20"/>
      <c r="I69" s="20">
        <v>0</v>
      </c>
      <c r="J69" s="9"/>
    </row>
    <row r="70" spans="1:10" s="14" customFormat="1" ht="13.8">
      <c r="A70" s="15" t="str">
        <f>+A69</f>
        <v>41 Compras</v>
      </c>
      <c r="B70" s="9"/>
      <c r="C70" s="10">
        <f>+C69</f>
        <v>0</v>
      </c>
      <c r="D70" s="8" t="str">
        <f>+D69</f>
        <v>Cmp_Crd</v>
      </c>
      <c r="E70" s="11">
        <v>211111</v>
      </c>
      <c r="F70" s="12" t="str">
        <f>IF(E70&gt;0,(VLOOKUP(E70,'Blnct AR'!$C$2:$D$2259,2,0))," ")</f>
        <v>Mp.MN-Custo de factura</v>
      </c>
      <c r="G70" s="12" t="str">
        <f>+G69</f>
        <v>Compra a fornecedor</v>
      </c>
      <c r="H70" s="20">
        <f>+I69</f>
        <v>0</v>
      </c>
      <c r="I70" s="13"/>
      <c r="J70" s="9"/>
    </row>
    <row r="71" spans="1:10" s="14" customFormat="1" ht="13.8">
      <c r="A71" s="16"/>
      <c r="B71" s="9"/>
      <c r="D71" s="16"/>
      <c r="E71" s="24"/>
      <c r="F71" s="12" t="str">
        <f>IF(E71&gt;0,(VLOOKUP(E71,'Blnct AR'!$C$2:$D$2259,2,0))," ")</f>
        <v xml:space="preserve"> </v>
      </c>
      <c r="G71" s="24"/>
      <c r="H71" s="19"/>
      <c r="I71" s="19"/>
      <c r="J71" s="9"/>
    </row>
    <row r="72" spans="1:10" s="14" customFormat="1" ht="13.8">
      <c r="A72" s="16" t="s">
        <v>163</v>
      </c>
      <c r="B72" s="9"/>
      <c r="C72" s="10">
        <f>+C71</f>
        <v>0</v>
      </c>
      <c r="D72" s="8" t="s">
        <v>166</v>
      </c>
      <c r="E72" s="11">
        <v>4511</v>
      </c>
      <c r="F72" s="12" t="str">
        <f>IF(E72&gt;0,(VLOOKUP(E72,'Blnct AR'!$C$2:$D$2259,2,0))," ")</f>
        <v>Caixa Kwanza</v>
      </c>
      <c r="G72" s="12" t="s">
        <v>165</v>
      </c>
      <c r="H72" s="13"/>
      <c r="I72" s="13">
        <v>0</v>
      </c>
      <c r="J72" s="9"/>
    </row>
    <row r="73" spans="1:10" s="14" customFormat="1" ht="13.8">
      <c r="A73" s="15" t="str">
        <f>+A72</f>
        <v>41 Compras</v>
      </c>
      <c r="B73" s="9"/>
      <c r="C73" s="10">
        <f>+C72</f>
        <v>0</v>
      </c>
      <c r="D73" s="8" t="str">
        <f>+D72</f>
        <v>Cmp_Dnh</v>
      </c>
      <c r="E73" s="11">
        <v>32121001</v>
      </c>
      <c r="F73" s="12" t="str">
        <f>IF(E73&gt;0,(VLOOKUP(E73,'Blnct AR'!$C$2:$D$2259,2,0))," ")</f>
        <v>Gameiro Advogados, Lda.</v>
      </c>
      <c r="G73" s="12" t="str">
        <f>+G72</f>
        <v>Compra a fornecedor</v>
      </c>
      <c r="H73" s="13">
        <v>0</v>
      </c>
      <c r="I73" s="13"/>
      <c r="J73" s="9"/>
    </row>
    <row r="74" spans="1:10" s="14" customFormat="1" ht="13.8">
      <c r="A74" s="15" t="str">
        <f>+A73</f>
        <v>41 Compras</v>
      </c>
      <c r="B74" s="9"/>
      <c r="C74" s="10">
        <f>+C73</f>
        <v>0</v>
      </c>
      <c r="D74" s="8" t="str">
        <f>+D73</f>
        <v>Cmp_Dnh</v>
      </c>
      <c r="E74" s="11">
        <v>211111</v>
      </c>
      <c r="F74" s="12" t="str">
        <f>IF(E74&gt;0,(VLOOKUP(E74,'Blnct AR'!$C$2:$D$2259,2,0))," ")</f>
        <v>Mp.MN-Custo de factura</v>
      </c>
      <c r="G74" s="12" t="str">
        <f>+G73</f>
        <v>Compra a fornecedor</v>
      </c>
      <c r="H74" s="13"/>
      <c r="I74" s="13">
        <v>0</v>
      </c>
      <c r="J74" s="9"/>
    </row>
    <row r="75" spans="1:10" s="14" customFormat="1" ht="13.8">
      <c r="A75" s="15" t="str">
        <f>+A74</f>
        <v>41 Compras</v>
      </c>
      <c r="B75" s="9"/>
      <c r="C75" s="10">
        <f>+C74</f>
        <v>0</v>
      </c>
      <c r="D75" s="8" t="str">
        <f>+D74</f>
        <v>Cmp_Dnh</v>
      </c>
      <c r="E75" s="11">
        <v>32121001</v>
      </c>
      <c r="F75" s="12" t="str">
        <f>IF(E75&gt;0,(VLOOKUP(E75,'Blnct AR'!$C$2:$D$2259,2,0))," ")</f>
        <v>Gameiro Advogados, Lda.</v>
      </c>
      <c r="G75" s="12" t="str">
        <f>+G74</f>
        <v>Compra a fornecedor</v>
      </c>
      <c r="H75" s="13">
        <v>0</v>
      </c>
      <c r="I75" s="13"/>
      <c r="J75" s="9"/>
    </row>
    <row r="76" spans="1:10" s="14" customFormat="1" ht="13.8">
      <c r="A76" s="15"/>
      <c r="B76" s="9"/>
      <c r="C76" s="10"/>
      <c r="D76" s="8"/>
      <c r="E76" s="11"/>
      <c r="F76" s="12" t="str">
        <f>IF(E76&gt;0,(VLOOKUP(E76,'Blnct AR'!$C$2:$D$2259,2,0))," ")</f>
        <v xml:space="preserve"> </v>
      </c>
      <c r="G76" s="12"/>
      <c r="H76" s="13"/>
      <c r="I76" s="13"/>
      <c r="J76" s="9"/>
    </row>
    <row r="77" spans="1:10" s="14" customFormat="1" ht="13.8">
      <c r="A77" s="16" t="s">
        <v>167</v>
      </c>
      <c r="B77" s="9"/>
      <c r="C77" s="10">
        <f>+C76</f>
        <v>0</v>
      </c>
      <c r="D77" s="8" t="s">
        <v>26</v>
      </c>
      <c r="E77" s="11">
        <v>752262</v>
      </c>
      <c r="F77" s="12" t="str">
        <f>IF(E77&gt;0,(VLOOKUP(E77,'Blnct AR'!$C$2:$D$2259,2,0))," ")</f>
        <v>Edifícios e outras construções</v>
      </c>
      <c r="G77" s="12" t="s">
        <v>48</v>
      </c>
      <c r="H77" s="13">
        <v>0</v>
      </c>
      <c r="I77" s="13"/>
      <c r="J77" s="9"/>
    </row>
    <row r="78" spans="1:10" s="14" customFormat="1" ht="13.8">
      <c r="A78" s="15" t="str">
        <f>+A77</f>
        <v>42 FST</v>
      </c>
      <c r="B78" s="9"/>
      <c r="C78" s="10">
        <f>+C77</f>
        <v>0</v>
      </c>
      <c r="D78" s="8" t="str">
        <f>+D77</f>
        <v>Dsp_FST</v>
      </c>
      <c r="E78" s="11">
        <v>4511</v>
      </c>
      <c r="F78" s="12" t="str">
        <f>IF(E78&gt;0,(VLOOKUP(E78,'Blnct AR'!$C$2:$D$2259,2,0))," ")</f>
        <v>Caixa Kwanza</v>
      </c>
      <c r="G78" s="12" t="s">
        <v>48</v>
      </c>
      <c r="H78" s="13"/>
      <c r="I78" s="13">
        <v>0</v>
      </c>
      <c r="J78" s="9"/>
    </row>
    <row r="79" spans="1:10" s="14" customFormat="1" ht="13.8">
      <c r="A79" s="15"/>
      <c r="B79" s="9"/>
      <c r="C79" s="10"/>
      <c r="D79" s="8"/>
      <c r="E79" s="11"/>
      <c r="F79" s="12"/>
      <c r="G79" s="12"/>
      <c r="H79" s="13"/>
      <c r="I79" s="13"/>
      <c r="J79" s="9"/>
    </row>
    <row r="80" spans="1:10" s="14" customFormat="1" ht="13.8">
      <c r="A80" s="16" t="s">
        <v>167</v>
      </c>
      <c r="B80" s="9"/>
      <c r="C80" s="10">
        <f>+C76</f>
        <v>0</v>
      </c>
      <c r="D80" s="8" t="s">
        <v>26</v>
      </c>
      <c r="E80" s="11">
        <v>4511</v>
      </c>
      <c r="F80" s="12" t="str">
        <f>IF(E80&gt;0,(VLOOKUP(E80,'Blnct AR'!$C$2:$D$2259,2,0))," ")</f>
        <v>Caixa Kwanza</v>
      </c>
      <c r="G80" s="12" t="s">
        <v>50</v>
      </c>
      <c r="H80" s="13"/>
      <c r="I80" s="13">
        <f>SUM(H81:H82)</f>
        <v>0</v>
      </c>
      <c r="J80" s="9"/>
    </row>
    <row r="81" spans="1:10" s="14" customFormat="1" ht="13.8">
      <c r="A81" s="15" t="str">
        <f>+A80</f>
        <v>42 FST</v>
      </c>
      <c r="B81" s="9"/>
      <c r="C81" s="10">
        <f>+C80</f>
        <v>0</v>
      </c>
      <c r="D81" s="8" t="str">
        <f>+D80</f>
        <v>Dsp_FST</v>
      </c>
      <c r="E81" s="11">
        <v>752144</v>
      </c>
      <c r="F81" s="12" t="str">
        <f>IF(E81&gt;0,(VLOOKUP(E81,'Blnct AR'!$C$2:$D$2259,2,0))," ")</f>
        <v>Equipamento de carga e transporte</v>
      </c>
      <c r="G81" s="12" t="s">
        <v>51</v>
      </c>
      <c r="H81" s="13">
        <v>0</v>
      </c>
      <c r="I81" s="13"/>
      <c r="J81" s="9"/>
    </row>
    <row r="82" spans="1:10" s="14" customFormat="1" ht="13.8">
      <c r="A82" s="15" t="str">
        <f>+A81</f>
        <v>42 FST</v>
      </c>
      <c r="B82" s="9"/>
      <c r="C82" s="10">
        <f>+C81</f>
        <v>0</v>
      </c>
      <c r="D82" s="8" t="s">
        <v>26</v>
      </c>
      <c r="E82" s="11">
        <v>752264</v>
      </c>
      <c r="F82" s="12" t="str">
        <f>IF(E82&gt;0,(VLOOKUP(E82,'Blnct AR'!$C$2:$D$2259,2,0))," ")</f>
        <v>Equipamento de carga e transporte</v>
      </c>
      <c r="G82" s="12" t="s">
        <v>52</v>
      </c>
      <c r="H82" s="13">
        <v>0</v>
      </c>
      <c r="I82" s="13"/>
      <c r="J82" s="9"/>
    </row>
    <row r="83" spans="1:10" s="14" customFormat="1" ht="13.8">
      <c r="A83" s="15"/>
      <c r="B83" s="9"/>
      <c r="C83" s="10"/>
      <c r="D83" s="8"/>
      <c r="E83" s="11"/>
      <c r="F83" s="12"/>
      <c r="G83" s="12"/>
      <c r="H83" s="13"/>
      <c r="I83" s="13"/>
      <c r="J83" s="9"/>
    </row>
    <row r="84" spans="1:10" s="14" customFormat="1" ht="13.8">
      <c r="A84" s="15" t="s">
        <v>167</v>
      </c>
      <c r="B84" s="9"/>
      <c r="C84" s="10">
        <f>+C83</f>
        <v>0</v>
      </c>
      <c r="D84" s="8" t="s">
        <v>26</v>
      </c>
      <c r="E84" s="11">
        <v>752149</v>
      </c>
      <c r="F84" s="12" t="str">
        <f>IF(E84&gt;0,(VLOOKUP(E84,'Blnct AR'!$C$2:$D$2259,2,0))," ")</f>
        <v>Outras</v>
      </c>
      <c r="G84" s="12" t="s">
        <v>54</v>
      </c>
      <c r="H84" s="13">
        <v>0</v>
      </c>
      <c r="I84" s="13"/>
      <c r="J84" s="9"/>
    </row>
    <row r="85" spans="1:10" s="14" customFormat="1" ht="13.8">
      <c r="A85" s="15" t="str">
        <f>+A84</f>
        <v>42 FST</v>
      </c>
      <c r="B85" s="9"/>
      <c r="C85" s="10">
        <f>+C84</f>
        <v>0</v>
      </c>
      <c r="D85" s="8" t="str">
        <f>+D84</f>
        <v>Dsp_FST</v>
      </c>
      <c r="E85" s="11">
        <v>4511</v>
      </c>
      <c r="F85" s="12" t="str">
        <f>IF(E85&gt;0,(VLOOKUP(E85,'Blnct AR'!$C$2:$D$2259,2,0))," ")</f>
        <v>Caixa Kwanza</v>
      </c>
      <c r="G85" s="12" t="s">
        <v>54</v>
      </c>
      <c r="H85" s="13"/>
      <c r="I85" s="13">
        <f>+H84</f>
        <v>0</v>
      </c>
      <c r="J85" s="9"/>
    </row>
    <row r="86" spans="1:10" s="14" customFormat="1" ht="13.8">
      <c r="A86" s="15"/>
      <c r="B86" s="9"/>
      <c r="C86" s="10"/>
      <c r="D86" s="8"/>
      <c r="E86" s="11"/>
      <c r="F86" s="12" t="str">
        <f>IF(E86&gt;0,(VLOOKUP(E86,'Blnct AR'!$C$2:$D$2259,2,0))," ")</f>
        <v xml:space="preserve"> </v>
      </c>
      <c r="G86" s="12"/>
      <c r="H86" s="13"/>
      <c r="I86" s="13"/>
      <c r="J86" s="9"/>
    </row>
    <row r="87" spans="1:10" s="14" customFormat="1" ht="13.8">
      <c r="A87" s="15" t="s">
        <v>167</v>
      </c>
      <c r="B87" s="9"/>
      <c r="C87" s="10">
        <v>0</v>
      </c>
      <c r="D87" s="8" t="s">
        <v>26</v>
      </c>
      <c r="E87" s="11">
        <v>4511</v>
      </c>
      <c r="F87" s="12" t="str">
        <f>IF(E87&gt;0,(VLOOKUP(E87,'Blnct AR'!$C$2:$D$2259,2,0))," ")</f>
        <v>Caixa Kwanza</v>
      </c>
      <c r="G87" s="12" t="s">
        <v>57</v>
      </c>
      <c r="H87" s="13"/>
      <c r="I87" s="13">
        <v>0</v>
      </c>
      <c r="J87" s="9"/>
    </row>
    <row r="88" spans="1:10" s="14" customFormat="1" ht="13.8">
      <c r="A88" s="15" t="str">
        <f>+A87</f>
        <v>42 FST</v>
      </c>
      <c r="B88" s="9"/>
      <c r="C88" s="10">
        <v>0</v>
      </c>
      <c r="D88" s="8" t="s">
        <v>26</v>
      </c>
      <c r="E88" s="11">
        <v>728212</v>
      </c>
      <c r="F88" s="12" t="str">
        <f>IF(E88&gt;0,(VLOOKUP(E88,'Blnct AR'!$C$2:$D$2259,2,0))," ")</f>
        <v>Alimentação/ Compras</v>
      </c>
      <c r="G88" s="12" t="s">
        <v>57</v>
      </c>
      <c r="H88" s="13">
        <v>0</v>
      </c>
      <c r="I88" s="13"/>
      <c r="J88" s="9"/>
    </row>
    <row r="89" spans="1:10" s="14" customFormat="1" ht="13.8">
      <c r="A89" s="16"/>
      <c r="B89" s="9"/>
      <c r="D89" s="16"/>
      <c r="E89" s="24"/>
      <c r="F89" s="12" t="str">
        <f>IF(E89&gt;0,(VLOOKUP(E89,'Blnct AR'!$C$2:$D$2259,2,0))," ")</f>
        <v xml:space="preserve"> </v>
      </c>
      <c r="G89" s="24"/>
      <c r="H89" s="19"/>
      <c r="I89" s="19"/>
      <c r="J89" s="9"/>
    </row>
    <row r="90" spans="1:10" s="14" customFormat="1" ht="13.8">
      <c r="A90" s="15" t="s">
        <v>167</v>
      </c>
      <c r="B90" s="9"/>
      <c r="C90" s="10">
        <f>+C89</f>
        <v>0</v>
      </c>
      <c r="D90" s="8" t="s">
        <v>26</v>
      </c>
      <c r="E90" s="11">
        <v>4511</v>
      </c>
      <c r="F90" s="12" t="str">
        <f>IF(E90&gt;0,(VLOOKUP(E90,'Blnct AR'!$C$2:$D$2259,2,0))," ")</f>
        <v>Caixa Kwanza</v>
      </c>
      <c r="G90" s="12" t="s">
        <v>60</v>
      </c>
      <c r="H90" s="20"/>
      <c r="I90" s="20">
        <v>0</v>
      </c>
      <c r="J90" s="9"/>
    </row>
    <row r="91" spans="1:10" s="14" customFormat="1" ht="13.8">
      <c r="A91" s="15" t="str">
        <f>+A90</f>
        <v>42 FST</v>
      </c>
      <c r="B91" s="9"/>
      <c r="C91" s="10">
        <f>+C90</f>
        <v>0</v>
      </c>
      <c r="D91" s="8" t="s">
        <v>26</v>
      </c>
      <c r="E91" s="11">
        <v>75217</v>
      </c>
      <c r="F91" s="12" t="str">
        <f>IF(E91&gt;0,(VLOOKUP(E91,'Blnct AR'!$C$2:$D$2259,2,0))," ")</f>
        <v>Material de escritório</v>
      </c>
      <c r="G91" s="12" t="s">
        <v>60</v>
      </c>
      <c r="H91" s="20">
        <f>I90</f>
        <v>0</v>
      </c>
      <c r="I91" s="13"/>
      <c r="J91" s="9"/>
    </row>
    <row r="92" spans="1:10" s="14" customFormat="1" ht="13.8">
      <c r="A92" s="15"/>
      <c r="B92" s="9"/>
      <c r="C92" s="10"/>
      <c r="D92" s="8"/>
      <c r="E92" s="11"/>
      <c r="F92" s="12"/>
      <c r="G92" s="12"/>
      <c r="H92" s="20"/>
      <c r="I92" s="13"/>
      <c r="J92" s="9"/>
    </row>
    <row r="93" spans="1:10" s="14" customFormat="1" ht="13.8">
      <c r="A93" s="15" t="s">
        <v>167</v>
      </c>
      <c r="B93" s="9"/>
      <c r="C93" s="10">
        <f>+C92</f>
        <v>0</v>
      </c>
      <c r="D93" s="8" t="s">
        <v>26</v>
      </c>
      <c r="E93" s="11">
        <v>4511</v>
      </c>
      <c r="F93" s="12" t="str">
        <f>IF(E93&gt;0,(VLOOKUP(E93,'Blnct AR'!$C$2:$D$2259,2,0))," ")</f>
        <v>Caixa Kwanza</v>
      </c>
      <c r="G93" s="12" t="s">
        <v>62</v>
      </c>
      <c r="H93" s="20"/>
      <c r="I93" s="20">
        <v>0</v>
      </c>
      <c r="J93" s="9"/>
    </row>
    <row r="94" spans="1:10" s="14" customFormat="1" ht="13.8">
      <c r="A94" s="15" t="str">
        <f>+A93</f>
        <v>42 FST</v>
      </c>
      <c r="B94" s="9"/>
      <c r="C94" s="10">
        <f>+C93</f>
        <v>0</v>
      </c>
      <c r="D94" s="8" t="s">
        <v>26</v>
      </c>
      <c r="E94" s="25">
        <v>752145</v>
      </c>
      <c r="F94" s="12" t="str">
        <f>IF(E94&gt;0,(VLOOKUP(E94,'Blnct AR'!$C$2:$D$2259,2,0))," ")</f>
        <v>Equipamento administrativo</v>
      </c>
      <c r="G94" s="12" t="s">
        <v>62</v>
      </c>
      <c r="H94" s="20">
        <f>+I93</f>
        <v>0</v>
      </c>
      <c r="I94" s="13"/>
      <c r="J94" s="9"/>
    </row>
    <row r="95" spans="1:10" s="14" customFormat="1" ht="13.8">
      <c r="A95" s="15"/>
      <c r="B95" s="9"/>
      <c r="C95" s="10"/>
      <c r="D95" s="8"/>
      <c r="E95" s="11"/>
      <c r="F95" s="12"/>
      <c r="G95" s="12"/>
      <c r="H95" s="20"/>
      <c r="I95" s="13"/>
      <c r="J95" s="9"/>
    </row>
    <row r="96" spans="1:10" s="14" customFormat="1" ht="13.8">
      <c r="A96" s="15" t="s">
        <v>167</v>
      </c>
      <c r="B96" s="9"/>
      <c r="C96" s="10">
        <f>+C95</f>
        <v>0</v>
      </c>
      <c r="D96" s="8" t="s">
        <v>26</v>
      </c>
      <c r="E96" s="11">
        <v>4511</v>
      </c>
      <c r="F96" s="12" t="str">
        <f>IF(E96&gt;0,(VLOOKUP(E96,'Blnct AR'!$C$2:$D$2259,2,0))," ")</f>
        <v>Caixa Kwanza</v>
      </c>
      <c r="G96" s="12" t="s">
        <v>63</v>
      </c>
      <c r="H96" s="20"/>
      <c r="I96" s="20">
        <v>0</v>
      </c>
      <c r="J96" s="9"/>
    </row>
    <row r="97" spans="1:10" s="14" customFormat="1" ht="13.8">
      <c r="A97" s="15" t="str">
        <f>+A96</f>
        <v>42 FST</v>
      </c>
      <c r="B97" s="9"/>
      <c r="C97" s="10">
        <f>+C96</f>
        <v>0</v>
      </c>
      <c r="D97" s="8" t="s">
        <v>26</v>
      </c>
      <c r="E97" s="11">
        <v>75325</v>
      </c>
      <c r="F97" s="12" t="str">
        <f>IF(E97&gt;0,(VLOOKUP(E97,'Blnct AR'!$C$2:$D$2259,2,0))," ")</f>
        <v>Serviços contabilisticos</v>
      </c>
      <c r="G97" s="12" t="s">
        <v>63</v>
      </c>
      <c r="H97" s="20">
        <f>+I96</f>
        <v>0</v>
      </c>
      <c r="I97" s="13"/>
      <c r="J97" s="9"/>
    </row>
    <row r="98" spans="1:10" s="14" customFormat="1" ht="13.8">
      <c r="A98" s="15"/>
      <c r="B98" s="9"/>
      <c r="C98" s="10"/>
      <c r="D98" s="8"/>
      <c r="E98" s="11"/>
      <c r="F98" s="12"/>
      <c r="G98" s="12"/>
      <c r="H98" s="20"/>
      <c r="I98" s="13"/>
      <c r="J98" s="9"/>
    </row>
    <row r="99" spans="1:10" s="14" customFormat="1" ht="13.8">
      <c r="A99" s="15" t="s">
        <v>167</v>
      </c>
      <c r="B99" s="9"/>
      <c r="C99" s="10">
        <f>+C98</f>
        <v>0</v>
      </c>
      <c r="D99" s="8" t="s">
        <v>26</v>
      </c>
      <c r="E99" s="11">
        <v>4511</v>
      </c>
      <c r="F99" s="12" t="str">
        <f>IF(E99&gt;0,(VLOOKUP(E99,'Blnct AR'!$C$2:$D$2259,2,0))," ")</f>
        <v>Caixa Kwanza</v>
      </c>
      <c r="G99" s="12" t="s">
        <v>65</v>
      </c>
      <c r="H99" s="20"/>
      <c r="I99" s="20">
        <v>0</v>
      </c>
      <c r="J99" s="9"/>
    </row>
    <row r="100" spans="1:10" s="14" customFormat="1" ht="13.8">
      <c r="A100" s="15" t="str">
        <f>+A99</f>
        <v>42 FST</v>
      </c>
      <c r="B100" s="9"/>
      <c r="C100" s="10">
        <f>+C99</f>
        <v>0</v>
      </c>
      <c r="D100" s="8" t="s">
        <v>26</v>
      </c>
      <c r="E100" s="11">
        <v>752211</v>
      </c>
      <c r="F100" s="12" t="str">
        <f>IF(E100&gt;0,(VLOOKUP(E100,'Blnct AR'!$C$2:$D$2259,2,0))," ")</f>
        <v>Rendas de imóveis Prefor</v>
      </c>
      <c r="G100" s="12" t="s">
        <v>65</v>
      </c>
      <c r="H100" s="20">
        <f>+I99</f>
        <v>0</v>
      </c>
      <c r="I100" s="13"/>
      <c r="J100" s="9"/>
    </row>
    <row r="101" spans="1:10" s="14" customFormat="1" ht="13.8">
      <c r="A101" s="15"/>
      <c r="B101" s="9"/>
      <c r="C101" s="10"/>
      <c r="D101" s="8"/>
      <c r="E101" s="11"/>
      <c r="F101" s="12"/>
      <c r="G101" s="12"/>
      <c r="H101" s="20"/>
      <c r="I101" s="13"/>
      <c r="J101" s="9"/>
    </row>
    <row r="102" spans="1:10" s="14" customFormat="1" ht="13.8">
      <c r="A102" s="15" t="s">
        <v>167</v>
      </c>
      <c r="B102" s="9"/>
      <c r="C102" s="10">
        <f>+C92</f>
        <v>0</v>
      </c>
      <c r="D102" s="23" t="s">
        <v>75</v>
      </c>
      <c r="E102" s="11">
        <v>43106</v>
      </c>
      <c r="F102" s="12" t="str">
        <f>IF(E102&gt;0,(VLOOKUP(E102,'Blnct AR'!$C$2:$D$2260,2,0))," ")</f>
        <v>Banco BIC - 118133685.15.1</v>
      </c>
      <c r="G102" s="11" t="s">
        <v>76</v>
      </c>
      <c r="H102" s="26"/>
      <c r="I102" s="26">
        <v>0</v>
      </c>
      <c r="J102" s="9"/>
    </row>
    <row r="103" spans="1:10" s="14" customFormat="1" ht="13.8">
      <c r="A103" s="15" t="str">
        <f>+A102</f>
        <v>42 FST</v>
      </c>
      <c r="B103" s="9"/>
      <c r="C103" s="10">
        <f>+C102</f>
        <v>0</v>
      </c>
      <c r="D103" s="15" t="str">
        <f>+D102</f>
        <v>Conc_Bnk_CxAng</v>
      </c>
      <c r="E103" s="11">
        <v>7678</v>
      </c>
      <c r="F103" s="12" t="str">
        <f>IF(E103&gt;0,(VLOOKUP(E103,'Blnct AR'!$C$2:$D$2260,2,0))," ")</f>
        <v>Sb - outros</v>
      </c>
      <c r="G103" s="11" t="s">
        <v>76</v>
      </c>
      <c r="H103" s="13">
        <f>+I102</f>
        <v>0</v>
      </c>
      <c r="I103" s="26"/>
      <c r="J103" s="9"/>
    </row>
    <row r="104" spans="1:10" s="14" customFormat="1" ht="13.8">
      <c r="A104" s="15"/>
      <c r="B104" s="9"/>
      <c r="C104" s="10"/>
      <c r="D104" s="15"/>
      <c r="E104" s="11"/>
      <c r="F104" s="12"/>
      <c r="G104" s="11"/>
      <c r="H104" s="26"/>
      <c r="I104" s="26"/>
      <c r="J104" s="9"/>
    </row>
    <row r="105" spans="1:10" s="14" customFormat="1" ht="13.8">
      <c r="A105" s="15" t="s">
        <v>167</v>
      </c>
      <c r="B105" s="9"/>
      <c r="C105" s="10">
        <f>+C99</f>
        <v>0</v>
      </c>
      <c r="D105" s="8" t="s">
        <v>125</v>
      </c>
      <c r="E105" s="11">
        <v>72622</v>
      </c>
      <c r="F105" s="12" t="str">
        <f>IF(E105&gt;0,(VLOOKUP(E105,'Blnct AR'!$C$2:$D$2262,2,0))," ")</f>
        <v>Produção</v>
      </c>
      <c r="G105" s="12" t="s">
        <v>126</v>
      </c>
      <c r="H105" s="13">
        <f>+I106</f>
        <v>0</v>
      </c>
      <c r="I105" s="26"/>
      <c r="J105" s="9"/>
    </row>
    <row r="106" spans="1:10" s="14" customFormat="1" ht="13.8">
      <c r="A106" s="15" t="str">
        <f>+A105</f>
        <v>42 FST</v>
      </c>
      <c r="B106" s="9"/>
      <c r="C106" s="10">
        <f>+C105</f>
        <v>0</v>
      </c>
      <c r="D106" s="8" t="s">
        <v>125</v>
      </c>
      <c r="E106" s="11">
        <v>4511</v>
      </c>
      <c r="F106" s="12" t="str">
        <f>IF(E106&gt;0,(VLOOKUP(E106,'Blnct AR'!$C$2:$D$2262,2,0))," ")</f>
        <v>Caixa Kwanza</v>
      </c>
      <c r="G106" s="12" t="s">
        <v>126</v>
      </c>
      <c r="H106" s="13"/>
      <c r="I106" s="13">
        <v>0</v>
      </c>
      <c r="J106" s="9"/>
    </row>
    <row r="107" spans="1:10" s="14" customFormat="1" ht="13.8">
      <c r="A107" s="15"/>
      <c r="B107" s="9"/>
      <c r="C107" s="10"/>
      <c r="D107" s="8"/>
      <c r="E107" s="11"/>
      <c r="F107" s="12"/>
      <c r="G107" s="12"/>
      <c r="H107" s="20"/>
      <c r="I107" s="13"/>
      <c r="J107" s="9"/>
    </row>
    <row r="108" spans="1:10" s="14" customFormat="1" ht="13.8">
      <c r="A108" s="16" t="s">
        <v>163</v>
      </c>
      <c r="B108" s="9"/>
      <c r="C108" s="10">
        <f>+C107</f>
        <v>0</v>
      </c>
      <c r="D108" s="15" t="s">
        <v>67</v>
      </c>
      <c r="E108" s="11">
        <v>4511</v>
      </c>
      <c r="F108" s="12" t="str">
        <f>IF(E108&gt;0,(VLOOKUP(E108,'Blnct AR'!$C$2:$D$2259,2,0))," ")</f>
        <v>Caixa Kwanza</v>
      </c>
      <c r="G108" s="12" t="s">
        <v>68</v>
      </c>
      <c r="H108" s="20"/>
      <c r="I108" s="20">
        <v>0</v>
      </c>
      <c r="J108" s="9"/>
    </row>
    <row r="109" spans="1:10" s="14" customFormat="1" ht="13.8">
      <c r="A109" s="15" t="str">
        <f>+A108</f>
        <v>41 Compras</v>
      </c>
      <c r="B109" s="9"/>
      <c r="C109" s="10">
        <f>+C108</f>
        <v>0</v>
      </c>
      <c r="D109" s="15" t="str">
        <f>+D108</f>
        <v>Cmpr_Imo</v>
      </c>
      <c r="E109" s="11">
        <v>1141</v>
      </c>
      <c r="F109" s="12" t="str">
        <f>IF(E109&gt;0,(VLOOKUP(E109,'Blnct AR'!$C$2:$D$2259,2,0))," ")</f>
        <v>Veiculos pesados</v>
      </c>
      <c r="G109" s="12" t="s">
        <v>68</v>
      </c>
      <c r="H109" s="20">
        <f>+I108</f>
        <v>0</v>
      </c>
      <c r="I109" s="13"/>
      <c r="J109" s="9"/>
    </row>
    <row r="110" spans="1:10" s="14" customFormat="1" ht="13.8">
      <c r="A110" s="15"/>
      <c r="B110" s="9"/>
      <c r="C110" s="10"/>
      <c r="D110" s="15"/>
      <c r="E110" s="11"/>
      <c r="F110" s="12"/>
      <c r="G110" s="12"/>
      <c r="H110" s="20"/>
      <c r="I110" s="13"/>
      <c r="J110" s="9"/>
    </row>
    <row r="111" spans="1:10" s="14" customFormat="1" ht="13.8">
      <c r="A111" s="16" t="s">
        <v>163</v>
      </c>
      <c r="B111" s="9"/>
      <c r="C111" s="10">
        <f>+C110</f>
        <v>0</v>
      </c>
      <c r="D111" s="15" t="s">
        <v>67</v>
      </c>
      <c r="E111" s="11">
        <v>4511</v>
      </c>
      <c r="F111" s="12" t="str">
        <f>IF(E111&gt;0,(VLOOKUP(E111,'Blnct AR'!$C$2:$D$2259,2,0))," ")</f>
        <v>Caixa Kwanza</v>
      </c>
      <c r="G111" s="12" t="s">
        <v>70</v>
      </c>
      <c r="H111" s="20"/>
      <c r="I111" s="20">
        <v>0</v>
      </c>
      <c r="J111" s="9"/>
    </row>
    <row r="112" spans="1:10" s="14" customFormat="1" ht="13.8">
      <c r="A112" s="15" t="str">
        <f>+A111</f>
        <v>41 Compras</v>
      </c>
      <c r="B112" s="9"/>
      <c r="C112" s="10">
        <f>+C111</f>
        <v>0</v>
      </c>
      <c r="D112" s="15" t="str">
        <f>+D111</f>
        <v>Cmpr_Imo</v>
      </c>
      <c r="E112" s="11">
        <v>1142</v>
      </c>
      <c r="F112" s="12" t="str">
        <f>IF(E112&gt;0,(VLOOKUP(E112,'Blnct AR'!$C$2:$D$2259,2,0))," ")</f>
        <v>Veiculos mistos e ligeiros</v>
      </c>
      <c r="G112" s="12" t="s">
        <v>70</v>
      </c>
      <c r="H112" s="20">
        <f>+I111</f>
        <v>0</v>
      </c>
      <c r="I112" s="13"/>
      <c r="J112" s="9"/>
    </row>
    <row r="113" spans="1:10" s="14" customFormat="1" ht="13.8">
      <c r="A113" s="15"/>
      <c r="B113" s="9"/>
      <c r="C113" s="10"/>
      <c r="D113" s="8"/>
      <c r="E113" s="11"/>
      <c r="F113" s="12"/>
      <c r="G113" s="12"/>
      <c r="H113" s="20"/>
      <c r="I113" s="13"/>
      <c r="J113" s="9"/>
    </row>
    <row r="114" spans="1:10" s="14" customFormat="1" ht="13.8">
      <c r="A114" s="16" t="s">
        <v>163</v>
      </c>
      <c r="B114" s="9"/>
      <c r="C114" s="10">
        <f>+C113</f>
        <v>0</v>
      </c>
      <c r="D114" s="15" t="s">
        <v>72</v>
      </c>
      <c r="E114" s="11">
        <v>7314</v>
      </c>
      <c r="F114" s="12" t="str">
        <f>IF(E114&gt;0,(VLOOKUP(E114,'Blnct AR'!$C$2:$D$2259,2,0))," ")</f>
        <v>Equipamento de carga e transporte</v>
      </c>
      <c r="G114" s="12" t="s">
        <v>73</v>
      </c>
      <c r="H114" s="20">
        <f>+I115</f>
        <v>0</v>
      </c>
      <c r="I114" s="20"/>
      <c r="J114" s="9"/>
    </row>
    <row r="115" spans="1:10" s="14" customFormat="1" ht="13.8">
      <c r="A115" s="15" t="str">
        <f>+A114</f>
        <v>41 Compras</v>
      </c>
      <c r="B115" s="9"/>
      <c r="C115" s="10">
        <f>+C114</f>
        <v>0</v>
      </c>
      <c r="D115" s="15" t="str">
        <f>+D114</f>
        <v>Amrtz_Imo</v>
      </c>
      <c r="E115" s="11">
        <v>1814</v>
      </c>
      <c r="F115" s="12" t="str">
        <f>IF(E115&gt;0,(VLOOKUP(E115,'Blnct AR'!$C$2:$D$2259,2,0))," ")</f>
        <v>Equipamento de carga e transporte</v>
      </c>
      <c r="G115" s="12" t="s">
        <v>73</v>
      </c>
      <c r="H115" s="20"/>
      <c r="I115" s="13">
        <v>0</v>
      </c>
      <c r="J115" s="9"/>
    </row>
    <row r="116" spans="1:10" s="14" customFormat="1" ht="13.8">
      <c r="A116" s="15"/>
      <c r="B116" s="9"/>
      <c r="C116" s="10"/>
      <c r="D116" s="8"/>
      <c r="E116" s="11"/>
      <c r="F116" s="12"/>
      <c r="G116" s="12"/>
      <c r="H116" s="20"/>
      <c r="I116" s="13"/>
      <c r="J116" s="9"/>
    </row>
    <row r="117" spans="1:10" s="14" customFormat="1" ht="13.8">
      <c r="A117" s="23" t="s">
        <v>163</v>
      </c>
      <c r="B117" s="9"/>
      <c r="C117" s="10">
        <f>+C116</f>
        <v>0</v>
      </c>
      <c r="D117" s="23" t="s">
        <v>106</v>
      </c>
      <c r="E117" s="11">
        <v>212111</v>
      </c>
      <c r="F117" s="12" t="str">
        <f>IF(E117&gt;0,(VLOOKUP(E117,'Blnct AR'!$C$2:$D$2259,2,0))," ")</f>
        <v>Mr.MN-Custo de factura</v>
      </c>
      <c r="G117" s="21" t="s">
        <v>107</v>
      </c>
      <c r="H117" s="13">
        <v>30000</v>
      </c>
      <c r="I117" s="13">
        <v>30000</v>
      </c>
      <c r="J117" s="9"/>
    </row>
    <row r="118" spans="1:10" s="14" customFormat="1" ht="13.8">
      <c r="A118" s="15" t="str">
        <f>+A117</f>
        <v>41 Compras</v>
      </c>
      <c r="B118" s="9"/>
      <c r="C118" s="10">
        <f>+C117</f>
        <v>0</v>
      </c>
      <c r="D118" s="15" t="str">
        <f>+D117</f>
        <v>Compr_Merc</v>
      </c>
      <c r="E118" s="11">
        <v>2611</v>
      </c>
      <c r="F118" s="12" t="str">
        <f>IF(E118&gt;0,(VLOOKUP(E118,'Blnct AR'!$C$2:$D$2259,2,0))," ")</f>
        <v>Merc-Existências</v>
      </c>
      <c r="G118" s="21" t="s">
        <v>108</v>
      </c>
      <c r="H118" s="13">
        <v>30000</v>
      </c>
      <c r="I118" s="13"/>
      <c r="J118" s="9"/>
    </row>
    <row r="119" spans="1:10" s="14" customFormat="1" ht="13.8">
      <c r="A119" s="15" t="str">
        <f>+A118</f>
        <v>41 Compras</v>
      </c>
      <c r="B119" s="9"/>
      <c r="C119" s="10">
        <f>+C118</f>
        <v>0</v>
      </c>
      <c r="D119" s="15" t="str">
        <f>+D118</f>
        <v>Compr_Merc</v>
      </c>
      <c r="E119" s="11">
        <v>4511</v>
      </c>
      <c r="F119" s="12" t="str">
        <f>IF(E119&gt;0,(VLOOKUP(E119,'Blnct AR'!$C$2:$D$2259,2,0))," ")</f>
        <v>Caixa Kwanza</v>
      </c>
      <c r="G119" s="21" t="s">
        <v>109</v>
      </c>
      <c r="H119" s="13"/>
      <c r="I119" s="13">
        <v>30000</v>
      </c>
      <c r="J119" s="9"/>
    </row>
    <row r="120" spans="1:10" s="14" customFormat="1" ht="13.8">
      <c r="A120" s="15" t="str">
        <f>+A119</f>
        <v>41 Compras</v>
      </c>
      <c r="B120" s="9"/>
      <c r="C120" s="10">
        <f>+C119</f>
        <v>0</v>
      </c>
      <c r="D120" s="15" t="str">
        <f>+D119</f>
        <v>Compr_Merc</v>
      </c>
      <c r="E120" s="11">
        <v>32121001</v>
      </c>
      <c r="F120" s="12" t="str">
        <f>IF(E120&gt;0,(VLOOKUP(E120,'Blnct AR'!$C$2:$D$2259,2,0))," ")</f>
        <v>Gameiro Advogados, Lda.</v>
      </c>
      <c r="G120" s="21" t="s">
        <v>109</v>
      </c>
      <c r="H120" s="13">
        <v>30000</v>
      </c>
      <c r="I120" s="13">
        <v>30000</v>
      </c>
      <c r="J120" s="9"/>
    </row>
    <row r="121" spans="1:10" s="14" customFormat="1" ht="13.8">
      <c r="A121" s="16"/>
      <c r="B121" s="9"/>
      <c r="D121" s="16"/>
      <c r="E121" s="24"/>
      <c r="F121" s="24"/>
      <c r="G121" s="24"/>
      <c r="H121" s="19"/>
      <c r="I121" s="19"/>
      <c r="J121" s="9"/>
    </row>
    <row r="122" spans="1:10" s="14" customFormat="1" ht="13.8">
      <c r="A122" s="23" t="s">
        <v>168</v>
      </c>
      <c r="B122" s="9"/>
      <c r="C122" s="10">
        <f>+C1</f>
        <v>0</v>
      </c>
      <c r="D122" s="23" t="s">
        <v>102</v>
      </c>
      <c r="E122" s="11">
        <v>6111</v>
      </c>
      <c r="F122" s="12" t="str">
        <f>IF(E122&gt;0,(VLOOKUP(E122,'Blnct AR'!$C$2:$D$2259,2,0))," ")</f>
        <v>Vnd Mercado nacional</v>
      </c>
      <c r="G122" s="11" t="s">
        <v>103</v>
      </c>
      <c r="H122" s="13"/>
      <c r="I122" s="13">
        <v>3723400</v>
      </c>
      <c r="J122" s="9"/>
    </row>
    <row r="123" spans="1:10" s="14" customFormat="1" ht="13.8">
      <c r="A123" s="15" t="str">
        <f>+A122</f>
        <v>51 Vendas</v>
      </c>
      <c r="B123" s="9"/>
      <c r="C123" s="10">
        <f t="shared" ref="C123:D127" si="0">+C122</f>
        <v>0</v>
      </c>
      <c r="D123" s="15" t="str">
        <f t="shared" si="0"/>
        <v>Vnd_Merc</v>
      </c>
      <c r="E123" s="11">
        <v>31121002</v>
      </c>
      <c r="F123" s="12" t="str">
        <f>IF(E123&gt;0,(VLOOKUP(E123,'Blnct AR'!$C$2:$D$2259,2,0))," ")</f>
        <v>Afavias Engª &amp; Const Lda</v>
      </c>
      <c r="G123" s="11" t="s">
        <v>103</v>
      </c>
      <c r="H123" s="13">
        <v>3723400</v>
      </c>
      <c r="I123" s="19"/>
      <c r="J123" s="9"/>
    </row>
    <row r="124" spans="1:10" s="14" customFormat="1" ht="13.8">
      <c r="A124" s="15" t="str">
        <f>+A123</f>
        <v>51 Vendas</v>
      </c>
      <c r="B124" s="9"/>
      <c r="C124" s="10">
        <f t="shared" si="0"/>
        <v>0</v>
      </c>
      <c r="D124" s="15" t="str">
        <f t="shared" si="0"/>
        <v>Vnd_Merc</v>
      </c>
      <c r="E124" s="11">
        <v>2611</v>
      </c>
      <c r="F124" s="12" t="str">
        <f>IF(E124&gt;0,(VLOOKUP(E124,'Blnct AR'!$C$2:$D$2259,2,0))," ")</f>
        <v>Merc-Existências</v>
      </c>
      <c r="G124" s="11" t="s">
        <v>104</v>
      </c>
      <c r="H124" s="13"/>
      <c r="I124" s="13">
        <f>I122*100/142.5</f>
        <v>2612912.2807017546</v>
      </c>
      <c r="J124" s="9"/>
    </row>
    <row r="125" spans="1:10" s="14" customFormat="1" ht="13.8">
      <c r="A125" s="15" t="str">
        <f>+A124</f>
        <v>51 Vendas</v>
      </c>
      <c r="B125" s="9"/>
      <c r="C125" s="10">
        <f t="shared" si="0"/>
        <v>0</v>
      </c>
      <c r="D125" s="15" t="str">
        <f t="shared" si="0"/>
        <v>Vnd_Merc</v>
      </c>
      <c r="E125" s="11">
        <v>7161</v>
      </c>
      <c r="F125" s="12" t="str">
        <f>IF(E125&gt;0,(VLOOKUP(E125,'Blnct AR'!$C$2:$D$2259,2,0))," ")</f>
        <v>Mr - cevc</v>
      </c>
      <c r="G125" s="11" t="s">
        <v>104</v>
      </c>
      <c r="H125" s="13">
        <f>H123*100/142.5</f>
        <v>2612912.2807017546</v>
      </c>
      <c r="I125" s="19"/>
      <c r="J125" s="9"/>
    </row>
    <row r="126" spans="1:10" s="14" customFormat="1" ht="13.8">
      <c r="A126" s="15" t="str">
        <f>+A125</f>
        <v>51 Vendas</v>
      </c>
      <c r="B126" s="9"/>
      <c r="C126" s="10">
        <f t="shared" si="0"/>
        <v>0</v>
      </c>
      <c r="D126" s="15" t="str">
        <f t="shared" si="0"/>
        <v>Vnd_Merc</v>
      </c>
      <c r="E126" s="11">
        <v>31121002</v>
      </c>
      <c r="F126" s="12" t="str">
        <f>IF(E126&gt;0,(VLOOKUP(E126,'Blnct AR'!$C$2:$D$2259,2,0))," ")</f>
        <v>Afavias Engª &amp; Const Lda</v>
      </c>
      <c r="G126" s="11" t="s">
        <v>105</v>
      </c>
      <c r="H126" s="19"/>
      <c r="I126" s="13">
        <v>3723400</v>
      </c>
      <c r="J126" s="9"/>
    </row>
    <row r="127" spans="1:10" s="14" customFormat="1" ht="13.8">
      <c r="A127" s="15" t="str">
        <f>+A126</f>
        <v>51 Vendas</v>
      </c>
      <c r="B127" s="9"/>
      <c r="C127" s="10">
        <f t="shared" si="0"/>
        <v>0</v>
      </c>
      <c r="D127" s="15" t="str">
        <f t="shared" si="0"/>
        <v>Vnd_Merc</v>
      </c>
      <c r="E127" s="11">
        <v>4511</v>
      </c>
      <c r="F127" s="12" t="str">
        <f>IF(E127&gt;0,(VLOOKUP(E127,'Blnct AR'!$C$2:$D$2259,2,0))," ")</f>
        <v>Caixa Kwanza</v>
      </c>
      <c r="G127" s="11" t="s">
        <v>105</v>
      </c>
      <c r="H127" s="13">
        <v>3723400</v>
      </c>
      <c r="I127" s="13"/>
      <c r="J127" s="9"/>
    </row>
    <row r="128" spans="1:10" s="14" customFormat="1" ht="13.8">
      <c r="A128" s="16"/>
      <c r="B128" s="9"/>
      <c r="C128" s="10"/>
      <c r="D128" s="23"/>
      <c r="E128" s="11"/>
      <c r="F128" s="12" t="str">
        <f>IF(E128&gt;0,(VLOOKUP(E128,'Blnct AR'!$C$2:$D$2259,2,0))," ")</f>
        <v xml:space="preserve"> </v>
      </c>
      <c r="G128" s="11"/>
      <c r="H128" s="13"/>
      <c r="I128" s="13"/>
      <c r="J128" s="9"/>
    </row>
    <row r="129" spans="1:10" s="14" customFormat="1" ht="13.8">
      <c r="A129" s="23" t="s">
        <v>168</v>
      </c>
      <c r="B129" s="9"/>
      <c r="C129" s="10">
        <f>+C128</f>
        <v>0</v>
      </c>
      <c r="D129" s="23" t="s">
        <v>110</v>
      </c>
      <c r="E129" s="11">
        <v>6211</v>
      </c>
      <c r="F129" s="12" t="str">
        <f>IF(E129&gt;0,(VLOOKUP(E129,'Blnct AR'!$C$2:$D$2259,2,0))," ")</f>
        <v>Mercado nacional</v>
      </c>
      <c r="G129" s="21" t="s">
        <v>111</v>
      </c>
      <c r="H129" s="13"/>
      <c r="I129" s="13">
        <v>35507772</v>
      </c>
      <c r="J129" s="9"/>
    </row>
    <row r="130" spans="1:10" s="14" customFormat="1" ht="13.8">
      <c r="A130" s="15" t="str">
        <f>+A129</f>
        <v>51 Vendas</v>
      </c>
      <c r="B130" s="9"/>
      <c r="C130" s="10">
        <f>+C17</f>
        <v>0</v>
      </c>
      <c r="D130" s="15" t="str">
        <f>+D129</f>
        <v>Pres_Serv</v>
      </c>
      <c r="E130" s="11">
        <v>31121003</v>
      </c>
      <c r="F130" s="12" t="str">
        <f>IF(E130&gt;0,(VLOOKUP(E130,'Blnct AR'!$C$2:$D$2259,2,0))," ")</f>
        <v>UEM-Unid. Estruturas Metálicas, SA</v>
      </c>
      <c r="G130" s="32" t="str">
        <f>+G129</f>
        <v>Prestação de Serviços Obra Nº</v>
      </c>
      <c r="H130" s="13">
        <f>I129</f>
        <v>35507772</v>
      </c>
      <c r="I130" s="13"/>
      <c r="J130" s="9"/>
    </row>
    <row r="131" spans="1:10" s="14" customFormat="1" ht="13.8">
      <c r="A131" s="16"/>
      <c r="B131" s="9"/>
      <c r="C131" s="10"/>
      <c r="D131" s="16"/>
      <c r="E131" s="24"/>
      <c r="F131" s="24"/>
      <c r="G131" s="24"/>
      <c r="J131" s="9"/>
    </row>
    <row r="132" spans="1:10" s="14" customFormat="1" ht="13.8">
      <c r="A132" s="23" t="s">
        <v>169</v>
      </c>
      <c r="B132" s="9"/>
      <c r="C132" s="10">
        <f>+C11</f>
        <v>0</v>
      </c>
      <c r="D132" s="23" t="s">
        <v>170</v>
      </c>
      <c r="E132" s="11">
        <v>6111</v>
      </c>
      <c r="F132" s="12" t="str">
        <f>IF(E132&gt;0,(VLOOKUP(E132,'Blnct AR'!$C$2:$D$2259,2,0))," ")</f>
        <v>Vnd Mercado nacional</v>
      </c>
      <c r="G132" s="11" t="s">
        <v>171</v>
      </c>
      <c r="H132" s="13"/>
      <c r="I132" s="13">
        <v>3723400</v>
      </c>
      <c r="J132" s="9"/>
    </row>
    <row r="133" spans="1:10" s="14" customFormat="1" ht="13.8">
      <c r="A133" s="15" t="str">
        <f>+A132</f>
        <v>56 VD</v>
      </c>
      <c r="B133" s="9"/>
      <c r="C133" s="10">
        <f>+C132</f>
        <v>0</v>
      </c>
      <c r="D133" s="15" t="str">
        <f>+D132</f>
        <v>Vnd_Dinh</v>
      </c>
      <c r="E133" s="11">
        <v>31121002</v>
      </c>
      <c r="F133" s="12" t="str">
        <f>IF(E133&gt;0,(VLOOKUP(E133,'Blnct AR'!$C$2:$D$2259,2,0))," ")</f>
        <v>Afavias Engª &amp; Const Lda</v>
      </c>
      <c r="G133" s="24" t="str">
        <f>+G132</f>
        <v>Venda a Dinheiro</v>
      </c>
      <c r="H133" s="13">
        <f>+I132</f>
        <v>3723400</v>
      </c>
      <c r="I133" s="19"/>
      <c r="J133" s="9"/>
    </row>
    <row r="134" spans="1:10" s="14" customFormat="1" ht="13.8">
      <c r="A134" s="15"/>
      <c r="B134" s="9"/>
      <c r="C134" s="10"/>
      <c r="D134" s="16"/>
      <c r="E134" s="24"/>
      <c r="F134" s="12" t="str">
        <f>IF(E134&gt;0,(VLOOKUP(E134,'Blnct AR'!$C$2:$D$2253,2,0))," ")</f>
        <v xml:space="preserve"> </v>
      </c>
      <c r="G134" s="24"/>
      <c r="J134" s="9"/>
    </row>
    <row r="135" spans="1:10">
      <c r="A135" s="30" t="s">
        <v>172</v>
      </c>
      <c r="B135" s="9"/>
      <c r="C135" s="10">
        <f t="shared" ref="C135:C141" si="1">+C134</f>
        <v>0</v>
      </c>
      <c r="D135" s="30" t="s">
        <v>173</v>
      </c>
      <c r="E135" s="4">
        <v>36121</v>
      </c>
      <c r="F135" s="12" t="str">
        <f>IF(E135&gt;0,(VLOOKUP(E135,'Blnct AR'!$C$2:$D$2253,2,0))," ")</f>
        <v>Empregados</v>
      </c>
      <c r="G135" s="4" t="s">
        <v>174</v>
      </c>
      <c r="I135" s="13">
        <v>113717</v>
      </c>
      <c r="J135" s="9"/>
    </row>
    <row r="136" spans="1:10">
      <c r="A136" s="30" t="str">
        <f t="shared" ref="A136:A142" si="2">+A135</f>
        <v>61 Salários</v>
      </c>
      <c r="B136" s="9"/>
      <c r="C136" s="10">
        <f t="shared" si="1"/>
        <v>0</v>
      </c>
      <c r="D136" s="8" t="str">
        <f t="shared" ref="D136:D141" si="3">+D135</f>
        <v>Proc_Sal</v>
      </c>
      <c r="E136" s="11">
        <v>3431</v>
      </c>
      <c r="F136" s="12" t="str">
        <f>IF(E136&gt;0,(VLOOKUP(E136,'Blnct AR'!$C$2:$D$2253,2,0))," ")</f>
        <v>IRT dependentes</v>
      </c>
      <c r="G136" s="4" t="str">
        <f t="shared" ref="G136:G142" si="4">+G135</f>
        <v>Processamento de salários</v>
      </c>
      <c r="H136" s="13"/>
      <c r="I136" s="13">
        <v>5413</v>
      </c>
      <c r="J136" s="9"/>
    </row>
    <row r="137" spans="1:10">
      <c r="A137" s="30" t="str">
        <f t="shared" si="2"/>
        <v>61 Salários</v>
      </c>
      <c r="B137" s="9"/>
      <c r="C137" s="10">
        <f t="shared" si="1"/>
        <v>0</v>
      </c>
      <c r="D137" s="8" t="str">
        <f t="shared" si="3"/>
        <v>Proc_Sal</v>
      </c>
      <c r="E137" s="11">
        <v>3452</v>
      </c>
      <c r="F137" s="12" t="str">
        <f>IF(E137&gt;0,(VLOOKUP(E137,'Blnct AR'!$C$2:$D$2253,2,0))," ")</f>
        <v>IVA - Dedutível</v>
      </c>
      <c r="G137" s="4" t="str">
        <f t="shared" si="4"/>
        <v>Processamento de salários</v>
      </c>
      <c r="H137" s="13"/>
      <c r="I137" s="13">
        <v>2970</v>
      </c>
      <c r="J137" s="9"/>
    </row>
    <row r="138" spans="1:10">
      <c r="A138" s="30" t="str">
        <f t="shared" si="2"/>
        <v>61 Salários</v>
      </c>
      <c r="B138" s="9"/>
      <c r="C138" s="10">
        <f t="shared" si="1"/>
        <v>0</v>
      </c>
      <c r="D138" s="8" t="str">
        <f t="shared" si="3"/>
        <v>Proc_Sal</v>
      </c>
      <c r="E138" s="11">
        <v>3453</v>
      </c>
      <c r="F138" s="12" t="str">
        <f>IF(E138&gt;0,(VLOOKUP(E138,'Blnct AR'!$C$2:$D$2253,2,0))," ")</f>
        <v>IVA - Liquidado</v>
      </c>
      <c r="G138" s="4" t="str">
        <f t="shared" si="4"/>
        <v>Processamento de salários</v>
      </c>
      <c r="H138" s="13"/>
      <c r="I138" s="13">
        <v>7920</v>
      </c>
      <c r="J138" s="9"/>
    </row>
    <row r="139" spans="1:10">
      <c r="A139" s="30" t="str">
        <f t="shared" si="2"/>
        <v>61 Salários</v>
      </c>
      <c r="B139" s="9"/>
      <c r="C139" s="10">
        <f t="shared" si="1"/>
        <v>0</v>
      </c>
      <c r="D139" s="8" t="str">
        <f t="shared" si="3"/>
        <v>Proc_Sal</v>
      </c>
      <c r="E139" s="11">
        <v>72211</v>
      </c>
      <c r="F139" s="12" t="str">
        <f>IF(E139&gt;0,(VLOOKUP(E139,'Blnct AR'!$C$2:$D$2253,2,0))," ")</f>
        <v>Ordenados</v>
      </c>
      <c r="G139" s="4" t="str">
        <f t="shared" si="4"/>
        <v>Processamento de salários</v>
      </c>
      <c r="H139" s="13">
        <v>99000</v>
      </c>
      <c r="I139" s="13"/>
      <c r="J139" s="9"/>
    </row>
    <row r="140" spans="1:10">
      <c r="A140" s="30" t="str">
        <f t="shared" si="2"/>
        <v>61 Salários</v>
      </c>
      <c r="B140" s="9"/>
      <c r="C140" s="10">
        <f t="shared" si="1"/>
        <v>0</v>
      </c>
      <c r="D140" s="8" t="str">
        <f t="shared" si="3"/>
        <v>Proc_Sal</v>
      </c>
      <c r="E140" s="11">
        <v>72215</v>
      </c>
      <c r="F140" s="12" t="str">
        <f>IF(E140&gt;0,(VLOOKUP(E140,'Blnct AR'!$C$2:$D$2253,2,0))," ")</f>
        <v>Subsídio de alimentação</v>
      </c>
      <c r="G140" s="4" t="str">
        <f t="shared" si="4"/>
        <v>Processamento de salários</v>
      </c>
      <c r="H140" s="13">
        <v>23100</v>
      </c>
      <c r="I140" s="13"/>
      <c r="J140" s="9"/>
    </row>
    <row r="141" spans="1:10">
      <c r="A141" s="30" t="str">
        <f t="shared" si="2"/>
        <v>61 Salários</v>
      </c>
      <c r="B141" s="9"/>
      <c r="C141" s="10">
        <f t="shared" si="1"/>
        <v>0</v>
      </c>
      <c r="D141" s="8" t="str">
        <f t="shared" si="3"/>
        <v>Proc_Sal</v>
      </c>
      <c r="E141" s="11">
        <v>72819</v>
      </c>
      <c r="F141" s="12" t="str">
        <f>IF(E141&gt;0,(VLOOKUP(E141,'Blnct AR'!$C$2:$D$2253,2,0))," ")</f>
        <v>Ajudas de custo</v>
      </c>
      <c r="G141" s="4" t="str">
        <f t="shared" si="4"/>
        <v>Processamento de salários</v>
      </c>
      <c r="H141" s="13">
        <v>0</v>
      </c>
      <c r="I141" s="13"/>
      <c r="J141" s="9"/>
    </row>
    <row r="142" spans="1:10">
      <c r="A142" s="30" t="str">
        <f t="shared" si="2"/>
        <v>61 Salários</v>
      </c>
      <c r="B142" s="9"/>
      <c r="C142" s="10">
        <f>+C140</f>
        <v>0</v>
      </c>
      <c r="D142" s="8" t="str">
        <f>+D140</f>
        <v>Proc_Sal</v>
      </c>
      <c r="E142" s="11">
        <v>72511</v>
      </c>
      <c r="F142" s="12" t="e">
        <f>IF(E142&gt;0,(VLOOKUP(E142,'Blnct AR'!$C$2:$D$2253,2,0))," ")</f>
        <v>#N/A</v>
      </c>
      <c r="G142" s="4" t="str">
        <f t="shared" si="4"/>
        <v>Processamento de salários</v>
      </c>
      <c r="H142" s="13">
        <v>7920</v>
      </c>
      <c r="I142" s="13"/>
      <c r="J142" s="9"/>
    </row>
    <row r="143" spans="1:10">
      <c r="B143" s="9"/>
      <c r="C143" s="10"/>
      <c r="D143" s="8"/>
      <c r="E143" s="11"/>
      <c r="F143" s="12" t="str">
        <f>IF(E143&gt;0,(VLOOKUP(E143,'Blnct AR'!$C$2:$D$2253,2,0))," ")</f>
        <v xml:space="preserve"> </v>
      </c>
      <c r="G143" s="12"/>
      <c r="H143" s="13"/>
      <c r="I143" s="13"/>
      <c r="J143" s="9"/>
    </row>
    <row r="144" spans="1:10">
      <c r="A144" s="30" t="s">
        <v>172</v>
      </c>
      <c r="B144" s="9"/>
      <c r="C144" s="10">
        <f>+C143</f>
        <v>0</v>
      </c>
      <c r="D144" s="30" t="s">
        <v>175</v>
      </c>
      <c r="E144" s="11">
        <v>4511</v>
      </c>
      <c r="F144" s="12" t="str">
        <f>IF(E144&gt;0,(VLOOKUP(E144,'Blnct AR'!$C$2:$D$2253,2,0))," ")</f>
        <v>Caixa Kwanza</v>
      </c>
      <c r="G144" s="12" t="s">
        <v>176</v>
      </c>
      <c r="H144" s="13"/>
      <c r="I144" s="13">
        <v>0</v>
      </c>
      <c r="J144" s="9"/>
    </row>
    <row r="145" spans="1:10">
      <c r="A145" s="30" t="str">
        <f>+A144</f>
        <v>61 Salários</v>
      </c>
      <c r="B145" s="9"/>
      <c r="C145" s="10">
        <f>+C144</f>
        <v>0</v>
      </c>
      <c r="D145" s="8" t="str">
        <f>+D144</f>
        <v>Pgto_Sal</v>
      </c>
      <c r="E145" s="11">
        <v>36121</v>
      </c>
      <c r="F145" s="12" t="str">
        <f>IF(E145&gt;0,(VLOOKUP(E145,'Blnct AR'!$C$2:$D$2253,2,0))," ")</f>
        <v>Empregados</v>
      </c>
      <c r="G145" s="12" t="str">
        <f>+G144</f>
        <v>Pgto Salários</v>
      </c>
      <c r="H145" s="13">
        <v>0</v>
      </c>
      <c r="I145" s="13"/>
      <c r="J145" s="9"/>
    </row>
    <row r="146" spans="1:10">
      <c r="B146" s="9"/>
      <c r="C146" s="10"/>
      <c r="D146" s="8"/>
      <c r="E146" s="11"/>
      <c r="F146" s="12"/>
      <c r="G146" s="12"/>
      <c r="H146" s="13"/>
      <c r="I146" s="13"/>
      <c r="J146" s="9"/>
    </row>
    <row r="147" spans="1:10">
      <c r="A147" s="16" t="s">
        <v>115</v>
      </c>
      <c r="B147" s="9"/>
      <c r="C147" s="10">
        <f>+C42</f>
        <v>0</v>
      </c>
      <c r="D147" s="8" t="s">
        <v>116</v>
      </c>
      <c r="E147" s="11">
        <v>4511</v>
      </c>
      <c r="F147" s="12" t="str">
        <f>IF(E147&gt;0,(VLOOKUP(E147,'Blnct AR'!$C$2:$D$2262,2,0))," ")</f>
        <v>Caixa Kwanza</v>
      </c>
      <c r="G147" s="12" t="s">
        <v>117</v>
      </c>
      <c r="H147" s="13"/>
      <c r="I147" s="26">
        <v>255199</v>
      </c>
      <c r="J147" s="9"/>
    </row>
    <row r="148" spans="1:10">
      <c r="A148" s="15" t="str">
        <f>+A147</f>
        <v>ABR_IsLucros</v>
      </c>
      <c r="B148" s="9"/>
      <c r="C148" s="10">
        <f>+C43</f>
        <v>0</v>
      </c>
      <c r="D148" s="8" t="s">
        <v>116</v>
      </c>
      <c r="E148" s="11">
        <v>3411</v>
      </c>
      <c r="F148" s="12" t="str">
        <f>IF(E148&gt;0,(VLOOKUP(E148,'Blnct AR'!$C$2:$D$2262,2,0))," ")</f>
        <v>IL- imposto corrente</v>
      </c>
      <c r="G148" s="12" t="s">
        <v>117</v>
      </c>
      <c r="H148" s="26">
        <v>255199</v>
      </c>
      <c r="I148" s="26">
        <v>255199</v>
      </c>
      <c r="J148" s="9"/>
    </row>
    <row r="149" spans="1:10">
      <c r="A149" s="15" t="str">
        <f>+A148</f>
        <v>ABR_IsLucros</v>
      </c>
      <c r="B149" s="9"/>
      <c r="C149" s="10">
        <f>+C44</f>
        <v>0</v>
      </c>
      <c r="D149" s="8" t="s">
        <v>116</v>
      </c>
      <c r="E149" s="11">
        <v>3415</v>
      </c>
      <c r="F149" s="12" t="str">
        <f>IF(E149&gt;0,(VLOOKUP(E149,'Blnct AR'!$C$2:$D$2262,2,0))," ")</f>
        <v>IL - apuramento</v>
      </c>
      <c r="G149" s="12" t="s">
        <v>117</v>
      </c>
      <c r="H149" s="26">
        <v>255199</v>
      </c>
      <c r="I149" s="26">
        <v>255199</v>
      </c>
      <c r="J149" s="9"/>
    </row>
    <row r="150" spans="1:10">
      <c r="B150" s="9"/>
      <c r="C150" s="10"/>
      <c r="D150" s="8"/>
      <c r="E150" s="11"/>
      <c r="F150" s="12"/>
      <c r="G150" s="12"/>
      <c r="H150" s="13"/>
      <c r="I150" s="13"/>
      <c r="J150" s="9"/>
    </row>
    <row r="151" spans="1:10">
      <c r="A151" s="8" t="s">
        <v>118</v>
      </c>
      <c r="B151" s="9"/>
      <c r="C151" s="10">
        <f>+C148</f>
        <v>0</v>
      </c>
      <c r="D151" s="8" t="s">
        <v>119</v>
      </c>
      <c r="E151" s="11">
        <v>35143</v>
      </c>
      <c r="F151" s="12" t="str">
        <f>IF(E151&gt;0,(VLOOKUP(E151,'Blnct AR'!$C$2:$D$2262,2,0))," ")</f>
        <v>c/ lucros</v>
      </c>
      <c r="G151" s="12" t="s">
        <v>120</v>
      </c>
      <c r="H151" s="26"/>
      <c r="I151" s="26">
        <v>585464</v>
      </c>
      <c r="J151" s="9"/>
    </row>
    <row r="152" spans="1:10">
      <c r="A152" s="15" t="str">
        <f>+A151</f>
        <v>ABR_Pag_Div</v>
      </c>
      <c r="B152" s="9"/>
      <c r="C152" s="10">
        <f>+C151</f>
        <v>0</v>
      </c>
      <c r="D152" s="8" t="s">
        <v>119</v>
      </c>
      <c r="E152" s="11">
        <v>8111</v>
      </c>
      <c r="F152" s="12" t="str">
        <f>IF(E152&gt;0,(VLOOKUP(E152,'Blnct AR'!$C$2:$D$2262,2,0))," ")</f>
        <v>Resultado do ano</v>
      </c>
      <c r="G152" s="12" t="s">
        <v>120</v>
      </c>
      <c r="H152" s="26">
        <v>840663</v>
      </c>
      <c r="I152" s="26"/>
      <c r="J152" s="9"/>
    </row>
    <row r="153" spans="1:10">
      <c r="B153" s="9"/>
      <c r="J153" s="9"/>
    </row>
    <row r="154" spans="1:10">
      <c r="A154" s="8" t="s">
        <v>121</v>
      </c>
      <c r="B154" s="9"/>
      <c r="C154" s="10">
        <f>+C153</f>
        <v>0</v>
      </c>
      <c r="D154" s="8" t="s">
        <v>122</v>
      </c>
      <c r="E154" s="11">
        <v>35143</v>
      </c>
      <c r="F154" s="12" t="str">
        <f>IF(E154&gt;0,(VLOOKUP(E154,'Blnct AR'!$C$2:$D$2253,2,0))," ")</f>
        <v>c/ lucros</v>
      </c>
      <c r="G154" s="21" t="s">
        <v>123</v>
      </c>
      <c r="H154" s="26">
        <v>63515830</v>
      </c>
      <c r="I154" s="26"/>
      <c r="J154" s="9"/>
    </row>
    <row r="155" spans="1:10">
      <c r="A155" s="8" t="str">
        <f>+A154</f>
        <v>ABR_Lucros</v>
      </c>
      <c r="B155" s="9"/>
      <c r="C155" s="10">
        <f>+C154</f>
        <v>0</v>
      </c>
      <c r="D155" s="8" t="str">
        <f>+D154</f>
        <v>Lucros</v>
      </c>
      <c r="E155" s="11">
        <v>541</v>
      </c>
      <c r="F155" s="12" t="str">
        <f>IF(E155&gt;0,(VLOOKUP(E155,'Blnct AR'!$C$2:$D$2253,2,0))," ")</f>
        <v>Prestações suplementares</v>
      </c>
      <c r="G155" s="21" t="s">
        <v>123</v>
      </c>
      <c r="H155" s="17"/>
      <c r="I155" s="26">
        <v>63515830</v>
      </c>
      <c r="J155" s="9"/>
    </row>
    <row r="156" spans="1:10">
      <c r="B156" s="9"/>
      <c r="J156" s="9"/>
    </row>
    <row r="157" spans="1:10">
      <c r="A157" s="15" t="s">
        <v>71</v>
      </c>
      <c r="B157" s="9"/>
      <c r="C157" s="10">
        <f>+C156</f>
        <v>0</v>
      </c>
      <c r="D157" s="15" t="s">
        <v>72</v>
      </c>
      <c r="E157" s="11">
        <v>1813</v>
      </c>
      <c r="F157" s="12" t="str">
        <f>IF(E157&gt;0,(VLOOKUP(E157,'Blnct AR'!$C$2:$D$2259,2,0))," ")</f>
        <v>Equipamento básico</v>
      </c>
      <c r="G157" s="12" t="s">
        <v>177</v>
      </c>
      <c r="H157" s="20"/>
      <c r="I157" s="13">
        <v>230000</v>
      </c>
      <c r="J157" s="9"/>
    </row>
    <row r="158" spans="1:10">
      <c r="A158" s="15" t="str">
        <f>+A157</f>
        <v>Imobilizado</v>
      </c>
      <c r="B158" s="9"/>
      <c r="C158" s="10">
        <f>+C157</f>
        <v>0</v>
      </c>
      <c r="D158" s="15" t="str">
        <f>+D157</f>
        <v>Amrtz_Imo</v>
      </c>
      <c r="E158" s="11">
        <v>7313</v>
      </c>
      <c r="F158" s="12" t="str">
        <f>IF(E158&gt;0,(VLOOKUP(E158,'Blnct AR'!$C$2:$D$2259,2,0))," ")</f>
        <v>Equipamento básico</v>
      </c>
      <c r="G158" s="12" t="str">
        <f>+G157</f>
        <v>Amortização Transf. 500 Kva</v>
      </c>
      <c r="H158" s="20">
        <f>+I157</f>
        <v>230000</v>
      </c>
      <c r="I158" s="13"/>
      <c r="J158" s="9"/>
    </row>
  </sheetData>
  <autoFilter ref="A1:A134" xr:uid="{00000000-0009-0000-0000-000003000000}"/>
  <dataValidations count="2">
    <dataValidation type="date" allowBlank="1" showInputMessage="1" showErrorMessage="1" sqref="C123:C129 C133:C145 C154:C155" xr:uid="{00000000-0002-0000-0300-000000000000}">
      <formula1>41640</formula1>
      <formula2>43830</formula2>
    </dataValidation>
    <dataValidation type="date" allowBlank="1" showInputMessage="1" showErrorMessage="1" sqref="C2:C9 C11:C15 C17:C38 C40:C49 C51:C54 C56:C64 C66:C67 C69:C70 C72:C88 C90:C120 C122 C130:C132 C146:C152 C157:C158" xr:uid="{00000000-0002-0000-0300-000001000000}">
      <formula1>42004</formula1>
      <formula2>47848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ignoredErrors>
    <ignoredError xmlns:x16r3="http://schemas.microsoft.com/office/spreadsheetml/2018/08/main" sqref="C90" x16r3:misleadingForma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48"/>
  <sheetViews>
    <sheetView zoomScaleNormal="100" zoomScaleSheetLayoutView="100" workbookViewId="0">
      <pane ySplit="2" topLeftCell="A1241" activePane="bottomLeft" state="frozen"/>
      <selection pane="bottomLeft" activeCell="C1253" sqref="C1253"/>
    </sheetView>
  </sheetViews>
  <sheetFormatPr defaultRowHeight="14.4"/>
  <cols>
    <col min="1" max="1" width="8.44140625" customWidth="1"/>
    <col min="2" max="2" width="11.33203125" customWidth="1"/>
    <col min="3" max="3" width="12.33203125" style="4" bestFit="1" customWidth="1"/>
    <col min="4" max="4" width="48.77734375" bestFit="1" customWidth="1"/>
    <col min="5" max="5" width="37.5546875" bestFit="1" customWidth="1"/>
    <col min="6" max="6" width="15.33203125" bestFit="1" customWidth="1"/>
    <col min="7" max="7" width="15.21875" customWidth="1"/>
    <col min="8" max="8" width="17.5546875" customWidth="1"/>
    <col min="9" max="9" width="10.77734375" style="33" customWidth="1"/>
    <col min="10" max="10" width="13.77734375" customWidth="1"/>
    <col min="11" max="1025" width="8.44140625" customWidth="1"/>
  </cols>
  <sheetData>
    <row r="1" spans="1:9" ht="15" customHeight="1">
      <c r="A1" s="296"/>
      <c r="B1" s="297"/>
      <c r="C1" s="298"/>
      <c r="D1" s="299"/>
      <c r="E1" s="300"/>
      <c r="F1" s="306">
        <f>ROUND(SUM(F3:F3910)-SUM(G3:G3910),3)</f>
        <v>0</v>
      </c>
      <c r="G1" s="307" t="str">
        <f>IF(F1&lt;&gt;0,"DEB&lt;&gt;CRE","CONCLUÍDO")</f>
        <v>CONCLUÍDO</v>
      </c>
      <c r="H1" s="306">
        <f>Balanço!$I$52</f>
        <v>5.3644180297851563E-7</v>
      </c>
      <c r="I1" s="34"/>
    </row>
    <row r="2" spans="1:9" ht="15" customHeight="1">
      <c r="A2" s="301" t="s">
        <v>178</v>
      </c>
      <c r="B2" s="302" t="s">
        <v>179</v>
      </c>
      <c r="C2" s="303" t="s">
        <v>180</v>
      </c>
      <c r="D2" s="304" t="s">
        <v>181</v>
      </c>
      <c r="E2" s="305" t="s">
        <v>182</v>
      </c>
      <c r="F2" s="305" t="s">
        <v>183</v>
      </c>
      <c r="G2" s="305" t="s">
        <v>184</v>
      </c>
      <c r="H2" s="305" t="s">
        <v>184</v>
      </c>
    </row>
    <row r="3" spans="1:9" s="14" customFormat="1" ht="15" customHeight="1">
      <c r="A3" s="35">
        <v>43830</v>
      </c>
      <c r="B3" s="8" t="s">
        <v>1832</v>
      </c>
      <c r="C3" s="11">
        <v>1122</v>
      </c>
      <c r="D3" s="12" t="str">
        <f>IF(C3&gt;0,(VLOOKUP(C3,'Blnct AR'!$C$2:$D$2262,2,0))," ")</f>
        <v>Outras construções</v>
      </c>
      <c r="E3" s="21" t="s">
        <v>1831</v>
      </c>
      <c r="F3" s="26">
        <v>33771040.670000002</v>
      </c>
      <c r="G3" s="36"/>
      <c r="I3" s="37"/>
    </row>
    <row r="4" spans="1:9" s="14" customFormat="1" ht="15" customHeight="1">
      <c r="A4" s="35">
        <v>43830</v>
      </c>
      <c r="B4" s="8" t="s">
        <v>1832</v>
      </c>
      <c r="C4" s="11">
        <v>1131</v>
      </c>
      <c r="D4" s="12" t="str">
        <f>IF(C4&gt;0,(VLOOKUP(C4,'Blnct AR'!$C$2:$D$2262,2,0))," ")</f>
        <v>Material Industrial</v>
      </c>
      <c r="E4" s="21" t="s">
        <v>1831</v>
      </c>
      <c r="F4" s="26">
        <v>8490739.8200000003</v>
      </c>
      <c r="G4" s="36"/>
      <c r="I4" s="37"/>
    </row>
    <row r="5" spans="1:9" s="14" customFormat="1" ht="15" customHeight="1">
      <c r="A5" s="35">
        <v>43830</v>
      </c>
      <c r="B5" s="8" t="s">
        <v>1832</v>
      </c>
      <c r="C5" s="11">
        <v>1132</v>
      </c>
      <c r="D5" s="12" t="str">
        <f>IF(C5&gt;0,(VLOOKUP(C5,'Blnct AR'!$C$2:$D$2262,2,0))," ")</f>
        <v>Ferramentas industriais</v>
      </c>
      <c r="E5" s="21" t="s">
        <v>1831</v>
      </c>
      <c r="F5" s="13">
        <v>1582983.3</v>
      </c>
      <c r="H5" s="26"/>
      <c r="I5" s="38"/>
    </row>
    <row r="6" spans="1:9" s="14" customFormat="1" ht="15" customHeight="1">
      <c r="A6" s="35">
        <v>43830</v>
      </c>
      <c r="B6" s="8" t="s">
        <v>1832</v>
      </c>
      <c r="C6" s="11">
        <v>1134</v>
      </c>
      <c r="D6" s="12" t="str">
        <f>IF(C6&gt;0,(VLOOKUP(C6,'Blnct AR'!$C$2:$D$2262,2,0))," ")</f>
        <v>Gerador Genalec</v>
      </c>
      <c r="E6" s="21" t="s">
        <v>1831</v>
      </c>
      <c r="F6" s="13">
        <v>3481000</v>
      </c>
      <c r="H6" s="26"/>
      <c r="I6" s="38"/>
    </row>
    <row r="7" spans="1:9" s="14" customFormat="1" ht="15" customHeight="1">
      <c r="A7" s="35">
        <v>43830</v>
      </c>
      <c r="B7" s="8" t="s">
        <v>1832</v>
      </c>
      <c r="C7" s="11">
        <v>1135</v>
      </c>
      <c r="D7" s="12" t="str">
        <f>IF(C7&gt;0,(VLOOKUP(C7,'Blnct AR'!$C$2:$D$2262,2,0))," ")</f>
        <v>Empilhadora</v>
      </c>
      <c r="E7" s="21" t="s">
        <v>1831</v>
      </c>
      <c r="F7" s="26">
        <v>1916250</v>
      </c>
      <c r="I7" s="39"/>
    </row>
    <row r="8" spans="1:9" s="14" customFormat="1" ht="15" customHeight="1">
      <c r="A8" s="35">
        <v>43830</v>
      </c>
      <c r="B8" s="8" t="s">
        <v>1832</v>
      </c>
      <c r="C8" s="11">
        <v>114201</v>
      </c>
      <c r="D8" s="12" t="str">
        <f>IF(C8&gt;0,(VLOOKUP(C8,'Blnct AR'!$C$2:$D$2262,2,0))," ")</f>
        <v>Nissan Navara LD -07-66 DQ</v>
      </c>
      <c r="E8" s="21" t="s">
        <v>1831</v>
      </c>
      <c r="F8" s="26">
        <v>3152500</v>
      </c>
      <c r="I8" s="39"/>
    </row>
    <row r="9" spans="1:9" s="14" customFormat="1" ht="15" customHeight="1">
      <c r="A9" s="35">
        <v>43830</v>
      </c>
      <c r="B9" s="8" t="s">
        <v>1832</v>
      </c>
      <c r="C9" s="11">
        <v>114202</v>
      </c>
      <c r="D9" s="12" t="str">
        <f>IF(C9&gt;0,(VLOOKUP(C9,'Blnct AR'!$C$2:$D$2262,2,0))," ")</f>
        <v>Suzuki Grand Vitara LD-05-65-EF</v>
      </c>
      <c r="E9" s="21" t="s">
        <v>1831</v>
      </c>
      <c r="F9" s="26">
        <v>4455000</v>
      </c>
      <c r="I9" s="39"/>
    </row>
    <row r="10" spans="1:9" s="14" customFormat="1" ht="15" customHeight="1">
      <c r="A10" s="35">
        <v>43830</v>
      </c>
      <c r="B10" s="8" t="s">
        <v>1832</v>
      </c>
      <c r="C10" s="11">
        <v>114203</v>
      </c>
      <c r="D10" s="12" t="str">
        <f>IF(C10&gt;0,(VLOOKUP(C10,'Blnct AR'!$C$2:$D$2262,2,0))," ")</f>
        <v>Nissan Micra LD-95-52-FZ</v>
      </c>
      <c r="E10" s="21" t="s">
        <v>1831</v>
      </c>
      <c r="F10" s="26">
        <v>2500000</v>
      </c>
      <c r="I10" s="39"/>
    </row>
    <row r="11" spans="1:9" s="14" customFormat="1" ht="15" customHeight="1">
      <c r="A11" s="35">
        <v>43830</v>
      </c>
      <c r="B11" s="8" t="s">
        <v>1832</v>
      </c>
      <c r="C11" s="11">
        <v>114205</v>
      </c>
      <c r="D11" s="12" t="str">
        <f>IF(C11&gt;0,(VLOOKUP(C11,'Blnct AR'!$C$2:$D$2262,2,0))," ")</f>
        <v>SSANGYON Rexton RX LD-28-34-GD</v>
      </c>
      <c r="E11" s="21" t="s">
        <v>1831</v>
      </c>
      <c r="F11" s="26">
        <v>4400000</v>
      </c>
      <c r="I11" s="39"/>
    </row>
    <row r="12" spans="1:9" s="14" customFormat="1" ht="15" customHeight="1">
      <c r="A12" s="35">
        <v>43830</v>
      </c>
      <c r="B12" s="8" t="s">
        <v>1832</v>
      </c>
      <c r="C12" s="11">
        <v>114207</v>
      </c>
      <c r="D12" s="12" t="str">
        <f>IF(C12&gt;0,(VLOOKUP(C12,'Blnct AR'!$C$2:$D$2262,2,0))," ")</f>
        <v>JMC Conquer 3360 LD-88-46-GK</v>
      </c>
      <c r="E12" s="21" t="s">
        <v>1831</v>
      </c>
      <c r="F12" s="26">
        <v>3165000</v>
      </c>
      <c r="I12" s="39"/>
    </row>
    <row r="13" spans="1:9" s="14" customFormat="1" ht="15" customHeight="1">
      <c r="A13" s="35">
        <v>43830</v>
      </c>
      <c r="B13" s="8" t="s">
        <v>1832</v>
      </c>
      <c r="C13" s="11">
        <v>114208</v>
      </c>
      <c r="D13" s="12" t="str">
        <f>IF(C13&gt;0,(VLOOKUP(C13,'Blnct AR'!$C$2:$D$2262,2,0))," ")</f>
        <v>Motorizada</v>
      </c>
      <c r="E13" s="21" t="s">
        <v>1831</v>
      </c>
      <c r="F13" s="26">
        <v>269000</v>
      </c>
      <c r="I13" s="39"/>
    </row>
    <row r="14" spans="1:9" s="14" customFormat="1" ht="15" customHeight="1">
      <c r="A14" s="35">
        <v>43830</v>
      </c>
      <c r="B14" s="8" t="s">
        <v>1832</v>
      </c>
      <c r="C14" s="11">
        <v>114209</v>
      </c>
      <c r="D14" s="12" t="str">
        <f>IF(C14&gt;0,(VLOOKUP(C14,'Blnct AR'!$C$2:$D$2262,2,0))," ")</f>
        <v>Ford Ranger - LD-22-37-FS</v>
      </c>
      <c r="E14" s="21" t="s">
        <v>1831</v>
      </c>
      <c r="F14" s="26">
        <v>12400000</v>
      </c>
      <c r="I14" s="39"/>
    </row>
    <row r="15" spans="1:9" s="14" customFormat="1" ht="15" customHeight="1">
      <c r="A15" s="35">
        <v>43830</v>
      </c>
      <c r="B15" s="8" t="s">
        <v>1832</v>
      </c>
      <c r="C15" s="11">
        <v>1151</v>
      </c>
      <c r="D15" s="12" t="str">
        <f>IF(C15&gt;0,(VLOOKUP(C15,'Blnct AR'!$C$2:$D$2262,2,0))," ")</f>
        <v>Equipamento informatico</v>
      </c>
      <c r="E15" s="21" t="s">
        <v>1831</v>
      </c>
      <c r="F15" s="26">
        <v>832396.09</v>
      </c>
      <c r="I15" s="39"/>
    </row>
    <row r="16" spans="1:9" s="14" customFormat="1" ht="15" customHeight="1">
      <c r="A16" s="35">
        <v>43830</v>
      </c>
      <c r="B16" s="8" t="s">
        <v>1832</v>
      </c>
      <c r="C16" s="11">
        <v>115201</v>
      </c>
      <c r="D16" s="12" t="str">
        <f>IF(C16&gt;0,(VLOOKUP(C16,'Blnct AR'!$C$2:$D$2262,2,0))," ")</f>
        <v>Equipamento Social</v>
      </c>
      <c r="E16" s="21" t="s">
        <v>1831</v>
      </c>
      <c r="F16" s="13">
        <v>555241.13</v>
      </c>
      <c r="H16" s="26"/>
      <c r="I16" s="37"/>
    </row>
    <row r="17" spans="1:9" s="14" customFormat="1" ht="15" customHeight="1">
      <c r="A17" s="35">
        <v>43830</v>
      </c>
      <c r="B17" s="8" t="s">
        <v>1832</v>
      </c>
      <c r="C17" s="11">
        <v>1153</v>
      </c>
      <c r="D17" s="12" t="str">
        <f>IF(C17&gt;0,(VLOOKUP(C17,'Blnct AR'!$C$2:$D$2262,2,0))," ")</f>
        <v>Mobiliário</v>
      </c>
      <c r="E17" s="21" t="s">
        <v>1831</v>
      </c>
      <c r="F17" s="26">
        <v>4426438.08</v>
      </c>
      <c r="I17" s="37"/>
    </row>
    <row r="18" spans="1:9" s="14" customFormat="1" ht="15" customHeight="1">
      <c r="A18" s="35">
        <v>43830</v>
      </c>
      <c r="B18" s="8" t="s">
        <v>1832</v>
      </c>
      <c r="C18" s="11">
        <v>1154</v>
      </c>
      <c r="D18" s="12" t="str">
        <f>IF(C18&gt;0,(VLOOKUP(C18,'Blnct AR'!$C$2:$D$2262,2,0))," ")</f>
        <v>AR Condicionado SPLIT 9000BTU MS9A- 09CR</v>
      </c>
      <c r="E18" s="21" t="s">
        <v>1831</v>
      </c>
      <c r="F18" s="13">
        <v>245563.3</v>
      </c>
      <c r="H18" s="26"/>
      <c r="I18" s="37"/>
    </row>
    <row r="19" spans="1:9" s="14" customFormat="1" ht="15" customHeight="1">
      <c r="A19" s="35">
        <v>43830</v>
      </c>
      <c r="B19" s="8" t="s">
        <v>1832</v>
      </c>
      <c r="C19" s="11">
        <v>1155</v>
      </c>
      <c r="D19" s="12" t="str">
        <f>IF(C19&gt;0,(VLOOKUP(C19,'Blnct AR'!$C$2:$D$2262,2,0))," ")</f>
        <v>Outros</v>
      </c>
      <c r="E19" s="21" t="s">
        <v>1831</v>
      </c>
      <c r="F19" s="13">
        <v>955783.37</v>
      </c>
      <c r="H19" s="26"/>
      <c r="I19" s="37"/>
    </row>
    <row r="20" spans="1:9" s="14" customFormat="1" ht="15" customHeight="1">
      <c r="A20" s="35">
        <v>43830</v>
      </c>
      <c r="B20" s="8" t="s">
        <v>1832</v>
      </c>
      <c r="C20" s="11">
        <v>1156</v>
      </c>
      <c r="D20" s="12" t="str">
        <f>IF(C20&gt;0,(VLOOKUP(C20,'Blnct AR'!$C$2:$D$2262,2,0))," ")</f>
        <v>Cofre</v>
      </c>
      <c r="E20" s="21" t="s">
        <v>1831</v>
      </c>
      <c r="F20" s="13">
        <v>69577.149999999994</v>
      </c>
      <c r="H20" s="26"/>
      <c r="I20" s="37"/>
    </row>
    <row r="21" spans="1:9" s="14" customFormat="1" ht="15" customHeight="1">
      <c r="A21" s="35">
        <v>43830</v>
      </c>
      <c r="B21" s="8" t="s">
        <v>1832</v>
      </c>
      <c r="C21" s="11">
        <v>1192</v>
      </c>
      <c r="D21" s="12" t="str">
        <f>IF(C21&gt;0,(VLOOKUP(C21,'Blnct AR'!$C$2:$D$2262,2,0))," ")</f>
        <v>Tanque de Água</v>
      </c>
      <c r="E21" s="21" t="s">
        <v>1831</v>
      </c>
      <c r="F21" s="13">
        <v>117408.44</v>
      </c>
      <c r="H21" s="26"/>
      <c r="I21" s="37"/>
    </row>
    <row r="22" spans="1:9" s="14" customFormat="1" ht="15" customHeight="1">
      <c r="A22" s="35">
        <v>43830</v>
      </c>
      <c r="B22" s="8" t="s">
        <v>1832</v>
      </c>
      <c r="C22" s="11">
        <v>1241</v>
      </c>
      <c r="D22" s="12" t="str">
        <f>IF(C22&gt;0,(VLOOKUP(C22,'Blnct AR'!$C$2:$D$2262,2,0))," ")</f>
        <v>Despesas de constituição</v>
      </c>
      <c r="E22" s="21" t="s">
        <v>1831</v>
      </c>
      <c r="F22" s="13">
        <v>4180500</v>
      </c>
      <c r="H22" s="26"/>
      <c r="I22" s="37"/>
    </row>
    <row r="23" spans="1:9" s="14" customFormat="1" ht="15" customHeight="1">
      <c r="A23" s="35">
        <v>43830</v>
      </c>
      <c r="B23" s="8" t="s">
        <v>1832</v>
      </c>
      <c r="C23" s="11">
        <v>1291</v>
      </c>
      <c r="D23" s="12" t="str">
        <f>IF(C23&gt;0,(VLOOKUP(C23,'Blnct AR'!$C$2:$D$2262,2,0))," ")</f>
        <v>Outras imobilizações incorporeas</v>
      </c>
      <c r="E23" s="21" t="s">
        <v>1831</v>
      </c>
      <c r="F23" s="13">
        <v>1717400</v>
      </c>
      <c r="H23" s="26"/>
      <c r="I23" s="37"/>
    </row>
    <row r="24" spans="1:9" s="14" customFormat="1" ht="15" customHeight="1">
      <c r="A24" s="35">
        <v>43830</v>
      </c>
      <c r="B24" s="8" t="s">
        <v>1832</v>
      </c>
      <c r="C24" s="11">
        <v>1812</v>
      </c>
      <c r="D24" s="12" t="str">
        <f>IF(C24&gt;0,(VLOOKUP(C24,'Blnct AR'!$C$2:$D$2262,2,0))," ")</f>
        <v>Edificios e outras construções</v>
      </c>
      <c r="E24" s="21" t="s">
        <v>1831</v>
      </c>
      <c r="F24" s="13">
        <f t="shared" ref="F24:F29" si="0">IF(G24+H24&lt;&gt;0,G24-H24,"")</f>
        <v>-23837407.41375</v>
      </c>
      <c r="H24" s="26">
        <v>23837407.41375</v>
      </c>
      <c r="I24" s="37"/>
    </row>
    <row r="25" spans="1:9" s="14" customFormat="1" ht="15" customHeight="1">
      <c r="A25" s="35">
        <v>43830</v>
      </c>
      <c r="B25" s="8" t="s">
        <v>1832</v>
      </c>
      <c r="C25" s="11">
        <v>1813</v>
      </c>
      <c r="D25" s="12" t="str">
        <f>IF(C25&gt;0,(VLOOKUP(C25,'Blnct AR'!$C$2:$D$2262,2,0))," ")</f>
        <v>Equipamento básico</v>
      </c>
      <c r="E25" s="21" t="s">
        <v>1831</v>
      </c>
      <c r="F25" s="13">
        <f t="shared" si="0"/>
        <v>-7966128.4024999999</v>
      </c>
      <c r="H25" s="26">
        <v>7966128.4024999999</v>
      </c>
      <c r="I25" s="37"/>
    </row>
    <row r="26" spans="1:9" s="14" customFormat="1" ht="15" customHeight="1">
      <c r="A26" s="35">
        <v>43830</v>
      </c>
      <c r="B26" s="8" t="s">
        <v>1832</v>
      </c>
      <c r="C26" s="11">
        <v>18141</v>
      </c>
      <c r="D26" s="12" t="str">
        <f>IF(C26&gt;0,(VLOOKUP(C26,'Blnct AR'!$C$2:$D$2262,2,0))," ")</f>
        <v>Equipamento de carga e transporte</v>
      </c>
      <c r="E26" s="21" t="s">
        <v>1831</v>
      </c>
      <c r="F26" s="13">
        <f t="shared" si="0"/>
        <v>-26408166.710000001</v>
      </c>
      <c r="H26" s="26">
        <v>26408166.710000001</v>
      </c>
      <c r="I26" s="39"/>
    </row>
    <row r="27" spans="1:9" s="14" customFormat="1" ht="15" customHeight="1">
      <c r="A27" s="35">
        <v>43830</v>
      </c>
      <c r="B27" s="8" t="s">
        <v>1832</v>
      </c>
      <c r="C27" s="11">
        <v>18151</v>
      </c>
      <c r="D27" s="12" t="str">
        <f>IF(C27&gt;0,(VLOOKUP(C27,'Blnct AR'!$C$2:$D$2262,2,0))," ")</f>
        <v>Equipamento administrativo</v>
      </c>
      <c r="E27" s="21" t="s">
        <v>1831</v>
      </c>
      <c r="F27" s="13">
        <f t="shared" si="0"/>
        <v>-4654722.2633752497</v>
      </c>
      <c r="H27" s="26">
        <v>4654722.2633752497</v>
      </c>
      <c r="I27" s="39"/>
    </row>
    <row r="28" spans="1:9" s="14" customFormat="1" ht="15" customHeight="1">
      <c r="A28" s="35">
        <v>43830</v>
      </c>
      <c r="B28" s="8" t="s">
        <v>1832</v>
      </c>
      <c r="C28" s="11">
        <v>1819</v>
      </c>
      <c r="D28" s="12" t="str">
        <f>IF(C28&gt;0,(VLOOKUP(C28,'Blnct AR'!$C$2:$D$2262,2,0))," ")</f>
        <v>Outras imobilizações corpóreas</v>
      </c>
      <c r="E28" s="21" t="s">
        <v>1831</v>
      </c>
      <c r="F28" s="13">
        <f t="shared" si="0"/>
        <v>-86451</v>
      </c>
      <c r="H28" s="26">
        <v>86451</v>
      </c>
      <c r="I28" s="37"/>
    </row>
    <row r="29" spans="1:9" s="14" customFormat="1" ht="15" customHeight="1">
      <c r="A29" s="35">
        <v>43830</v>
      </c>
      <c r="B29" s="8" t="s">
        <v>1832</v>
      </c>
      <c r="C29" s="11">
        <v>1829</v>
      </c>
      <c r="D29" s="12" t="str">
        <f>IF(C29&gt;0,(VLOOKUP(C29,'Blnct AR'!$C$2:$D$2262,2,0))," ")</f>
        <v>Outras imobilizações incorporeas</v>
      </c>
      <c r="E29" s="21" t="s">
        <v>1831</v>
      </c>
      <c r="F29" s="13">
        <f t="shared" si="0"/>
        <v>-5669341.6399999997</v>
      </c>
      <c r="H29" s="26">
        <v>5669341.6399999997</v>
      </c>
      <c r="I29" s="37"/>
    </row>
    <row r="30" spans="1:9" s="14" customFormat="1" ht="15" customHeight="1">
      <c r="A30" s="35">
        <v>43830</v>
      </c>
      <c r="B30" s="8" t="s">
        <v>1832</v>
      </c>
      <c r="C30" s="11">
        <v>211111</v>
      </c>
      <c r="D30" s="12" t="str">
        <f>IF(C30&gt;0,(VLOOKUP(C30,'Blnct AR'!$C$2:$D$2262,2,0))," ")</f>
        <v>Mp.MN-Custo de factura</v>
      </c>
      <c r="E30" s="21" t="s">
        <v>1831</v>
      </c>
      <c r="F30" s="13">
        <v>1566613.9699999997</v>
      </c>
      <c r="H30" s="26"/>
      <c r="I30" s="37"/>
    </row>
    <row r="31" spans="1:9" s="14" customFormat="1" ht="15" customHeight="1">
      <c r="A31" s="35">
        <v>43830</v>
      </c>
      <c r="B31" s="8" t="s">
        <v>1832</v>
      </c>
      <c r="C31" s="11">
        <v>2211</v>
      </c>
      <c r="D31" s="12" t="str">
        <f>IF(C31&gt;0,(VLOOKUP(C31,'Blnct AR'!$C$2:$D$2262,2,0))," ")</f>
        <v>Mp-Existências</v>
      </c>
      <c r="E31" s="21" t="s">
        <v>1831</v>
      </c>
      <c r="F31" s="13">
        <v>27786230.640000001</v>
      </c>
      <c r="H31" s="26"/>
      <c r="I31" s="37"/>
    </row>
    <row r="32" spans="1:9" s="14" customFormat="1" ht="15" customHeight="1">
      <c r="A32" s="35">
        <v>43830</v>
      </c>
      <c r="B32" s="8" t="s">
        <v>1832</v>
      </c>
      <c r="C32" s="11">
        <v>2713</v>
      </c>
      <c r="D32" s="12" t="str">
        <f>IF(C32&gt;0,(VLOOKUP(C32,'Blnct AR'!$C$2:$D$2262,2,0))," ")</f>
        <v>Mp.-Outros Mercados</v>
      </c>
      <c r="E32" s="21" t="s">
        <v>1831</v>
      </c>
      <c r="F32" s="13">
        <v>11330086.949999999</v>
      </c>
      <c r="H32" s="26"/>
      <c r="I32" s="37"/>
    </row>
    <row r="33" spans="1:9" s="14" customFormat="1" ht="15" customHeight="1">
      <c r="A33" s="35">
        <v>43830</v>
      </c>
      <c r="B33" s="8" t="s">
        <v>1832</v>
      </c>
      <c r="C33" s="11">
        <v>31121003</v>
      </c>
      <c r="D33" s="12" t="str">
        <f>IF(C33&gt;0,(VLOOKUP(C33,'Blnct AR'!$C$2:$D$2262,2,0))," ")</f>
        <v>UEM-Unid. Estruturas Metálicas, SA</v>
      </c>
      <c r="E33" s="21" t="s">
        <v>1831</v>
      </c>
      <c r="F33" s="13">
        <v>27891306.59</v>
      </c>
      <c r="H33" s="26"/>
      <c r="I33" s="37"/>
    </row>
    <row r="34" spans="1:9" s="14" customFormat="1" ht="15" customHeight="1">
      <c r="A34" s="35">
        <v>43830</v>
      </c>
      <c r="B34" s="8" t="s">
        <v>1832</v>
      </c>
      <c r="C34" s="11">
        <v>31121009</v>
      </c>
      <c r="D34" s="12" t="str">
        <f>IF(C34&gt;0,(VLOOKUP(C34,'Blnct AR'!$C$2:$D$2262,2,0))," ")</f>
        <v>Matra Engenharia e Construção, Lda</v>
      </c>
      <c r="E34" s="21" t="s">
        <v>1831</v>
      </c>
      <c r="F34" s="13">
        <v>16613407.16</v>
      </c>
      <c r="H34" s="26"/>
      <c r="I34" s="37"/>
    </row>
    <row r="35" spans="1:9" s="14" customFormat="1" ht="15" customHeight="1">
      <c r="A35" s="35">
        <v>43830</v>
      </c>
      <c r="B35" s="8" t="s">
        <v>1832</v>
      </c>
      <c r="C35" s="11">
        <v>31121035</v>
      </c>
      <c r="D35" s="12" t="str">
        <f>IF(C35&gt;0,(VLOOKUP(C35,'Blnct AR'!$C$2:$D$2262,2,0))," ")</f>
        <v>Cummins Angola, Lda</v>
      </c>
      <c r="E35" s="21" t="s">
        <v>1831</v>
      </c>
      <c r="F35" s="13">
        <v>878.9</v>
      </c>
      <c r="H35" s="26"/>
      <c r="I35" s="37"/>
    </row>
    <row r="36" spans="1:9" s="14" customFormat="1" ht="15" customHeight="1">
      <c r="A36" s="35">
        <v>43830</v>
      </c>
      <c r="B36" s="8" t="s">
        <v>1832</v>
      </c>
      <c r="C36" s="11">
        <v>31121051</v>
      </c>
      <c r="D36" s="12" t="str">
        <f>IF(C36&gt;0,(VLOOKUP(C36,'Blnct AR'!$C$2:$D$2262,2,0))," ")</f>
        <v>LYON- Contrução e Manut.Met.</v>
      </c>
      <c r="E36" s="21" t="s">
        <v>1831</v>
      </c>
      <c r="F36" s="13">
        <f>IF(G36+H36&lt;&gt;0,G36-H36,"")</f>
        <v>-500000</v>
      </c>
      <c r="H36" s="26">
        <v>500000</v>
      </c>
      <c r="I36" s="37"/>
    </row>
    <row r="37" spans="1:9" s="14" customFormat="1" ht="15" customHeight="1">
      <c r="A37" s="35">
        <v>43830</v>
      </c>
      <c r="B37" s="8" t="s">
        <v>1832</v>
      </c>
      <c r="C37" s="11">
        <v>31121077</v>
      </c>
      <c r="D37" s="12" t="str">
        <f>IF(C37&gt;0,(VLOOKUP(C37,'Blnct AR'!$C$2:$D$2262,2,0))," ")</f>
        <v>CATOCA - Sociedade Mineira de Catoca, Lda</v>
      </c>
      <c r="E37" s="21" t="s">
        <v>1831</v>
      </c>
      <c r="F37" s="13">
        <v>1520238.92</v>
      </c>
      <c r="H37" s="26"/>
      <c r="I37" s="37"/>
    </row>
    <row r="38" spans="1:9" s="14" customFormat="1" ht="15" customHeight="1">
      <c r="A38" s="35">
        <v>43830</v>
      </c>
      <c r="B38" s="8" t="s">
        <v>1832</v>
      </c>
      <c r="C38" s="11">
        <v>31121117</v>
      </c>
      <c r="D38" s="12" t="str">
        <f>IF(C38&gt;0,(VLOOKUP(C38,'Blnct AR'!$C$2:$D$2262,2,0))," ")</f>
        <v>PSI Angola</v>
      </c>
      <c r="E38" s="21" t="s">
        <v>1831</v>
      </c>
      <c r="F38" s="13">
        <f>IF(G38+H38&lt;&gt;0,G38-H38,"")</f>
        <v>-0.9</v>
      </c>
      <c r="H38" s="26">
        <v>0.9</v>
      </c>
      <c r="I38" s="37"/>
    </row>
    <row r="39" spans="1:9" s="14" customFormat="1" ht="15" customHeight="1">
      <c r="A39" s="35">
        <v>43830</v>
      </c>
      <c r="B39" s="8" t="s">
        <v>1832</v>
      </c>
      <c r="C39" s="11">
        <v>31121118</v>
      </c>
      <c r="D39" s="12" t="str">
        <f>IF(C39&gt;0,(VLOOKUP(C39,'Blnct AR'!$C$2:$D$2262,2,0))," ")</f>
        <v>Cimaleste</v>
      </c>
      <c r="E39" s="21" t="s">
        <v>1831</v>
      </c>
      <c r="F39" s="13">
        <v>2205500</v>
      </c>
      <c r="H39" s="26"/>
      <c r="I39" s="37"/>
    </row>
    <row r="40" spans="1:9" s="14" customFormat="1" ht="15" customHeight="1">
      <c r="A40" s="35">
        <v>43830</v>
      </c>
      <c r="B40" s="8" t="s">
        <v>1832</v>
      </c>
      <c r="C40" s="11">
        <v>31121114</v>
      </c>
      <c r="D40" s="12" t="str">
        <f>IF(C40&gt;0,(VLOOKUP(C40,'Blnct AR'!$C$2:$D$2262,2,0))," ")</f>
        <v>SEDIAC-Soc. de Est., Desenv. Ind. Agrícola e Corm. SA</v>
      </c>
      <c r="E40" s="21" t="s">
        <v>1831</v>
      </c>
      <c r="F40" s="13">
        <v>202910.42</v>
      </c>
      <c r="H40" s="26"/>
      <c r="I40" s="37"/>
    </row>
    <row r="41" spans="1:9" s="14" customFormat="1" ht="15" customHeight="1">
      <c r="A41" s="35">
        <v>43830</v>
      </c>
      <c r="B41" s="8" t="s">
        <v>1832</v>
      </c>
      <c r="C41" s="11">
        <v>31121116</v>
      </c>
      <c r="D41" s="12" t="str">
        <f>IF(C41&gt;0,(VLOOKUP(C41,'Blnct AR'!$C$2:$D$2262,2,0))," ")</f>
        <v>IMAVIZ - MINING, LDA.</v>
      </c>
      <c r="E41" s="21" t="s">
        <v>1831</v>
      </c>
      <c r="F41" s="13">
        <v>2529830.4868000001</v>
      </c>
      <c r="H41" s="26"/>
      <c r="I41" s="37"/>
    </row>
    <row r="42" spans="1:9" s="14" customFormat="1" ht="15" customHeight="1">
      <c r="A42" s="35">
        <v>43830</v>
      </c>
      <c r="B42" s="8" t="s">
        <v>1832</v>
      </c>
      <c r="C42" s="11">
        <v>3171034</v>
      </c>
      <c r="D42" s="12" t="str">
        <f>IF(C42&gt;0,(VLOOKUP(C42,'Blnct AR'!$C$2:$D$2262,2,0))," ")</f>
        <v>Cummins Angola, Lda</v>
      </c>
      <c r="E42" s="21" t="s">
        <v>1831</v>
      </c>
      <c r="F42" s="13">
        <v>94311.1</v>
      </c>
      <c r="H42" s="26"/>
      <c r="I42" s="37"/>
    </row>
    <row r="43" spans="1:9" s="14" customFormat="1" ht="15" customHeight="1">
      <c r="A43" s="35">
        <v>43830</v>
      </c>
      <c r="B43" s="8" t="s">
        <v>1832</v>
      </c>
      <c r="C43" s="11">
        <v>3171077</v>
      </c>
      <c r="D43" s="12" t="str">
        <f>IF(C43&gt;0,(VLOOKUP(C43,'Blnct AR'!$C$2:$D$2262,2,0))," ")</f>
        <v>CATOCA - Sociedade Mineira de Catoca, Lda</v>
      </c>
      <c r="E43" s="21" t="s">
        <v>1831</v>
      </c>
      <c r="F43" s="13">
        <v>10310385.272336844</v>
      </c>
      <c r="H43" s="26"/>
      <c r="I43" s="37"/>
    </row>
    <row r="44" spans="1:9" s="14" customFormat="1" ht="15" customHeight="1">
      <c r="A44" s="35">
        <v>43830</v>
      </c>
      <c r="B44" s="8" t="s">
        <v>1832</v>
      </c>
      <c r="C44" s="11">
        <v>3171113</v>
      </c>
      <c r="D44" s="12" t="str">
        <f>IF(C44&gt;0,(VLOOKUP(C44,'Blnct AR'!$C$2:$D$2262,2,0))," ")</f>
        <v>PSI Angola</v>
      </c>
      <c r="E44" s="21" t="s">
        <v>1831</v>
      </c>
      <c r="F44" s="13">
        <v>19500</v>
      </c>
      <c r="H44" s="26"/>
      <c r="I44" s="37"/>
    </row>
    <row r="45" spans="1:9" s="14" customFormat="1" ht="15" customHeight="1">
      <c r="A45" s="35">
        <v>43830</v>
      </c>
      <c r="B45" s="8" t="s">
        <v>1832</v>
      </c>
      <c r="C45" s="11">
        <v>3171114</v>
      </c>
      <c r="D45" s="12" t="str">
        <f>IF(C45&gt;0,(VLOOKUP(C45,'Blnct AR'!$C$2:$D$2262,2,0))," ")</f>
        <v>Cimaleste</v>
      </c>
      <c r="E45" s="21" t="s">
        <v>1831</v>
      </c>
      <c r="F45" s="13">
        <v>19500</v>
      </c>
      <c r="H45" s="26"/>
      <c r="I45" s="37"/>
    </row>
    <row r="46" spans="1:9" s="14" customFormat="1" ht="15" customHeight="1">
      <c r="A46" s="35">
        <v>43830</v>
      </c>
      <c r="B46" s="8" t="s">
        <v>1832</v>
      </c>
      <c r="C46" s="11">
        <v>3171116</v>
      </c>
      <c r="D46" s="12" t="str">
        <f>IF(C46&gt;0,(VLOOKUP(C46,'Blnct AR'!$C$2:$D$2262,2,0))," ")</f>
        <v>IMAVIZ - MINING, LDA.</v>
      </c>
      <c r="E46" s="21" t="s">
        <v>1831</v>
      </c>
      <c r="F46" s="13">
        <v>196167.61320000002</v>
      </c>
      <c r="H46" s="26"/>
      <c r="I46" s="37"/>
    </row>
    <row r="47" spans="1:9" s="14" customFormat="1" ht="15" customHeight="1">
      <c r="A47" s="35">
        <v>43830</v>
      </c>
      <c r="B47" s="8" t="s">
        <v>1832</v>
      </c>
      <c r="C47" s="11">
        <v>318121</v>
      </c>
      <c r="D47" s="12" t="str">
        <f>IF(C47&gt;0,(VLOOKUP(C47,'Blnct AR'!$C$2:$D$2262,2,0))," ")</f>
        <v>Nacionais</v>
      </c>
      <c r="E47" s="21" t="s">
        <v>1831</v>
      </c>
      <c r="F47" s="13">
        <v>32608955.329999998</v>
      </c>
      <c r="H47" s="26"/>
      <c r="I47" s="37"/>
    </row>
    <row r="48" spans="1:9" s="14" customFormat="1" ht="15" customHeight="1">
      <c r="A48" s="35">
        <v>43831</v>
      </c>
      <c r="B48" s="8" t="s">
        <v>1832</v>
      </c>
      <c r="C48" s="11">
        <v>318121100</v>
      </c>
      <c r="D48" s="12" t="str">
        <f>IF(C48&gt;0,(VLOOKUP(C48,'Blnct AR'!$C$2:$D$2262,2,0))," ")</f>
        <v>Motortech serviços</v>
      </c>
      <c r="E48" s="21" t="s">
        <v>1863</v>
      </c>
      <c r="F48" s="13">
        <v>3400000</v>
      </c>
      <c r="H48" s="26"/>
      <c r="I48" s="37"/>
    </row>
    <row r="49" spans="1:9" s="14" customFormat="1" ht="15" customHeight="1">
      <c r="A49" s="35">
        <v>43830</v>
      </c>
      <c r="B49" s="8" t="s">
        <v>1832</v>
      </c>
      <c r="C49" s="11">
        <v>32121001</v>
      </c>
      <c r="D49" s="12" t="str">
        <f>IF(C49&gt;0,(VLOOKUP(C49,'Blnct AR'!$C$2:$D$2262,2,0))," ")</f>
        <v>Gameiro Advogados, Lda.</v>
      </c>
      <c r="E49" s="21" t="s">
        <v>1831</v>
      </c>
      <c r="F49" s="13">
        <f t="shared" ref="F49:F66" si="1">IF(G49+H49&lt;&gt;0,G49-H49,"")</f>
        <v>-4917159.82</v>
      </c>
      <c r="H49" s="26">
        <v>4917159.82</v>
      </c>
      <c r="I49" s="37"/>
    </row>
    <row r="50" spans="1:9" s="14" customFormat="1" ht="15" customHeight="1">
      <c r="A50" s="35">
        <v>43830</v>
      </c>
      <c r="B50" s="8" t="s">
        <v>1832</v>
      </c>
      <c r="C50" s="11">
        <v>32121007</v>
      </c>
      <c r="D50" s="12" t="str">
        <f>IF(C50&gt;0,(VLOOKUP(C50,'Blnct AR'!$C$2:$D$2262,2,0))," ")</f>
        <v>Empedra, Lda</v>
      </c>
      <c r="E50" s="21" t="s">
        <v>1831</v>
      </c>
      <c r="F50" s="13">
        <f t="shared" si="1"/>
        <v>-3500000</v>
      </c>
      <c r="H50" s="26">
        <v>3500000</v>
      </c>
      <c r="I50" s="37"/>
    </row>
    <row r="51" spans="1:9" s="14" customFormat="1" ht="15" customHeight="1">
      <c r="A51" s="35">
        <v>43830</v>
      </c>
      <c r="B51" s="8" t="s">
        <v>1832</v>
      </c>
      <c r="C51" s="11">
        <v>32121023</v>
      </c>
      <c r="D51" s="12" t="str">
        <f>IF(C51&gt;0,(VLOOKUP(C51,'Blnct AR'!$C$2:$D$2262,2,0))," ")</f>
        <v>Côry Lda</v>
      </c>
      <c r="E51" s="21" t="s">
        <v>1831</v>
      </c>
      <c r="F51" s="13">
        <f t="shared" si="1"/>
        <v>-2615056</v>
      </c>
      <c r="H51" s="26">
        <v>2615056</v>
      </c>
      <c r="I51" s="37"/>
    </row>
    <row r="52" spans="1:9" s="14" customFormat="1" ht="15" customHeight="1">
      <c r="A52" s="35">
        <v>43829</v>
      </c>
      <c r="B52" s="8" t="s">
        <v>1832</v>
      </c>
      <c r="C52" s="11">
        <v>32121074</v>
      </c>
      <c r="D52" s="12" t="str">
        <f>IF(C52&gt;0,(VLOOKUP(C52,'Blnct AR'!$C$2:$D$2262,2,0))," ")</f>
        <v>NEUCE - O Futuro da Tinta</v>
      </c>
      <c r="E52" s="21" t="s">
        <v>1830</v>
      </c>
      <c r="F52" s="13">
        <f>IF(G52+H52&lt;&gt;0,G52-H52,"")</f>
        <v>-1447175.54</v>
      </c>
      <c r="H52" s="26">
        <v>1447175.54</v>
      </c>
      <c r="I52" s="37"/>
    </row>
    <row r="53" spans="1:9" s="14" customFormat="1" ht="15" customHeight="1">
      <c r="A53" s="35">
        <v>43830</v>
      </c>
      <c r="B53" s="8" t="s">
        <v>1832</v>
      </c>
      <c r="C53" s="11">
        <v>32121076</v>
      </c>
      <c r="D53" s="12" t="str">
        <f>IF(C53&gt;0,(VLOOKUP(C53,'Blnct AR'!$C$2:$D$2262,2,0))," ")</f>
        <v>Pêra Produtos de Interior</v>
      </c>
      <c r="E53" s="21" t="s">
        <v>1831</v>
      </c>
      <c r="F53" s="13">
        <f t="shared" si="1"/>
        <v>-268001</v>
      </c>
      <c r="H53" s="26">
        <v>268001</v>
      </c>
      <c r="I53" s="37"/>
    </row>
    <row r="54" spans="1:9" s="14" customFormat="1" ht="15" customHeight="1">
      <c r="A54" s="35">
        <v>43831</v>
      </c>
      <c r="B54" s="8" t="s">
        <v>1832</v>
      </c>
      <c r="C54" s="11">
        <v>32121077</v>
      </c>
      <c r="D54" s="12" t="str">
        <f>IF(C54&gt;0,(VLOOKUP(C54,'Blnct AR'!$C$2:$D$2262,2,0))," ")</f>
        <v>CATOCA - Sociedade Mineira de Catoca, Lda</v>
      </c>
      <c r="E54" s="21" t="s">
        <v>1863</v>
      </c>
      <c r="F54" s="13">
        <f>IF(G54+H54&lt;&gt;0,G54-H54,"")</f>
        <v>-172215.35</v>
      </c>
      <c r="H54" s="26">
        <v>172215.35</v>
      </c>
      <c r="I54" s="37"/>
    </row>
    <row r="55" spans="1:9" s="14" customFormat="1" ht="15" customHeight="1">
      <c r="A55" s="35">
        <v>43830</v>
      </c>
      <c r="B55" s="8" t="s">
        <v>1832</v>
      </c>
      <c r="C55" s="11">
        <v>32121092</v>
      </c>
      <c r="D55" s="12" t="str">
        <f>IF(C55&gt;0,(VLOOKUP(C55,'Blnct AR'!$C$2:$D$2262,2,0))," ")</f>
        <v>Ferpinta Angola,LDA</v>
      </c>
      <c r="E55" s="21" t="s">
        <v>1831</v>
      </c>
      <c r="F55" s="13">
        <f t="shared" si="1"/>
        <v>-5845.1</v>
      </c>
      <c r="H55" s="26">
        <v>5845.1</v>
      </c>
      <c r="I55" s="37"/>
    </row>
    <row r="56" spans="1:9" s="14" customFormat="1" ht="15" customHeight="1">
      <c r="A56" s="35">
        <v>43830</v>
      </c>
      <c r="B56" s="8" t="s">
        <v>1832</v>
      </c>
      <c r="C56" s="11">
        <v>32121098</v>
      </c>
      <c r="D56" s="12" t="str">
        <f>IF(C56&gt;0,(VLOOKUP(C56,'Blnct AR'!$C$2:$D$2262,2,0))," ")</f>
        <v>BONWS Seguros</v>
      </c>
      <c r="E56" s="21" t="s">
        <v>1831</v>
      </c>
      <c r="F56" s="13">
        <f t="shared" si="1"/>
        <v>-166783.67000000001</v>
      </c>
      <c r="H56" s="26">
        <v>166783.67000000001</v>
      </c>
      <c r="I56" s="37"/>
    </row>
    <row r="57" spans="1:9" s="14" customFormat="1" ht="15" customHeight="1">
      <c r="A57" s="35">
        <v>43830</v>
      </c>
      <c r="B57" s="8" t="s">
        <v>1832</v>
      </c>
      <c r="C57" s="11">
        <v>32121110</v>
      </c>
      <c r="D57" s="12" t="str">
        <f>IF(C57&gt;0,(VLOOKUP(C57,'Blnct AR'!$C$2:$D$2262,2,0))," ")</f>
        <v xml:space="preserve">R.G.P., Lda </v>
      </c>
      <c r="E57" s="21" t="s">
        <v>1831</v>
      </c>
      <c r="F57" s="13">
        <f t="shared" si="1"/>
        <v>-1715000</v>
      </c>
      <c r="H57" s="26">
        <v>1715000</v>
      </c>
      <c r="I57" s="37"/>
    </row>
    <row r="58" spans="1:9" s="14" customFormat="1" ht="15" customHeight="1">
      <c r="A58" s="35">
        <v>43830</v>
      </c>
      <c r="B58" s="8" t="s">
        <v>1832</v>
      </c>
      <c r="C58" s="11">
        <v>32121117</v>
      </c>
      <c r="D58" s="12" t="str">
        <f>IF(C58&gt;0,(VLOOKUP(C58,'Blnct AR'!$C$2:$D$2262,2,0))," ")</f>
        <v>Alprome</v>
      </c>
      <c r="E58" s="21" t="s">
        <v>1831</v>
      </c>
      <c r="F58" s="13">
        <f t="shared" si="1"/>
        <v>-1806000</v>
      </c>
      <c r="H58" s="26">
        <v>1806000</v>
      </c>
      <c r="I58" s="37"/>
    </row>
    <row r="59" spans="1:9" s="14" customFormat="1" ht="15" customHeight="1">
      <c r="A59" s="35">
        <v>43830</v>
      </c>
      <c r="B59" s="8" t="s">
        <v>1832</v>
      </c>
      <c r="C59" s="11">
        <v>32121121</v>
      </c>
      <c r="D59" s="12" t="str">
        <f>IF(C59&gt;0,(VLOOKUP(C59,'Blnct AR'!$C$2:$D$2262,2,0))," ")</f>
        <v>Cimaleste</v>
      </c>
      <c r="E59" s="21" t="s">
        <v>1831</v>
      </c>
      <c r="F59" s="13">
        <v>1383452.92</v>
      </c>
      <c r="H59" s="26"/>
      <c r="I59" s="37"/>
    </row>
    <row r="60" spans="1:9" s="14" customFormat="1" ht="15" customHeight="1">
      <c r="A60" s="35">
        <v>43830</v>
      </c>
      <c r="B60" s="8" t="s">
        <v>1832</v>
      </c>
      <c r="C60" s="11">
        <v>32121143</v>
      </c>
      <c r="D60" s="12" t="str">
        <f>IF(C60&gt;0,(VLOOKUP(C60,'Blnct AR'!$C$2:$D$2262,2,0))," ")</f>
        <v>Massiv Bau</v>
      </c>
      <c r="E60" s="21" t="s">
        <v>1831</v>
      </c>
      <c r="F60" s="13">
        <f t="shared" si="1"/>
        <v>-168220</v>
      </c>
      <c r="H60" s="26">
        <v>168220</v>
      </c>
      <c r="I60" s="37"/>
    </row>
    <row r="61" spans="1:9" s="14" customFormat="1" ht="15" customHeight="1">
      <c r="A61" s="35">
        <v>43830</v>
      </c>
      <c r="B61" s="8" t="s">
        <v>1832</v>
      </c>
      <c r="C61" s="11">
        <v>32121150</v>
      </c>
      <c r="D61" s="12" t="str">
        <f>IF(C61&gt;0,(VLOOKUP(C61,'Blnct AR'!$C$2:$D$2262,2,0))," ")</f>
        <v>Realvitur Angola</v>
      </c>
      <c r="E61" s="21" t="s">
        <v>1831</v>
      </c>
      <c r="F61" s="13">
        <f t="shared" si="1"/>
        <v>-708300</v>
      </c>
      <c r="H61" s="26">
        <v>708300</v>
      </c>
      <c r="I61" s="37"/>
    </row>
    <row r="62" spans="1:9" s="14" customFormat="1" ht="15" customHeight="1">
      <c r="A62" s="35">
        <v>43831</v>
      </c>
      <c r="B62" s="8" t="s">
        <v>1832</v>
      </c>
      <c r="C62" s="11">
        <v>32121156</v>
      </c>
      <c r="D62" s="12" t="str">
        <f>IF(C62&gt;0,(VLOOKUP(C62,'Blnct AR'!$C$2:$D$2262,2,0))," ")</f>
        <v>Prosegur</v>
      </c>
      <c r="E62" s="21" t="s">
        <v>1863</v>
      </c>
      <c r="F62" s="13">
        <f>IF(G62+H62&lt;&gt;0,G62-H62,"")</f>
        <v>-285000</v>
      </c>
      <c r="H62" s="26">
        <v>285000</v>
      </c>
      <c r="I62" s="37"/>
    </row>
    <row r="63" spans="1:9" s="14" customFormat="1" ht="15" customHeight="1">
      <c r="A63" s="35">
        <v>43830</v>
      </c>
      <c r="B63" s="8" t="s">
        <v>1832</v>
      </c>
      <c r="C63" s="11">
        <v>32121165</v>
      </c>
      <c r="D63" s="12" t="str">
        <f>IF(C63&gt;0,(VLOOKUP(C63,'Blnct AR'!$C$2:$D$2262,2,0))," ")</f>
        <v>Fernando Virgílio de Almeida Mendes</v>
      </c>
      <c r="E63" s="21" t="s">
        <v>1831</v>
      </c>
      <c r="F63" s="13">
        <f t="shared" si="1"/>
        <v>-241460</v>
      </c>
      <c r="H63" s="26">
        <v>241460</v>
      </c>
      <c r="I63" s="37"/>
    </row>
    <row r="64" spans="1:9" s="14" customFormat="1" ht="15" customHeight="1">
      <c r="A64" s="35">
        <v>43830</v>
      </c>
      <c r="B64" s="8" t="s">
        <v>1832</v>
      </c>
      <c r="C64" s="11">
        <v>32121172</v>
      </c>
      <c r="D64" s="12" t="str">
        <f>IF(C64&gt;0,(VLOOKUP(C64,'Blnct AR'!$C$2:$D$2262,2,0))," ")</f>
        <v>Madtec-Mecânica Auto</v>
      </c>
      <c r="E64" s="21" t="s">
        <v>1831</v>
      </c>
      <c r="F64" s="13">
        <f t="shared" si="1"/>
        <v>-199900</v>
      </c>
      <c r="H64" s="26">
        <v>199900</v>
      </c>
      <c r="I64" s="37"/>
    </row>
    <row r="65" spans="1:9" s="14" customFormat="1" ht="15" customHeight="1">
      <c r="A65" s="35">
        <v>43830</v>
      </c>
      <c r="B65" s="8" t="s">
        <v>1832</v>
      </c>
      <c r="C65" s="11">
        <v>32122002</v>
      </c>
      <c r="D65" s="12" t="str">
        <f>IF(C65&gt;0,(VLOOKUP(C65,'Blnct AR'!$C$2:$D$2262,2,0))," ")</f>
        <v>UEM-Unid. Estruturas Metálicas, SA</v>
      </c>
      <c r="E65" s="21" t="s">
        <v>1831</v>
      </c>
      <c r="F65" s="13">
        <f t="shared" si="1"/>
        <v>-244103932.76635</v>
      </c>
      <c r="H65" s="26">
        <v>244103932.76635</v>
      </c>
      <c r="I65" s="37"/>
    </row>
    <row r="66" spans="1:9" s="14" customFormat="1" ht="15" customHeight="1">
      <c r="A66" s="35">
        <v>43830</v>
      </c>
      <c r="B66" s="8" t="s">
        <v>1832</v>
      </c>
      <c r="C66" s="11">
        <v>32122007</v>
      </c>
      <c r="D66" s="12" t="str">
        <f>IF(C66&gt;0,(VLOOKUP(C66,'Blnct AR'!$C$2:$D$2262,2,0))," ")</f>
        <v>Aegis Information Tecnologies</v>
      </c>
      <c r="E66" s="21" t="s">
        <v>1831</v>
      </c>
      <c r="F66" s="13">
        <f t="shared" si="1"/>
        <v>-93883.72</v>
      </c>
      <c r="H66" s="26">
        <v>93883.72</v>
      </c>
      <c r="I66" s="37"/>
    </row>
    <row r="67" spans="1:9" s="14" customFormat="1" ht="15" customHeight="1">
      <c r="A67" s="35">
        <v>43830</v>
      </c>
      <c r="B67" s="8" t="s">
        <v>1832</v>
      </c>
      <c r="C67" s="11">
        <v>329121145</v>
      </c>
      <c r="D67" s="12" t="str">
        <f>IF(C67&gt;0,(VLOOKUP(C67,'Blnct AR'!$C$2:$D$2262,2,0))," ")</f>
        <v>Bownos Seguros</v>
      </c>
      <c r="E67" s="21" t="s">
        <v>1831</v>
      </c>
      <c r="F67" s="13">
        <v>1283297.25</v>
      </c>
      <c r="H67" s="26"/>
      <c r="I67" s="37"/>
    </row>
    <row r="68" spans="1:9" s="14" customFormat="1" ht="15" customHeight="1">
      <c r="A68" s="35">
        <v>43830</v>
      </c>
      <c r="B68" s="8" t="s">
        <v>1832</v>
      </c>
      <c r="C68" s="11">
        <v>329121146</v>
      </c>
      <c r="D68" s="12" t="str">
        <f>IF(C68&gt;0,(VLOOKUP(C68,'Blnct AR'!$C$2:$D$2262,2,0))," ")</f>
        <v>Perfis Palanca</v>
      </c>
      <c r="E68" s="21" t="s">
        <v>1831</v>
      </c>
      <c r="F68" s="13">
        <v>144984</v>
      </c>
      <c r="H68" s="26"/>
      <c r="I68" s="37"/>
    </row>
    <row r="69" spans="1:9" s="14" customFormat="1" ht="15" customHeight="1">
      <c r="A69" s="35">
        <v>43830</v>
      </c>
      <c r="B69" s="8" t="s">
        <v>1832</v>
      </c>
      <c r="C69" s="11">
        <v>329121147</v>
      </c>
      <c r="D69" s="12" t="str">
        <f>IF(C69&gt;0,(VLOOKUP(C69,'Blnct AR'!$C$2:$D$2262,2,0))," ")</f>
        <v>Superview</v>
      </c>
      <c r="E69" s="21" t="s">
        <v>1831</v>
      </c>
      <c r="F69" s="13">
        <v>150000</v>
      </c>
      <c r="H69" s="26"/>
      <c r="I69" s="37"/>
    </row>
    <row r="70" spans="1:9" s="14" customFormat="1" ht="15" customHeight="1">
      <c r="A70" s="35">
        <v>43830</v>
      </c>
      <c r="B70" s="8" t="s">
        <v>1832</v>
      </c>
      <c r="C70" s="11">
        <v>329121148</v>
      </c>
      <c r="D70" s="12" t="str">
        <f>IF(C70&gt;0,(VLOOKUP(C70,'Blnct AR'!$C$2:$D$2262,2,0))," ")</f>
        <v>VP Soluções</v>
      </c>
      <c r="E70" s="21" t="s">
        <v>1831</v>
      </c>
      <c r="F70" s="13">
        <v>400000</v>
      </c>
      <c r="H70" s="26"/>
      <c r="I70" s="37"/>
    </row>
    <row r="71" spans="1:9" s="14" customFormat="1" ht="15" customHeight="1">
      <c r="A71" s="35">
        <v>43830</v>
      </c>
      <c r="B71" s="8" t="s">
        <v>1832</v>
      </c>
      <c r="C71" s="11">
        <v>329121149</v>
      </c>
      <c r="D71" s="12" t="str">
        <f>IF(C71&gt;0,(VLOOKUP(C71,'Blnct AR'!$C$2:$D$2262,2,0))," ")</f>
        <v>UNITEL,SA</v>
      </c>
      <c r="E71" s="21" t="s">
        <v>1831</v>
      </c>
      <c r="F71" s="13">
        <v>38500</v>
      </c>
      <c r="H71" s="26"/>
      <c r="I71" s="37"/>
    </row>
    <row r="72" spans="1:9" s="14" customFormat="1" ht="15" customHeight="1">
      <c r="A72" s="35">
        <v>43830</v>
      </c>
      <c r="B72" s="8" t="s">
        <v>1832</v>
      </c>
      <c r="C72" s="11">
        <v>3412</v>
      </c>
      <c r="D72" s="12" t="str">
        <f>IF(C72&gt;0,(VLOOKUP(C72,'Blnct AR'!$C$2:$D$2262,2,0))," ")</f>
        <v>IL- pagamentos por conta</v>
      </c>
      <c r="E72" s="21" t="s">
        <v>1831</v>
      </c>
      <c r="F72" s="13">
        <v>2324548</v>
      </c>
      <c r="H72" s="26"/>
      <c r="I72" s="37"/>
    </row>
    <row r="73" spans="1:9" s="14" customFormat="1" ht="15" customHeight="1">
      <c r="A73" s="35">
        <v>43830</v>
      </c>
      <c r="B73" s="8" t="s">
        <v>1832</v>
      </c>
      <c r="C73" s="11">
        <v>3417</v>
      </c>
      <c r="D73" s="12" t="str">
        <f>IF(C73&gt;0,(VLOOKUP(C73,'Blnct AR'!$C$2:$D$2262,2,0))," ")</f>
        <v>IL - a recuperar</v>
      </c>
      <c r="E73" s="21" t="s">
        <v>1831</v>
      </c>
      <c r="F73" s="13">
        <v>4321929.5599999996</v>
      </c>
      <c r="H73" s="26"/>
      <c r="I73" s="37"/>
    </row>
    <row r="74" spans="1:9" s="14" customFormat="1" ht="15" customHeight="1">
      <c r="A74" s="35">
        <v>43830</v>
      </c>
      <c r="B74" s="8" t="s">
        <v>1832</v>
      </c>
      <c r="C74" s="11">
        <v>3431</v>
      </c>
      <c r="D74" s="12" t="str">
        <f>IF(C74&gt;0,(VLOOKUP(C74,'Blnct AR'!$C$2:$D$2262,2,0))," ")</f>
        <v>IRT dependentes</v>
      </c>
      <c r="E74" s="21" t="s">
        <v>1831</v>
      </c>
      <c r="F74" s="13">
        <f>IF(G74+H74&lt;&gt;0,G74-H74,"")</f>
        <v>-438097</v>
      </c>
      <c r="H74" s="26">
        <v>438097</v>
      </c>
      <c r="I74" s="37"/>
    </row>
    <row r="75" spans="1:9" s="14" customFormat="1" ht="15" customHeight="1">
      <c r="A75" s="35">
        <v>43830</v>
      </c>
      <c r="B75" s="8" t="s">
        <v>1832</v>
      </c>
      <c r="C75" s="11">
        <v>3432</v>
      </c>
      <c r="D75" s="12" t="str">
        <f>IF(C75&gt;0,(VLOOKUP(C75,'Blnct AR'!$C$2:$D$2262,2,0))," ")</f>
        <v>IRT independentes</v>
      </c>
      <c r="E75" s="21" t="s">
        <v>1831</v>
      </c>
      <c r="F75" s="13">
        <f>IF(G75+H75&lt;&gt;0,G75-H75,"")</f>
        <v>-168252.72</v>
      </c>
      <c r="H75" s="26">
        <v>168252.72</v>
      </c>
      <c r="I75" s="37"/>
    </row>
    <row r="76" spans="1:9" s="14" customFormat="1" ht="15" customHeight="1">
      <c r="A76" s="35">
        <v>43830</v>
      </c>
      <c r="B76" s="8" t="s">
        <v>1832</v>
      </c>
      <c r="C76" s="11">
        <v>345232111</v>
      </c>
      <c r="D76" s="12" t="str">
        <f>IF(C76&gt;0,(VLOOKUP(C76,'Blnct AR'!$C$2:$D$2262,2,0))," ")</f>
        <v>IVA Dedutível - Serviços - M. interno  - 14%</v>
      </c>
      <c r="E76" s="21" t="s">
        <v>1830</v>
      </c>
      <c r="F76" s="13">
        <v>99549.9</v>
      </c>
      <c r="H76" s="26"/>
      <c r="I76" s="37"/>
    </row>
    <row r="77" spans="1:9" s="14" customFormat="1" ht="15" customHeight="1">
      <c r="A77" s="35">
        <v>43830</v>
      </c>
      <c r="B77" s="8" t="s">
        <v>1832</v>
      </c>
      <c r="C77" s="11">
        <v>345312111</v>
      </c>
      <c r="D77" s="12" t="str">
        <f>IF(C77&gt;0,(VLOOKUP(C77,'Blnct AR'!$C$2:$D$2262,2,0))," ")</f>
        <v>IVA Liq. - Op. gerais - Prest. Serv. - M.interno - 14%</v>
      </c>
      <c r="E77" s="21" t="s">
        <v>1831</v>
      </c>
      <c r="F77" s="13">
        <v>10698744</v>
      </c>
      <c r="H77" s="26"/>
      <c r="I77" s="37"/>
    </row>
    <row r="78" spans="1:9" s="14" customFormat="1" ht="15" customHeight="1">
      <c r="A78" s="35">
        <v>43830</v>
      </c>
      <c r="B78" s="8" t="s">
        <v>1832</v>
      </c>
      <c r="C78" s="11">
        <v>3461</v>
      </c>
      <c r="D78" s="12" t="str">
        <f>IF(C78&gt;0,(VLOOKUP(C78,'Blnct AR'!$C$2:$D$2262,2,0))," ")</f>
        <v>Segurança social</v>
      </c>
      <c r="E78" s="21" t="s">
        <v>1831</v>
      </c>
      <c r="F78" s="13">
        <f>IF(G78+H78&lt;&gt;0,G78-H78,"")</f>
        <v>-124556.34</v>
      </c>
      <c r="H78" s="26">
        <v>124556.34</v>
      </c>
      <c r="I78" s="37"/>
    </row>
    <row r="79" spans="1:9" s="14" customFormat="1" ht="15" customHeight="1">
      <c r="A79" s="35">
        <v>43830</v>
      </c>
      <c r="B79" s="8" t="s">
        <v>1832</v>
      </c>
      <c r="C79" s="11">
        <v>3471</v>
      </c>
      <c r="D79" s="12" t="str">
        <f>IF(C79&gt;0,(VLOOKUP(C79,'Blnct AR'!$C$2:$D$2262,2,0))," ")</f>
        <v>Retenção 6,50%</v>
      </c>
      <c r="E79" s="21" t="s">
        <v>1831</v>
      </c>
      <c r="F79" s="13">
        <v>149300.53</v>
      </c>
      <c r="H79" s="26"/>
      <c r="I79" s="37"/>
    </row>
    <row r="80" spans="1:9" s="14" customFormat="1" ht="15" customHeight="1">
      <c r="A80" s="35">
        <v>43830</v>
      </c>
      <c r="B80" s="8" t="s">
        <v>1832</v>
      </c>
      <c r="C80" s="11">
        <v>34731334</v>
      </c>
      <c r="D80" s="12" t="str">
        <f>IF(C80&gt;0,(VLOOKUP(C80,'Blnct AR'!$C$2:$D$2262,2,0))," ")</f>
        <v>IS - recibos outros</v>
      </c>
      <c r="E80" s="21" t="s">
        <v>1831</v>
      </c>
      <c r="F80" s="13">
        <v>324044.79000000015</v>
      </c>
      <c r="H80" s="26"/>
      <c r="I80" s="37"/>
    </row>
    <row r="81" spans="1:9" s="14" customFormat="1" ht="15" customHeight="1">
      <c r="A81" s="35">
        <v>43830</v>
      </c>
      <c r="B81" s="8" t="s">
        <v>1832</v>
      </c>
      <c r="C81" s="11">
        <v>3491</v>
      </c>
      <c r="D81" s="12" t="str">
        <f>IF(C81&gt;0,(VLOOKUP(C81,'Blnct AR'!$C$2:$D$2262,2,0))," ")</f>
        <v>IPU</v>
      </c>
      <c r="E81" s="21" t="s">
        <v>1831</v>
      </c>
      <c r="F81" s="13">
        <f t="shared" ref="F81:F86" si="2">IF(G81+H81&lt;&gt;0,G81-H81,"")</f>
        <v>-28984.55</v>
      </c>
      <c r="H81" s="26">
        <v>28984.55</v>
      </c>
      <c r="I81" s="37"/>
    </row>
    <row r="82" spans="1:9" s="14" customFormat="1" ht="15" customHeight="1">
      <c r="A82" s="35">
        <v>43830</v>
      </c>
      <c r="B82" s="8" t="s">
        <v>1832</v>
      </c>
      <c r="C82" s="11">
        <v>351441</v>
      </c>
      <c r="D82" s="12" t="str">
        <f>IF(C82&gt;0,(VLOOKUP(C82,'Blnct AR'!$C$2:$D$2262,2,0))," ")</f>
        <v>UEM-Unidade de Estruturas Metalúrgicas,S.A.</v>
      </c>
      <c r="E82" s="21" t="s">
        <v>1831</v>
      </c>
      <c r="F82" s="13">
        <f t="shared" si="2"/>
        <v>-741454.66</v>
      </c>
      <c r="H82" s="26">
        <v>741454.66</v>
      </c>
      <c r="I82" s="37"/>
    </row>
    <row r="83" spans="1:9" s="14" customFormat="1" ht="15" customHeight="1">
      <c r="A83" s="35">
        <v>43830</v>
      </c>
      <c r="B83" s="8" t="s">
        <v>1832</v>
      </c>
      <c r="C83" s="11">
        <v>351443</v>
      </c>
      <c r="D83" s="12" t="str">
        <f>IF(C83&gt;0,(VLOOKUP(C83,'Blnct AR'!$C$2:$D$2262,2,0))," ")</f>
        <v>António Luís da Graça Gameiro</v>
      </c>
      <c r="E83" s="21" t="s">
        <v>1831</v>
      </c>
      <c r="F83" s="13">
        <f t="shared" si="2"/>
        <v>-2702215</v>
      </c>
      <c r="H83" s="26">
        <v>2702215</v>
      </c>
      <c r="I83" s="37"/>
    </row>
    <row r="84" spans="1:9" s="14" customFormat="1" ht="15" customHeight="1">
      <c r="A84" s="35">
        <v>43830</v>
      </c>
      <c r="B84" s="8" t="s">
        <v>1832</v>
      </c>
      <c r="C84" s="11">
        <v>3612101</v>
      </c>
      <c r="D84" s="12" t="str">
        <f>IF(C84&gt;0,(VLOOKUP(C84,'Blnct AR'!$C$2:$D$2262,2,0))," ")</f>
        <v>Empregados</v>
      </c>
      <c r="E84" s="21" t="s">
        <v>1831</v>
      </c>
      <c r="F84" s="13">
        <f t="shared" si="2"/>
        <v>-4444631.95</v>
      </c>
      <c r="H84" s="26">
        <v>4444631.95</v>
      </c>
      <c r="I84" s="37"/>
    </row>
    <row r="85" spans="1:9" s="14" customFormat="1" ht="15" customHeight="1">
      <c r="A85" s="35">
        <v>43830</v>
      </c>
      <c r="B85" s="8" t="s">
        <v>1832</v>
      </c>
      <c r="C85" s="11">
        <v>371121002</v>
      </c>
      <c r="D85" s="12" t="str">
        <f>IF(C85&gt;0,(VLOOKUP(C85,'Blnct AR'!$C$2:$D$2262,2,0))," ")</f>
        <v>MIllennium Leasing</v>
      </c>
      <c r="E85" s="21" t="s">
        <v>1831</v>
      </c>
      <c r="F85" s="13">
        <f t="shared" si="2"/>
        <v>-1721241.68</v>
      </c>
      <c r="H85" s="26">
        <v>1721241.68</v>
      </c>
      <c r="I85" s="37"/>
    </row>
    <row r="86" spans="1:9" s="14" customFormat="1" ht="15" customHeight="1">
      <c r="A86" s="35">
        <v>43830</v>
      </c>
      <c r="B86" s="8" t="s">
        <v>1832</v>
      </c>
      <c r="C86" s="11">
        <v>371121004</v>
      </c>
      <c r="D86" s="12" t="str">
        <f>IF(C86&gt;0,(VLOOKUP(C86,'Blnct AR'!$C$2:$D$2262,2,0))," ")</f>
        <v>Millennium Leasing-Ford Ranger</v>
      </c>
      <c r="E86" s="21" t="s">
        <v>1831</v>
      </c>
      <c r="F86" s="13">
        <f t="shared" si="2"/>
        <v>-11373943.42</v>
      </c>
      <c r="H86" s="26">
        <v>11373943.42</v>
      </c>
      <c r="I86" s="37"/>
    </row>
    <row r="87" spans="1:9" s="14" customFormat="1" ht="15" customHeight="1">
      <c r="A87" s="35">
        <v>43830</v>
      </c>
      <c r="B87" s="8" t="s">
        <v>1832</v>
      </c>
      <c r="C87" s="11">
        <v>371121005</v>
      </c>
      <c r="D87" s="12" t="str">
        <f>IF(C87&gt;0,(VLOOKUP(C87,'Blnct AR'!$C$2:$D$2262,2,0))," ")</f>
        <v>Millennium Leasing - Conquer 3360 D/C Luxury</v>
      </c>
      <c r="E87" s="21" t="s">
        <v>1831</v>
      </c>
      <c r="F87" s="13">
        <v>363821.03</v>
      </c>
      <c r="H87" s="26"/>
      <c r="I87" s="37"/>
    </row>
    <row r="88" spans="1:9" s="14" customFormat="1" ht="15" customHeight="1">
      <c r="A88" s="35">
        <v>43830</v>
      </c>
      <c r="B88" s="8" t="s">
        <v>1832</v>
      </c>
      <c r="C88" s="11">
        <v>371121006</v>
      </c>
      <c r="D88" s="12" t="str">
        <f>IF(C88&gt;0,(VLOOKUP(C88,'Blnct AR'!$C$2:$D$2262,2,0))," ")</f>
        <v xml:space="preserve">Millennium Leasing LS1001522 - Rexton </v>
      </c>
      <c r="E88" s="21" t="s">
        <v>1831</v>
      </c>
      <c r="F88" s="13">
        <v>1008005.25</v>
      </c>
      <c r="H88" s="26"/>
      <c r="I88" s="37"/>
    </row>
    <row r="89" spans="1:9" s="14" customFormat="1" ht="15" customHeight="1">
      <c r="A89" s="35">
        <v>43830</v>
      </c>
      <c r="B89" s="8" t="s">
        <v>1832</v>
      </c>
      <c r="C89" s="11">
        <v>371121007</v>
      </c>
      <c r="D89" s="12" t="str">
        <f>IF(C89&gt;0,(VLOOKUP(C89,'Blnct AR'!$C$2:$D$2262,2,0))," ")</f>
        <v>Millennium Leasing LS1001523 - Conquer JMC</v>
      </c>
      <c r="E89" s="21" t="s">
        <v>1831</v>
      </c>
      <c r="F89" s="13">
        <v>725214.2</v>
      </c>
      <c r="H89" s="26"/>
      <c r="I89" s="37"/>
    </row>
    <row r="90" spans="1:9" s="14" customFormat="1" ht="15" customHeight="1">
      <c r="A90" s="35">
        <v>43830</v>
      </c>
      <c r="B90" s="8" t="s">
        <v>1832</v>
      </c>
      <c r="C90" s="11">
        <v>371121008</v>
      </c>
      <c r="D90" s="12" t="str">
        <f>IF(C90&gt;0,(VLOOKUP(C90,'Blnct AR'!$C$2:$D$2262,2,0))," ")</f>
        <v>Millennium Leasing LS2000028 - Ford Ranger</v>
      </c>
      <c r="E90" s="21" t="s">
        <v>1831</v>
      </c>
      <c r="F90" s="13">
        <v>1652730.31</v>
      </c>
      <c r="H90" s="26"/>
      <c r="I90" s="37"/>
    </row>
    <row r="91" spans="1:9" s="14" customFormat="1" ht="15" customHeight="1">
      <c r="A91" s="35">
        <v>43830</v>
      </c>
      <c r="B91" s="8" t="s">
        <v>1832</v>
      </c>
      <c r="C91" s="11">
        <v>37511</v>
      </c>
      <c r="D91" s="12" t="str">
        <f>IF(C91&gt;0,(VLOOKUP(C91,'Blnct AR'!$C$2:$D$2262,2,0))," ")</f>
        <v>Férias e Subsídio de Férias</v>
      </c>
      <c r="E91" s="21" t="s">
        <v>1831</v>
      </c>
      <c r="F91" s="13">
        <f>IF(G91+H91&lt;&gt;0,G91-H91,"")</f>
        <v>-1291608</v>
      </c>
      <c r="H91" s="26">
        <v>1291608</v>
      </c>
      <c r="I91" s="37"/>
    </row>
    <row r="92" spans="1:9" s="14" customFormat="1" ht="15" customHeight="1">
      <c r="A92" s="35">
        <v>43830</v>
      </c>
      <c r="B92" s="8" t="s">
        <v>1832</v>
      </c>
      <c r="C92" s="11">
        <v>3755</v>
      </c>
      <c r="D92" s="12" t="str">
        <f>IF(C92&gt;0,(VLOOKUP(C92,'Blnct AR'!$C$2:$D$2262,2,0))," ")</f>
        <v>Imposto de Selo 2018</v>
      </c>
      <c r="E92" s="21" t="s">
        <v>1831</v>
      </c>
      <c r="F92" s="13">
        <f>IF(G92+H92&lt;&gt;0,G92-H92,"")</f>
        <v>-134396.12</v>
      </c>
      <c r="H92" s="26">
        <v>134396.12</v>
      </c>
      <c r="I92" s="37"/>
    </row>
    <row r="93" spans="1:9" s="14" customFormat="1" ht="15" customHeight="1">
      <c r="A93" s="35">
        <v>43830</v>
      </c>
      <c r="B93" s="8" t="s">
        <v>1832</v>
      </c>
      <c r="C93" s="11">
        <v>3791047</v>
      </c>
      <c r="D93" s="12" t="str">
        <f>IF(C93&gt;0,(VLOOKUP(C93,'Blnct AR'!$C$2:$D$2262,2,0))," ")</f>
        <v>Pinto Alberto</v>
      </c>
      <c r="E93" s="21" t="s">
        <v>1831</v>
      </c>
      <c r="F93" s="13">
        <v>81035.820000000007</v>
      </c>
      <c r="H93" s="26"/>
      <c r="I93" s="37"/>
    </row>
    <row r="94" spans="1:9" s="14" customFormat="1" ht="15" customHeight="1">
      <c r="A94" s="35">
        <v>43830</v>
      </c>
      <c r="B94" s="8" t="s">
        <v>1832</v>
      </c>
      <c r="C94" s="11">
        <v>3791074</v>
      </c>
      <c r="D94" s="12" t="str">
        <f>IF(C94&gt;0,(VLOOKUP(C94,'Blnct AR'!$C$2:$D$2262,2,0))," ")</f>
        <v>Claudio Oliveira</v>
      </c>
      <c r="E94" s="21" t="s">
        <v>1831</v>
      </c>
      <c r="F94" s="13">
        <f>IF(G94+H94&lt;&gt;0,G94-H94,"")</f>
        <v>-982000</v>
      </c>
      <c r="H94" s="26">
        <v>982000</v>
      </c>
      <c r="I94" s="37"/>
    </row>
    <row r="95" spans="1:9" s="14" customFormat="1" ht="15" customHeight="1">
      <c r="A95" s="35">
        <v>43830</v>
      </c>
      <c r="B95" s="8" t="s">
        <v>1832</v>
      </c>
      <c r="C95" s="11">
        <v>38132</v>
      </c>
      <c r="D95" s="12" t="str">
        <f>IF(C95&gt;0,(VLOOKUP(C95,'Blnct AR'!$C$2:$D$2262,2,0))," ")</f>
        <v>Não grupo</v>
      </c>
      <c r="E95" s="21" t="s">
        <v>1831</v>
      </c>
      <c r="F95" s="13">
        <f>IF(G95+H95&lt;&gt;0,G95-H95,"")</f>
        <v>-2919625.49</v>
      </c>
      <c r="H95" s="26">
        <v>2919625.49</v>
      </c>
      <c r="I95" s="37"/>
    </row>
    <row r="96" spans="1:9" s="14" customFormat="1" ht="15" customHeight="1">
      <c r="A96" s="35">
        <v>43830</v>
      </c>
      <c r="B96" s="8" t="s">
        <v>1832</v>
      </c>
      <c r="C96" s="11">
        <v>42103</v>
      </c>
      <c r="D96" s="12" t="str">
        <f>IF(C96&gt;0,(VLOOKUP(C96,'Blnct AR'!$C$2:$D$2262,2,0))," ")</f>
        <v>MILLENNIUM</v>
      </c>
      <c r="E96" s="21" t="s">
        <v>1831</v>
      </c>
      <c r="F96" s="13">
        <v>250000</v>
      </c>
      <c r="H96" s="26"/>
      <c r="I96" s="37"/>
    </row>
    <row r="97" spans="1:9" s="14" customFormat="1" ht="15" customHeight="1">
      <c r="A97" s="35">
        <v>43830</v>
      </c>
      <c r="B97" s="8" t="s">
        <v>1832</v>
      </c>
      <c r="C97" s="11">
        <v>43101</v>
      </c>
      <c r="D97" s="12" t="str">
        <f>IF(C97&gt;0,(VLOOKUP(C97,'Blnct AR'!$C$2:$D$2262,2,0))," ")</f>
        <v>Banco - BFA</v>
      </c>
      <c r="E97" s="21" t="s">
        <v>1831</v>
      </c>
      <c r="F97" s="13">
        <v>2616587.2899999842</v>
      </c>
      <c r="H97" s="26"/>
      <c r="I97" s="37"/>
    </row>
    <row r="98" spans="1:9" s="14" customFormat="1" ht="15" customHeight="1">
      <c r="A98" s="35">
        <v>43830</v>
      </c>
      <c r="B98" s="8" t="s">
        <v>1832</v>
      </c>
      <c r="C98" s="11">
        <v>43102</v>
      </c>
      <c r="D98" s="12" t="str">
        <f>IF(C98&gt;0,(VLOOKUP(C98,'Blnct AR'!$C$2:$D$2262,2,0))," ")</f>
        <v>Banco - BECN. nº 0000984586</v>
      </c>
      <c r="E98" s="21" t="s">
        <v>1831</v>
      </c>
      <c r="F98" s="13">
        <v>54325.089999998214</v>
      </c>
      <c r="H98" s="26"/>
      <c r="I98" s="37"/>
    </row>
    <row r="99" spans="1:9" s="14" customFormat="1" ht="15" customHeight="1">
      <c r="A99" s="35">
        <v>43830</v>
      </c>
      <c r="B99" s="8" t="s">
        <v>1832</v>
      </c>
      <c r="C99" s="11">
        <v>43103</v>
      </c>
      <c r="D99" s="12" t="str">
        <f>IF(C99&gt;0,(VLOOKUP(C99,'Blnct AR'!$C$2:$D$2262,2,0))," ")</f>
        <v>Milénnium 500471734904 Kz</v>
      </c>
      <c r="E99" s="21" t="s">
        <v>1831</v>
      </c>
      <c r="F99" s="13">
        <v>65126623.799999997</v>
      </c>
      <c r="H99" s="26"/>
      <c r="I99" s="37"/>
    </row>
    <row r="100" spans="1:9" s="14" customFormat="1" ht="15" customHeight="1">
      <c r="A100" s="35">
        <v>43830</v>
      </c>
      <c r="B100" s="8" t="s">
        <v>1832</v>
      </c>
      <c r="C100" s="11">
        <v>43106</v>
      </c>
      <c r="D100" s="12" t="str">
        <f>IF(C100&gt;0,(VLOOKUP(C100,'Blnct AR'!$C$2:$D$2262,2,0))," ")</f>
        <v>Banco BIC - 118133685.15.1</v>
      </c>
      <c r="E100" s="21" t="s">
        <v>1831</v>
      </c>
      <c r="F100" s="13">
        <v>27869926.880000003</v>
      </c>
      <c r="H100" s="26"/>
      <c r="I100" s="37"/>
    </row>
    <row r="101" spans="1:9" s="14" customFormat="1" ht="15" customHeight="1">
      <c r="A101" s="35">
        <v>43830</v>
      </c>
      <c r="B101" s="8" t="s">
        <v>1832</v>
      </c>
      <c r="C101" s="11">
        <v>43107</v>
      </c>
      <c r="D101" s="12" t="str">
        <f>IF(C101&gt;0,(VLOOKUP(C101,'Blnct AR'!$C$2:$D$2262,2,0))," ")</f>
        <v>BAI nº 72519374.10.001</v>
      </c>
      <c r="E101" s="21" t="s">
        <v>1831</v>
      </c>
      <c r="F101" s="13">
        <v>21358.030000000006</v>
      </c>
      <c r="H101" s="26"/>
      <c r="I101" s="37"/>
    </row>
    <row r="102" spans="1:9" s="14" customFormat="1" ht="15" customHeight="1">
      <c r="A102" s="35">
        <v>43830</v>
      </c>
      <c r="B102" s="8" t="s">
        <v>1832</v>
      </c>
      <c r="C102" s="11">
        <v>43108</v>
      </c>
      <c r="D102" s="12" t="str">
        <f>IF(C102&gt;0,(VLOOKUP(C102,'Blnct AR'!$C$2:$D$2262,2,0))," ")</f>
        <v>BMA Conta Cativa- 06078645532001</v>
      </c>
      <c r="E102" s="21" t="s">
        <v>1831</v>
      </c>
      <c r="F102" s="13">
        <v>0.29999999888241291</v>
      </c>
      <c r="H102" s="26"/>
      <c r="I102" s="37"/>
    </row>
    <row r="103" spans="1:9" s="14" customFormat="1" ht="15" customHeight="1">
      <c r="A103" s="35">
        <v>43830</v>
      </c>
      <c r="B103" s="8" t="s">
        <v>1832</v>
      </c>
      <c r="C103" s="11">
        <v>43202</v>
      </c>
      <c r="D103" s="12" t="str">
        <f>IF(C103&gt;0,(VLOOKUP(C103,'Blnct AR'!$C$2:$D$2262,2,0))," ")</f>
        <v>Millennium - 06078645510001 - Euro</v>
      </c>
      <c r="E103" s="21" t="s">
        <v>1831</v>
      </c>
      <c r="F103" s="13">
        <v>5795.6399999996647</v>
      </c>
      <c r="H103" s="26"/>
      <c r="I103" s="37"/>
    </row>
    <row r="104" spans="1:9" s="14" customFormat="1" ht="15" customHeight="1">
      <c r="A104" s="35">
        <v>43830</v>
      </c>
      <c r="B104" s="8" t="s">
        <v>1832</v>
      </c>
      <c r="C104" s="11">
        <v>45111</v>
      </c>
      <c r="D104" s="12" t="str">
        <f>IF(C104&gt;0,(VLOOKUP(C104,'Blnct AR'!$C$2:$D$2262,2,0))," ")</f>
        <v>Caixa Geral</v>
      </c>
      <c r="E104" s="21" t="s">
        <v>1831</v>
      </c>
      <c r="F104" s="13">
        <v>3541747.5500000007</v>
      </c>
      <c r="H104" s="26"/>
      <c r="I104" s="37"/>
    </row>
    <row r="105" spans="1:9" s="14" customFormat="1" ht="15" customHeight="1">
      <c r="A105" s="35">
        <v>43830</v>
      </c>
      <c r="B105" s="8" t="s">
        <v>1832</v>
      </c>
      <c r="C105" s="11">
        <v>4802</v>
      </c>
      <c r="D105" s="12" t="str">
        <f>IF(C105&gt;0,(VLOOKUP(C105,'Blnct AR'!$C$2:$D$2262,2,0))," ")</f>
        <v>Banco BFA</v>
      </c>
      <c r="E105" s="21" t="s">
        <v>1831</v>
      </c>
      <c r="F105" s="13">
        <f t="shared" ref="F105:F113" si="3">IF(G105+H105&lt;&gt;0,G105-H105,"")</f>
        <v>-345186.44</v>
      </c>
      <c r="H105" s="26">
        <v>345186.44</v>
      </c>
      <c r="I105" s="37"/>
    </row>
    <row r="106" spans="1:9" s="14" customFormat="1" ht="15" customHeight="1">
      <c r="A106" s="35">
        <v>43830</v>
      </c>
      <c r="B106" s="8" t="s">
        <v>1832</v>
      </c>
      <c r="C106" s="11">
        <v>5111</v>
      </c>
      <c r="D106" s="12" t="str">
        <f>IF(C106&gt;0,(VLOOKUP(C106,'Blnct AR'!$C$2:$D$2262,2,0))," ")</f>
        <v>UEM- Unidade de Estruturas Metálicas,S.A</v>
      </c>
      <c r="E106" s="21" t="s">
        <v>1831</v>
      </c>
      <c r="F106" s="13">
        <f t="shared" si="3"/>
        <v>-3825000</v>
      </c>
      <c r="H106" s="26">
        <v>3825000</v>
      </c>
      <c r="I106" s="37"/>
    </row>
    <row r="107" spans="1:9" s="14" customFormat="1" ht="15" customHeight="1">
      <c r="A107" s="35">
        <v>43830</v>
      </c>
      <c r="B107" s="8" t="s">
        <v>1832</v>
      </c>
      <c r="C107" s="11">
        <v>5113</v>
      </c>
      <c r="D107" s="12" t="str">
        <f>IF(C107&gt;0,(VLOOKUP(C107,'Blnct AR'!$C$2:$D$2262,2,0))," ")</f>
        <v>António Luís da graça Gameiro</v>
      </c>
      <c r="E107" s="21" t="s">
        <v>1831</v>
      </c>
      <c r="F107" s="13">
        <f t="shared" si="3"/>
        <v>-425000</v>
      </c>
      <c r="H107" s="26">
        <v>425000</v>
      </c>
      <c r="I107" s="37"/>
    </row>
    <row r="108" spans="1:9" s="14" customFormat="1" ht="15" customHeight="1">
      <c r="A108" s="35">
        <v>43830</v>
      </c>
      <c r="B108" s="8" t="s">
        <v>1832</v>
      </c>
      <c r="C108" s="11">
        <v>542</v>
      </c>
      <c r="D108" s="12" t="str">
        <f>IF(C108&gt;0,(VLOOKUP(C108,'Blnct AR'!$C$2:$D$2262,2,0))," ")</f>
        <v>Prestações suplementares- Reforço</v>
      </c>
      <c r="E108" s="21" t="s">
        <v>1831</v>
      </c>
      <c r="F108" s="13">
        <f t="shared" si="3"/>
        <v>-13282639.890000001</v>
      </c>
      <c r="H108" s="26">
        <v>13282639.890000001</v>
      </c>
      <c r="I108" s="37"/>
    </row>
    <row r="109" spans="1:9" s="14" customFormat="1" ht="15" customHeight="1">
      <c r="A109" s="35">
        <v>43830</v>
      </c>
      <c r="B109" s="8" t="s">
        <v>1832</v>
      </c>
      <c r="C109" s="11">
        <v>551</v>
      </c>
      <c r="D109" s="12" t="str">
        <f>IF(C109&gt;0,(VLOOKUP(C109,'Blnct AR'!$C$2:$D$2262,2,0))," ")</f>
        <v>Reservas legais</v>
      </c>
      <c r="E109" s="21" t="s">
        <v>1831</v>
      </c>
      <c r="F109" s="13">
        <f t="shared" si="3"/>
        <v>-1309804.3999999999</v>
      </c>
      <c r="H109" s="26">
        <v>1309804.3999999999</v>
      </c>
      <c r="I109" s="37"/>
    </row>
    <row r="110" spans="1:9" s="14" customFormat="1" ht="15" customHeight="1">
      <c r="A110" s="35">
        <v>43830</v>
      </c>
      <c r="B110" s="8" t="s">
        <v>1832</v>
      </c>
      <c r="C110" s="11">
        <v>8161</v>
      </c>
      <c r="D110" s="12" t="str">
        <f>IF(C110&gt;0,(VLOOKUP(C110,'Blnct AR'!$C$2:$D$2262,2,0))," ")</f>
        <v>Resultado do ano 2016</v>
      </c>
      <c r="E110" s="21" t="s">
        <v>1831</v>
      </c>
      <c r="F110" s="13">
        <f t="shared" si="3"/>
        <v>-9418869.4000000004</v>
      </c>
      <c r="H110" s="26">
        <v>9418869.4000000004</v>
      </c>
      <c r="I110" s="37"/>
    </row>
    <row r="111" spans="1:9" s="14" customFormat="1" ht="15" customHeight="1">
      <c r="A111" s="35">
        <v>43830</v>
      </c>
      <c r="B111" s="8" t="s">
        <v>1832</v>
      </c>
      <c r="C111" s="11">
        <v>8171</v>
      </c>
      <c r="D111" s="12" t="str">
        <f>IF(C111&gt;0,(VLOOKUP(C111,'Blnct AR'!$C$2:$D$2262,2,0))," ")</f>
        <v>Resultado do ano 2017</v>
      </c>
      <c r="E111" s="21" t="s">
        <v>1831</v>
      </c>
      <c r="F111" s="13">
        <f t="shared" si="3"/>
        <v>-2143418.75</v>
      </c>
      <c r="H111" s="26">
        <v>2143418.75</v>
      </c>
      <c r="I111" s="37"/>
    </row>
    <row r="112" spans="1:9" s="14" customFormat="1" ht="15" customHeight="1">
      <c r="A112" s="35">
        <v>43830</v>
      </c>
      <c r="B112" s="8" t="s">
        <v>1832</v>
      </c>
      <c r="C112" s="11">
        <v>8141</v>
      </c>
      <c r="D112" s="12" t="str">
        <f>IF(C112&gt;0,(VLOOKUP(C112,'Blnct AR'!$C$2:$D$2262,2,0))," ")</f>
        <v>Resultado do ano 2018</v>
      </c>
      <c r="E112" s="21" t="s">
        <v>1831</v>
      </c>
      <c r="F112" s="13">
        <v>41674709.093639001</v>
      </c>
      <c r="H112" s="26"/>
      <c r="I112" s="37"/>
    </row>
    <row r="113" spans="1:9" s="14" customFormat="1" ht="15" customHeight="1">
      <c r="A113" s="35">
        <v>43830</v>
      </c>
      <c r="B113" s="8" t="s">
        <v>1832</v>
      </c>
      <c r="C113" s="11">
        <v>8151</v>
      </c>
      <c r="D113" s="12" t="str">
        <f>IF(C113&gt;0,(VLOOKUP(C113,'Blnct AR'!$C$2:$D$2262,2,0))," ")</f>
        <v>Resultado do ano 2019</v>
      </c>
      <c r="E113" s="21" t="s">
        <v>1831</v>
      </c>
      <c r="F113" s="13">
        <f t="shared" si="3"/>
        <v>-7932798.8300000001</v>
      </c>
      <c r="G113" s="36"/>
      <c r="H113" s="26">
        <v>7932798.8300000001</v>
      </c>
      <c r="I113" s="37"/>
    </row>
    <row r="114" spans="1:9" s="14" customFormat="1" ht="15" customHeight="1">
      <c r="A114" s="148"/>
      <c r="B114" s="148"/>
      <c r="C114" s="309">
        <v>0</v>
      </c>
      <c r="D114" s="149">
        <f>DBase!$C$4</f>
        <v>45658</v>
      </c>
      <c r="E114" s="149"/>
      <c r="F114" s="375"/>
      <c r="G114" s="375"/>
      <c r="I114" s="37"/>
    </row>
    <row r="115" spans="1:9" s="14" customFormat="1" ht="15" customHeight="1">
      <c r="A115" s="10">
        <v>43101</v>
      </c>
      <c r="B115" s="8" t="s">
        <v>119</v>
      </c>
      <c r="C115" s="11">
        <v>889</v>
      </c>
      <c r="D115" s="12" t="str">
        <f>IF(C115&gt;0,(VLOOKUP(C115,'Blnct AR'!$C$2:$D$2262,2,0))," ")</f>
        <v>Tranferência p/result. Transitados</v>
      </c>
      <c r="E115" s="12" t="s">
        <v>120</v>
      </c>
      <c r="F115" s="13">
        <v>0</v>
      </c>
      <c r="G115" s="13"/>
      <c r="I115" s="37"/>
    </row>
    <row r="116" spans="1:9" s="14" customFormat="1" ht="15" customHeight="1">
      <c r="A116" s="10">
        <f>+A115</f>
        <v>43101</v>
      </c>
      <c r="B116" s="8" t="s">
        <v>119</v>
      </c>
      <c r="C116" s="11">
        <v>8171</v>
      </c>
      <c r="D116" s="12" t="str">
        <f>IF(C116&gt;0,(VLOOKUP(C116,'Blnct AR'!$C$2:$D$2262,2,0))," ")</f>
        <v>Resultado do ano 2017</v>
      </c>
      <c r="E116" s="12" t="s">
        <v>120</v>
      </c>
      <c r="F116" s="36"/>
      <c r="G116" s="13">
        <v>0</v>
      </c>
      <c r="I116" s="37"/>
    </row>
    <row r="117" spans="1:9" s="14" customFormat="1" ht="15" customHeight="1">
      <c r="A117" s="10">
        <f>+A116</f>
        <v>43101</v>
      </c>
      <c r="B117" s="8" t="s">
        <v>116</v>
      </c>
      <c r="C117" s="11">
        <v>4511</v>
      </c>
      <c r="D117" s="12" t="str">
        <f>IF(C117&gt;0,(VLOOKUP(C117,'Blnct AR'!$C$2:$D$2262,2,0))," ")</f>
        <v>Caixa Kwanza</v>
      </c>
      <c r="E117" s="12" t="s">
        <v>1720</v>
      </c>
      <c r="F117" s="13"/>
      <c r="G117" s="26">
        <v>0</v>
      </c>
      <c r="I117" s="37"/>
    </row>
    <row r="118" spans="1:9" s="14" customFormat="1" ht="15" customHeight="1">
      <c r="A118" s="10">
        <f>+A117</f>
        <v>43101</v>
      </c>
      <c r="B118" s="8" t="s">
        <v>116</v>
      </c>
      <c r="C118" s="11">
        <v>871</v>
      </c>
      <c r="D118" s="12" t="str">
        <f>IF(C118&gt;0,(VLOOKUP(C118,'Blnct AR'!$C$2:$D$2262,2,0))," ")</f>
        <v>Impostos s/os resultados correntes</v>
      </c>
      <c r="E118" s="12" t="str">
        <f>+E117</f>
        <v>Pagamento IsL 2018</v>
      </c>
      <c r="F118" s="13">
        <f>+G117</f>
        <v>0</v>
      </c>
      <c r="G118" s="26"/>
      <c r="I118" s="37"/>
    </row>
    <row r="119" spans="1:9" s="14" customFormat="1" ht="15" customHeight="1">
      <c r="A119" s="10">
        <f>+A118</f>
        <v>43101</v>
      </c>
      <c r="B119" s="8" t="s">
        <v>185</v>
      </c>
      <c r="C119" s="11">
        <v>541</v>
      </c>
      <c r="D119" s="12" t="str">
        <f>IF(C119&gt;0,(VLOOKUP(C119,'Blnct AR'!$C$2:$D$2255,2,0))," ")</f>
        <v>Prestações suplementares</v>
      </c>
      <c r="E119" s="21" t="s">
        <v>186</v>
      </c>
      <c r="F119" s="13">
        <v>0</v>
      </c>
      <c r="G119" s="40"/>
      <c r="I119" s="37"/>
    </row>
    <row r="120" spans="1:9" s="14" customFormat="1" ht="15" customHeight="1">
      <c r="A120" s="10">
        <f>+A119</f>
        <v>43101</v>
      </c>
      <c r="B120" s="10" t="str">
        <f>+B119</f>
        <v>Prest_Sup</v>
      </c>
      <c r="C120" s="11">
        <v>4511</v>
      </c>
      <c r="D120" s="12" t="str">
        <f>IF(C120&gt;0,(VLOOKUP(C120,'Blnct AR'!$C$2:$D$2255,2,0))," ")</f>
        <v>Caixa Kwanza</v>
      </c>
      <c r="E120" s="21" t="s">
        <v>186</v>
      </c>
      <c r="F120" s="40"/>
      <c r="G120" s="13">
        <v>0</v>
      </c>
      <c r="I120" s="37"/>
    </row>
    <row r="121" spans="1:9" s="14" customFormat="1" ht="15" customHeight="1">
      <c r="A121" s="148"/>
      <c r="B121" s="148"/>
      <c r="C121" s="310">
        <v>0</v>
      </c>
      <c r="D121" s="149">
        <f>DBase!$C$4</f>
        <v>45658</v>
      </c>
      <c r="E121" s="149"/>
      <c r="F121" s="150"/>
      <c r="G121" s="150"/>
      <c r="I121" s="37"/>
    </row>
    <row r="122" spans="1:9" s="14" customFormat="1" ht="15" customHeight="1">
      <c r="A122" s="10">
        <v>43861</v>
      </c>
      <c r="B122" s="8" t="s">
        <v>128</v>
      </c>
      <c r="C122" s="11">
        <v>45111</v>
      </c>
      <c r="D122" s="12" t="str">
        <f>IF(C122&gt;0,(VLOOKUP(C122,'Blnct AR'!$C$2:$D$2255,2,0))," ")</f>
        <v>Caixa Geral</v>
      </c>
      <c r="E122" s="21" t="s">
        <v>1885</v>
      </c>
      <c r="F122" s="13"/>
      <c r="G122" s="13">
        <v>362339</v>
      </c>
      <c r="H122" s="364" t="s">
        <v>1835</v>
      </c>
    </row>
    <row r="123" spans="1:9" s="14" customFormat="1" ht="15" customHeight="1">
      <c r="A123" s="10">
        <v>43861</v>
      </c>
      <c r="B123" s="10" t="s">
        <v>128</v>
      </c>
      <c r="C123" s="11">
        <v>7111</v>
      </c>
      <c r="D123" s="12" t="str">
        <f>IF(C123&gt;0,(VLOOKUP(C123,'Blnct AR'!$C$2:$D$2255,2,0))," ")</f>
        <v>Mp - cevc</v>
      </c>
      <c r="E123" s="21" t="s">
        <v>1885</v>
      </c>
      <c r="F123" s="13">
        <v>362339</v>
      </c>
      <c r="G123" s="13"/>
      <c r="I123" s="37"/>
    </row>
    <row r="124" spans="1:9" s="14" customFormat="1" ht="15" customHeight="1">
      <c r="A124" s="10">
        <v>43861</v>
      </c>
      <c r="B124" s="10" t="s">
        <v>128</v>
      </c>
      <c r="C124" s="11">
        <v>45111</v>
      </c>
      <c r="D124" s="12" t="str">
        <f>IF(C124&gt;0,(VLOOKUP(C124,'Blnct AR'!$C$2:$D$2255,2,0))," ")</f>
        <v>Caixa Geral</v>
      </c>
      <c r="E124" s="21" t="s">
        <v>1885</v>
      </c>
      <c r="F124" s="13"/>
      <c r="G124" s="13">
        <v>70000</v>
      </c>
      <c r="I124" s="37"/>
    </row>
    <row r="125" spans="1:9" s="14" customFormat="1" ht="15" customHeight="1">
      <c r="A125" s="10">
        <v>43861</v>
      </c>
      <c r="B125" s="10" t="s">
        <v>128</v>
      </c>
      <c r="C125" s="11">
        <v>728214</v>
      </c>
      <c r="D125" s="12" t="str">
        <f>IF(C125&gt;0,(VLOOKUP(C125,'Blnct AR'!$C$2:$D$2255,2,0))," ")</f>
        <v>Despesas C/ Vistos e Reg. Criminal</v>
      </c>
      <c r="E125" s="21" t="s">
        <v>1885</v>
      </c>
      <c r="F125" s="13">
        <v>70000</v>
      </c>
      <c r="G125" s="13"/>
      <c r="I125" s="37"/>
    </row>
    <row r="126" spans="1:9" s="14" customFormat="1" ht="15" customHeight="1">
      <c r="A126" s="10">
        <v>43861</v>
      </c>
      <c r="B126" s="10" t="s">
        <v>128</v>
      </c>
      <c r="C126" s="11">
        <v>45111</v>
      </c>
      <c r="D126" s="12" t="str">
        <f>IF(C126&gt;0,(VLOOKUP(C126,'Blnct AR'!$C$2:$D$2255,2,0))," ")</f>
        <v>Caixa Geral</v>
      </c>
      <c r="E126" s="21" t="s">
        <v>1885</v>
      </c>
      <c r="F126" s="13"/>
      <c r="G126" s="13">
        <v>10000</v>
      </c>
      <c r="I126" s="37"/>
    </row>
    <row r="127" spans="1:9" s="14" customFormat="1" ht="15" customHeight="1">
      <c r="A127" s="10">
        <v>43861</v>
      </c>
      <c r="B127" s="10" t="s">
        <v>128</v>
      </c>
      <c r="C127" s="11">
        <v>75216</v>
      </c>
      <c r="D127" s="12" t="str">
        <f>IF(C127&gt;0,(VLOOKUP(C127,'Blnct AR'!$C$2:$D$2255,2,0))," ")</f>
        <v>Ferrament.e utensílios desg.rápido</v>
      </c>
      <c r="E127" s="21" t="s">
        <v>1885</v>
      </c>
      <c r="F127" s="13">
        <v>10000</v>
      </c>
      <c r="G127" s="13"/>
      <c r="I127" s="37"/>
    </row>
    <row r="128" spans="1:9" s="14" customFormat="1" ht="15" customHeight="1">
      <c r="A128" s="10">
        <v>43861</v>
      </c>
      <c r="B128" s="10" t="s">
        <v>128</v>
      </c>
      <c r="C128" s="11">
        <v>45111</v>
      </c>
      <c r="D128" s="12" t="str">
        <f>IF(C128&gt;0,(VLOOKUP(C128,'Blnct AR'!$C$2:$D$2255,2,0))," ")</f>
        <v>Caixa Geral</v>
      </c>
      <c r="E128" s="21" t="s">
        <v>1885</v>
      </c>
      <c r="F128" s="13"/>
      <c r="G128" s="13">
        <v>10800</v>
      </c>
      <c r="I128" s="37"/>
    </row>
    <row r="129" spans="1:9" s="14" customFormat="1" ht="15" customHeight="1">
      <c r="A129" s="10">
        <v>43861</v>
      </c>
      <c r="B129" s="10" t="s">
        <v>128</v>
      </c>
      <c r="C129" s="11">
        <v>75217</v>
      </c>
      <c r="D129" s="12" t="str">
        <f>IF(C129&gt;0,(VLOOKUP(C129,'Blnct AR'!$C$2:$D$2255,2,0))," ")</f>
        <v>Material de escritório</v>
      </c>
      <c r="E129" s="21" t="s">
        <v>1885</v>
      </c>
      <c r="F129" s="13">
        <v>10800</v>
      </c>
      <c r="G129" s="13"/>
      <c r="I129" s="37"/>
    </row>
    <row r="130" spans="1:9" s="14" customFormat="1" ht="15" customHeight="1">
      <c r="A130" s="10">
        <v>43861</v>
      </c>
      <c r="B130" s="10" t="s">
        <v>128</v>
      </c>
      <c r="C130" s="11">
        <v>45111</v>
      </c>
      <c r="D130" s="12" t="str">
        <f>IF(C130&gt;0,(VLOOKUP(C130,'Blnct AR'!$C$2:$D$2255,2,0))," ")</f>
        <v>Caixa Geral</v>
      </c>
      <c r="E130" s="21" t="s">
        <v>1885</v>
      </c>
      <c r="F130" s="13"/>
      <c r="G130" s="13">
        <v>55300</v>
      </c>
      <c r="I130" s="37"/>
    </row>
    <row r="131" spans="1:9" s="14" customFormat="1" ht="15" customHeight="1">
      <c r="A131" s="10">
        <v>43861</v>
      </c>
      <c r="B131" s="10" t="s">
        <v>128</v>
      </c>
      <c r="C131" s="11">
        <v>752204</v>
      </c>
      <c r="D131" s="12" t="str">
        <f>IF(C131&gt;0,(VLOOKUP(C131,'Blnct AR'!$C$2:$D$2255,2,0))," ")</f>
        <v>Multichoice/Tv cabo/Zap</v>
      </c>
      <c r="E131" s="21" t="s">
        <v>1885</v>
      </c>
      <c r="F131" s="13">
        <v>55300</v>
      </c>
      <c r="G131" s="13"/>
      <c r="I131" s="37"/>
    </row>
    <row r="132" spans="1:9" s="14" customFormat="1" ht="15" customHeight="1">
      <c r="A132" s="10">
        <v>43861</v>
      </c>
      <c r="B132" s="10" t="s">
        <v>128</v>
      </c>
      <c r="C132" s="11">
        <v>45111</v>
      </c>
      <c r="D132" s="12" t="str">
        <f>IF(C132&gt;0,(VLOOKUP(C132,'Blnct AR'!$C$2:$D$2255,2,0))," ")</f>
        <v>Caixa Geral</v>
      </c>
      <c r="E132" s="21" t="s">
        <v>1885</v>
      </c>
      <c r="F132" s="13"/>
      <c r="G132" s="13">
        <v>5000</v>
      </c>
      <c r="I132" s="37"/>
    </row>
    <row r="133" spans="1:9" s="14" customFormat="1" ht="15" customHeight="1">
      <c r="A133" s="10">
        <v>43861</v>
      </c>
      <c r="B133" s="10" t="s">
        <v>128</v>
      </c>
      <c r="C133" s="11">
        <v>752202</v>
      </c>
      <c r="D133" s="12" t="str">
        <f>IF(C133&gt;0,(VLOOKUP(C133,'Blnct AR'!$C$2:$D$2255,2,0))," ")</f>
        <v>Telefone Móvel / Internet</v>
      </c>
      <c r="E133" s="21" t="s">
        <v>1885</v>
      </c>
      <c r="F133" s="13">
        <v>5000</v>
      </c>
      <c r="G133" s="13"/>
      <c r="I133" s="37"/>
    </row>
    <row r="134" spans="1:9" s="14" customFormat="1" ht="15" customHeight="1">
      <c r="A134" s="10">
        <v>43861</v>
      </c>
      <c r="B134" s="10" t="s">
        <v>128</v>
      </c>
      <c r="C134" s="11">
        <v>45111</v>
      </c>
      <c r="D134" s="12" t="str">
        <f>IF(C134&gt;0,(VLOOKUP(C134,'Blnct AR'!$C$2:$D$2255,2,0))," ")</f>
        <v>Caixa Geral</v>
      </c>
      <c r="E134" s="21" t="s">
        <v>1885</v>
      </c>
      <c r="F134" s="13"/>
      <c r="G134" s="13">
        <v>176180</v>
      </c>
      <c r="I134" s="37"/>
    </row>
    <row r="135" spans="1:9" s="14" customFormat="1" ht="15" customHeight="1">
      <c r="A135" s="10">
        <v>43861</v>
      </c>
      <c r="B135" s="10" t="s">
        <v>128</v>
      </c>
      <c r="C135" s="11">
        <v>752231</v>
      </c>
      <c r="D135" s="12" t="str">
        <f>IF(C135&gt;0,(VLOOKUP(C135,'Blnct AR'!$C$2:$D$2255,2,0))," ")</f>
        <v>Refeições e estadas</v>
      </c>
      <c r="E135" s="21" t="s">
        <v>1885</v>
      </c>
      <c r="F135" s="13">
        <v>176180</v>
      </c>
      <c r="G135" s="13"/>
      <c r="I135" s="37"/>
    </row>
    <row r="136" spans="1:9" s="14" customFormat="1" ht="15" customHeight="1">
      <c r="A136" s="10">
        <v>43861</v>
      </c>
      <c r="B136" s="10" t="s">
        <v>128</v>
      </c>
      <c r="C136" s="11">
        <v>45111</v>
      </c>
      <c r="D136" s="12" t="str">
        <f>IF(C136&gt;0,(VLOOKUP(C136,'Blnct AR'!$C$2:$D$2255,2,0))," ")</f>
        <v>Caixa Geral</v>
      </c>
      <c r="E136" s="21" t="s">
        <v>1885</v>
      </c>
      <c r="F136" s="13"/>
      <c r="G136" s="13">
        <v>60100</v>
      </c>
      <c r="I136" s="37"/>
    </row>
    <row r="137" spans="1:9" s="14" customFormat="1" ht="15" customHeight="1">
      <c r="A137" s="10">
        <v>43861</v>
      </c>
      <c r="B137" s="10" t="s">
        <v>128</v>
      </c>
      <c r="C137" s="11">
        <v>75224</v>
      </c>
      <c r="D137" s="12" t="str">
        <f>IF(C137&gt;0,(VLOOKUP(C137,'Blnct AR'!$C$2:$D$2255,2,0))," ")</f>
        <v>Despesas de representação</v>
      </c>
      <c r="E137" s="21" t="s">
        <v>1885</v>
      </c>
      <c r="F137" s="13">
        <v>60100</v>
      </c>
      <c r="G137" s="13"/>
      <c r="I137" s="37"/>
    </row>
    <row r="138" spans="1:9" s="14" customFormat="1" ht="15" customHeight="1">
      <c r="A138" s="10">
        <v>43861</v>
      </c>
      <c r="B138" s="10" t="s">
        <v>128</v>
      </c>
      <c r="C138" s="11">
        <v>45111</v>
      </c>
      <c r="D138" s="12" t="str">
        <f>IF(C138&gt;0,(VLOOKUP(C138,'Blnct AR'!$C$2:$D$2255,2,0))," ")</f>
        <v>Caixa Geral</v>
      </c>
      <c r="E138" s="21" t="s">
        <v>1885</v>
      </c>
      <c r="F138" s="13"/>
      <c r="G138" s="13">
        <v>53500</v>
      </c>
      <c r="I138" s="37"/>
    </row>
    <row r="139" spans="1:9" s="14" customFormat="1" ht="15" customHeight="1">
      <c r="A139" s="10">
        <v>43861</v>
      </c>
      <c r="B139" s="10" t="s">
        <v>128</v>
      </c>
      <c r="C139" s="11">
        <v>75228</v>
      </c>
      <c r="D139" s="12" t="str">
        <f>IF(C139&gt;0,(VLOOKUP(C139,'Blnct AR'!$C$2:$D$2255,2,0))," ")</f>
        <v>Limpeza, higiene e conforto</v>
      </c>
      <c r="E139" s="21" t="s">
        <v>1885</v>
      </c>
      <c r="F139" s="13">
        <v>53500</v>
      </c>
      <c r="G139" s="13"/>
      <c r="I139" s="37"/>
    </row>
    <row r="140" spans="1:9" s="14" customFormat="1" ht="15" customHeight="1">
      <c r="A140" s="10">
        <v>43861</v>
      </c>
      <c r="B140" s="10" t="s">
        <v>128</v>
      </c>
      <c r="C140" s="11">
        <v>45111</v>
      </c>
      <c r="D140" s="12" t="str">
        <f>IF(C140&gt;0,(VLOOKUP(C140,'Blnct AR'!$C$2:$D$2255,2,0))," ")</f>
        <v>Caixa Geral</v>
      </c>
      <c r="E140" s="21" t="s">
        <v>1885</v>
      </c>
      <c r="F140" s="13"/>
      <c r="G140" s="13">
        <v>196836</v>
      </c>
      <c r="I140" s="37"/>
    </row>
    <row r="141" spans="1:9" s="14" customFormat="1" ht="15" customHeight="1">
      <c r="A141" s="10">
        <v>43861</v>
      </c>
      <c r="B141" s="10" t="s">
        <v>128</v>
      </c>
      <c r="C141" s="11">
        <v>752144</v>
      </c>
      <c r="D141" s="12" t="str">
        <f>IF(C141&gt;0,(VLOOKUP(C141,'Blnct AR'!$C$2:$D$2255,2,0))," ")</f>
        <v>Equipamento de carga e transporte</v>
      </c>
      <c r="E141" s="21" t="s">
        <v>1885</v>
      </c>
      <c r="F141" s="13">
        <v>196836</v>
      </c>
      <c r="G141" s="13"/>
      <c r="I141" s="37"/>
    </row>
    <row r="142" spans="1:9" s="14" customFormat="1" ht="15" customHeight="1">
      <c r="A142" s="10">
        <v>43861</v>
      </c>
      <c r="B142" s="10" t="s">
        <v>128</v>
      </c>
      <c r="C142" s="11">
        <v>45111</v>
      </c>
      <c r="D142" s="12" t="str">
        <f>IF(C142&gt;0,(VLOOKUP(C142,'Blnct AR'!$C$2:$D$2255,2,0))," ")</f>
        <v>Caixa Geral</v>
      </c>
      <c r="E142" s="21" t="s">
        <v>1885</v>
      </c>
      <c r="F142" s="13"/>
      <c r="G142" s="13">
        <v>136906</v>
      </c>
      <c r="I142" s="37"/>
    </row>
    <row r="143" spans="1:9" s="14" customFormat="1" ht="15" customHeight="1">
      <c r="A143" s="10">
        <v>43861</v>
      </c>
      <c r="B143" s="10" t="s">
        <v>128</v>
      </c>
      <c r="C143" s="11">
        <v>752131</v>
      </c>
      <c r="D143" s="12" t="str">
        <f>IF(C143&gt;0,(VLOOKUP(C143,'Blnct AR'!$C$2:$D$2255,2,0))," ")</f>
        <v>Gasoleo</v>
      </c>
      <c r="E143" s="21" t="s">
        <v>1885</v>
      </c>
      <c r="F143" s="13">
        <v>136906</v>
      </c>
      <c r="G143" s="13"/>
      <c r="I143" s="37"/>
    </row>
    <row r="144" spans="1:9" s="14" customFormat="1" ht="15" customHeight="1">
      <c r="A144" s="10">
        <v>43861</v>
      </c>
      <c r="B144" s="10" t="s">
        <v>128</v>
      </c>
      <c r="C144" s="11">
        <v>45111</v>
      </c>
      <c r="D144" s="12" t="str">
        <f>IF(C144&gt;0,(VLOOKUP(C144,'Blnct AR'!$C$2:$D$2255,2,0))," ")</f>
        <v>Caixa Geral</v>
      </c>
      <c r="E144" s="21" t="s">
        <v>1885</v>
      </c>
      <c r="F144" s="13"/>
      <c r="G144" s="13">
        <v>31392.799999999999</v>
      </c>
      <c r="I144" s="37"/>
    </row>
    <row r="145" spans="1:9" s="14" customFormat="1" ht="15" customHeight="1">
      <c r="A145" s="10">
        <v>43861</v>
      </c>
      <c r="B145" s="10" t="s">
        <v>128</v>
      </c>
      <c r="C145" s="11">
        <v>752132</v>
      </c>
      <c r="D145" s="12" t="str">
        <f>IF(C145&gt;0,(VLOOKUP(C145,'Blnct AR'!$C$2:$D$2255,2,0))," ")</f>
        <v>Gasolina</v>
      </c>
      <c r="E145" s="21" t="s">
        <v>1885</v>
      </c>
      <c r="F145" s="13">
        <v>31392.799999999999</v>
      </c>
      <c r="G145" s="13"/>
      <c r="I145" s="37"/>
    </row>
    <row r="146" spans="1:9" s="14" customFormat="1" ht="15" customHeight="1">
      <c r="A146" s="10">
        <v>43861</v>
      </c>
      <c r="B146" s="10" t="s">
        <v>128</v>
      </c>
      <c r="C146" s="11">
        <v>45111</v>
      </c>
      <c r="D146" s="12" t="str">
        <f>IF(C146&gt;0,(VLOOKUP(C146,'Blnct AR'!$C$2:$D$2255,2,0))," ")</f>
        <v>Caixa Geral</v>
      </c>
      <c r="E146" s="21" t="s">
        <v>1885</v>
      </c>
      <c r="F146" s="13"/>
      <c r="G146" s="13">
        <v>245110</v>
      </c>
      <c r="I146" s="37"/>
    </row>
    <row r="147" spans="1:9" s="14" customFormat="1" ht="15" customHeight="1">
      <c r="A147" s="10">
        <v>43861</v>
      </c>
      <c r="B147" s="10" t="s">
        <v>128</v>
      </c>
      <c r="C147" s="11">
        <v>752264</v>
      </c>
      <c r="D147" s="12" t="str">
        <f>IF(C147&gt;0,(VLOOKUP(C147,'Blnct AR'!$C$2:$D$2255,2,0))," ")</f>
        <v>Equipamento de carga e transporte</v>
      </c>
      <c r="E147" s="21" t="s">
        <v>1885</v>
      </c>
      <c r="F147" s="13">
        <v>245110</v>
      </c>
      <c r="G147" s="13"/>
      <c r="I147" s="37"/>
    </row>
    <row r="148" spans="1:9" s="14" customFormat="1" ht="15" customHeight="1">
      <c r="A148" s="10">
        <v>43861</v>
      </c>
      <c r="B148" s="10" t="s">
        <v>128</v>
      </c>
      <c r="C148" s="11">
        <v>45111</v>
      </c>
      <c r="D148" s="12" t="str">
        <f>IF(C148&gt;0,(VLOOKUP(C148,'Blnct AR'!$C$2:$D$2255,2,0))," ")</f>
        <v>Caixa Geral</v>
      </c>
      <c r="E148" s="21" t="s">
        <v>1885</v>
      </c>
      <c r="F148" s="13"/>
      <c r="G148" s="13">
        <v>25000</v>
      </c>
      <c r="I148" s="37"/>
    </row>
    <row r="149" spans="1:9" s="14" customFormat="1" ht="15" customHeight="1">
      <c r="A149" s="10">
        <v>43861</v>
      </c>
      <c r="B149" s="10" t="s">
        <v>128</v>
      </c>
      <c r="C149" s="11">
        <v>75230</v>
      </c>
      <c r="D149" s="12" t="str">
        <f>IF(C149&gt;0,(VLOOKUP(C149,'Blnct AR'!$C$2:$D$2255,2,0))," ")</f>
        <v>Contencioso e notariado</v>
      </c>
      <c r="E149" s="21" t="s">
        <v>1885</v>
      </c>
      <c r="F149" s="13">
        <v>25000</v>
      </c>
      <c r="G149" s="13"/>
      <c r="I149" s="37"/>
    </row>
    <row r="150" spans="1:9" s="14" customFormat="1" ht="15" customHeight="1">
      <c r="A150" s="10"/>
      <c r="B150" s="10"/>
      <c r="C150" s="11"/>
      <c r="D150" s="12"/>
      <c r="E150" s="21"/>
      <c r="F150" s="13"/>
      <c r="G150" s="13"/>
      <c r="I150" s="37"/>
    </row>
    <row r="151" spans="1:9" s="14" customFormat="1" ht="15" customHeight="1">
      <c r="A151" s="10">
        <v>43889</v>
      </c>
      <c r="B151" s="10" t="s">
        <v>128</v>
      </c>
      <c r="C151" s="11">
        <v>45111</v>
      </c>
      <c r="D151" s="12" t="str">
        <f>IF(C151&gt;0,(VLOOKUP(C151,'Blnct AR'!$C$2:$D$2255,2,0))," ")</f>
        <v>Caixa Geral</v>
      </c>
      <c r="E151" s="21" t="s">
        <v>1886</v>
      </c>
      <c r="F151" s="13"/>
      <c r="G151" s="13">
        <v>339873</v>
      </c>
      <c r="I151" s="37"/>
    </row>
    <row r="152" spans="1:9" s="14" customFormat="1" ht="15" customHeight="1">
      <c r="A152" s="10">
        <v>43889</v>
      </c>
      <c r="B152" s="10" t="s">
        <v>128</v>
      </c>
      <c r="C152" s="11">
        <v>7111</v>
      </c>
      <c r="D152" s="12" t="str">
        <f>IF(C152&gt;0,(VLOOKUP(C152,'Blnct AR'!$C$2:$D$2255,2,0))," ")</f>
        <v>Mp - cevc</v>
      </c>
      <c r="E152" s="21" t="s">
        <v>1886</v>
      </c>
      <c r="F152" s="13">
        <v>339873</v>
      </c>
      <c r="G152" s="13"/>
      <c r="I152" s="37"/>
    </row>
    <row r="153" spans="1:9" s="14" customFormat="1" ht="15" customHeight="1">
      <c r="A153" s="10">
        <v>43889</v>
      </c>
      <c r="B153" s="10" t="s">
        <v>128</v>
      </c>
      <c r="C153" s="11">
        <v>45111</v>
      </c>
      <c r="D153" s="12" t="str">
        <f>IF(C153&gt;0,(VLOOKUP(C153,'Blnct AR'!$C$2:$D$2255,2,0))," ")</f>
        <v>Caixa Geral</v>
      </c>
      <c r="E153" s="21" t="s">
        <v>1886</v>
      </c>
      <c r="F153" s="13"/>
      <c r="G153" s="13">
        <v>39000</v>
      </c>
      <c r="I153" s="37"/>
    </row>
    <row r="154" spans="1:9" s="14" customFormat="1" ht="15" customHeight="1">
      <c r="A154" s="10">
        <v>43889</v>
      </c>
      <c r="B154" s="10" t="s">
        <v>128</v>
      </c>
      <c r="C154" s="11">
        <v>728220</v>
      </c>
      <c r="D154" s="12" t="str">
        <f>IF(C154&gt;0,(VLOOKUP(C154,'Blnct AR'!$C$2:$D$2255,2,0))," ")</f>
        <v>Saúde</v>
      </c>
      <c r="E154" s="21" t="s">
        <v>1886</v>
      </c>
      <c r="F154" s="13">
        <v>39000</v>
      </c>
      <c r="G154" s="13"/>
      <c r="I154" s="37"/>
    </row>
    <row r="155" spans="1:9" s="14" customFormat="1" ht="15" customHeight="1">
      <c r="A155" s="10">
        <v>43889</v>
      </c>
      <c r="B155" s="10" t="s">
        <v>128</v>
      </c>
      <c r="C155" s="11">
        <v>45111</v>
      </c>
      <c r="D155" s="12" t="str">
        <f>IF(C155&gt;0,(VLOOKUP(C155,'Blnct AR'!$C$2:$D$2255,2,0))," ")</f>
        <v>Caixa Geral</v>
      </c>
      <c r="E155" s="21" t="s">
        <v>1886</v>
      </c>
      <c r="F155" s="13"/>
      <c r="G155" s="13">
        <v>82408</v>
      </c>
      <c r="I155" s="37"/>
    </row>
    <row r="156" spans="1:9" s="14" customFormat="1" ht="15" customHeight="1">
      <c r="A156" s="10">
        <v>43889</v>
      </c>
      <c r="B156" s="10" t="s">
        <v>128</v>
      </c>
      <c r="C156" s="11">
        <v>752231</v>
      </c>
      <c r="D156" s="12" t="str">
        <f>IF(C156&gt;0,(VLOOKUP(C156,'Blnct AR'!$C$2:$D$2255,2,0))," ")</f>
        <v>Refeições e estadas</v>
      </c>
      <c r="E156" s="21" t="s">
        <v>1886</v>
      </c>
      <c r="F156" s="13">
        <v>82408</v>
      </c>
      <c r="G156" s="13"/>
      <c r="I156" s="37"/>
    </row>
    <row r="157" spans="1:9" s="14" customFormat="1" ht="15" customHeight="1">
      <c r="A157" s="10">
        <v>43889</v>
      </c>
      <c r="B157" s="10" t="s">
        <v>128</v>
      </c>
      <c r="C157" s="11">
        <v>45111</v>
      </c>
      <c r="D157" s="12" t="str">
        <f>IF(C157&gt;0,(VLOOKUP(C157,'Blnct AR'!$C$2:$D$2255,2,0))," ")</f>
        <v>Caixa Geral</v>
      </c>
      <c r="E157" s="21" t="s">
        <v>1886</v>
      </c>
      <c r="F157" s="13"/>
      <c r="G157" s="13">
        <v>46200</v>
      </c>
      <c r="I157" s="37"/>
    </row>
    <row r="158" spans="1:9" s="14" customFormat="1" ht="15" customHeight="1">
      <c r="A158" s="10">
        <v>43889</v>
      </c>
      <c r="B158" s="10" t="s">
        <v>128</v>
      </c>
      <c r="C158" s="11">
        <v>75224</v>
      </c>
      <c r="D158" s="12" t="str">
        <f>IF(C158&gt;0,(VLOOKUP(C158,'Blnct AR'!$C$2:$D$2255,2,0))," ")</f>
        <v>Despesas de representação</v>
      </c>
      <c r="E158" s="21" t="s">
        <v>1886</v>
      </c>
      <c r="F158" s="13">
        <v>46200</v>
      </c>
      <c r="G158" s="13"/>
      <c r="H158" s="42"/>
      <c r="I158" s="43"/>
    </row>
    <row r="159" spans="1:9" s="14" customFormat="1" ht="15" customHeight="1">
      <c r="A159" s="10">
        <v>43889</v>
      </c>
      <c r="B159" s="10" t="s">
        <v>128</v>
      </c>
      <c r="C159" s="11">
        <v>45111</v>
      </c>
      <c r="D159" s="12" t="str">
        <f>IF(C159&gt;0,(VLOOKUP(C159,'Blnct AR'!$C$2:$D$2255,2,0))," ")</f>
        <v>Caixa Geral</v>
      </c>
      <c r="E159" s="21" t="s">
        <v>1886</v>
      </c>
      <c r="F159" s="13"/>
      <c r="G159" s="13">
        <v>13697.95</v>
      </c>
      <c r="H159" s="42"/>
      <c r="I159" s="43"/>
    </row>
    <row r="160" spans="1:9" s="14" customFormat="1" ht="15" customHeight="1">
      <c r="A160" s="10">
        <v>43889</v>
      </c>
      <c r="B160" s="10" t="s">
        <v>128</v>
      </c>
      <c r="C160" s="11">
        <v>75228</v>
      </c>
      <c r="D160" s="12" t="str">
        <f>IF(C160&gt;0,(VLOOKUP(C160,'Blnct AR'!$C$2:$D$2255,2,0))," ")</f>
        <v>Limpeza, higiene e conforto</v>
      </c>
      <c r="E160" s="21" t="s">
        <v>1886</v>
      </c>
      <c r="F160" s="13">
        <v>13697.95</v>
      </c>
      <c r="G160" s="13"/>
      <c r="H160" s="42"/>
      <c r="I160" s="43"/>
    </row>
    <row r="161" spans="1:9" s="14" customFormat="1" ht="15" customHeight="1">
      <c r="A161" s="10">
        <v>43889</v>
      </c>
      <c r="B161" s="10" t="s">
        <v>128</v>
      </c>
      <c r="C161" s="11">
        <v>45111</v>
      </c>
      <c r="D161" s="12" t="str">
        <f>IF(C161&gt;0,(VLOOKUP(C161,'Blnct AR'!$C$2:$D$2255,2,0))," ")</f>
        <v>Caixa Geral</v>
      </c>
      <c r="E161" s="21" t="s">
        <v>1886</v>
      </c>
      <c r="F161" s="13"/>
      <c r="G161" s="13">
        <v>25000</v>
      </c>
      <c r="H161" s="42"/>
      <c r="I161" s="44"/>
    </row>
    <row r="162" spans="1:9" s="14" customFormat="1" ht="15" customHeight="1">
      <c r="A162" s="10">
        <v>43889</v>
      </c>
      <c r="B162" s="10" t="s">
        <v>128</v>
      </c>
      <c r="C162" s="11">
        <v>75230</v>
      </c>
      <c r="D162" s="12" t="str">
        <f>IF(C162&gt;0,(VLOOKUP(C162,'Blnct AR'!$C$2:$D$2255,2,0))," ")</f>
        <v>Contencioso e notariado</v>
      </c>
      <c r="E162" s="21" t="s">
        <v>1886</v>
      </c>
      <c r="F162" s="13">
        <v>25000</v>
      </c>
      <c r="G162" s="13"/>
      <c r="I162" s="37"/>
    </row>
    <row r="163" spans="1:9" s="14" customFormat="1" ht="15" customHeight="1">
      <c r="A163" s="10">
        <v>43889</v>
      </c>
      <c r="B163" s="10" t="s">
        <v>128</v>
      </c>
      <c r="C163" s="11">
        <v>45111</v>
      </c>
      <c r="D163" s="12" t="str">
        <f>IF(C163&gt;0,(VLOOKUP(C163,'Blnct AR'!$C$2:$D$2255,2,0))," ")</f>
        <v>Caixa Geral</v>
      </c>
      <c r="E163" s="21" t="s">
        <v>1886</v>
      </c>
      <c r="F163" s="13"/>
      <c r="G163" s="13">
        <v>10301</v>
      </c>
      <c r="I163" s="37"/>
    </row>
    <row r="164" spans="1:9" s="14" customFormat="1" ht="15" customHeight="1">
      <c r="A164" s="10">
        <v>43889</v>
      </c>
      <c r="B164" s="10" t="s">
        <v>128</v>
      </c>
      <c r="C164" s="11">
        <v>752131</v>
      </c>
      <c r="D164" s="12" t="str">
        <f>IF(C164&gt;0,(VLOOKUP(C164,'Blnct AR'!$C$2:$D$2255,2,0))," ")</f>
        <v>Gasoleo</v>
      </c>
      <c r="E164" s="21" t="s">
        <v>1886</v>
      </c>
      <c r="F164" s="13">
        <v>10301</v>
      </c>
      <c r="G164" s="13"/>
      <c r="I164" s="37"/>
    </row>
    <row r="165" spans="1:9" s="14" customFormat="1" ht="15" customHeight="1">
      <c r="A165" s="10">
        <v>43889</v>
      </c>
      <c r="B165" s="10" t="s">
        <v>128</v>
      </c>
      <c r="C165" s="11">
        <v>45111</v>
      </c>
      <c r="D165" s="12" t="str">
        <f>IF(C165&gt;0,(VLOOKUP(C165,'Blnct AR'!$C$2:$D$2255,2,0))," ")</f>
        <v>Caixa Geral</v>
      </c>
      <c r="E165" s="21" t="s">
        <v>1886</v>
      </c>
      <c r="F165" s="13"/>
      <c r="G165" s="13">
        <v>21745</v>
      </c>
      <c r="I165" s="37"/>
    </row>
    <row r="166" spans="1:9" s="14" customFormat="1" ht="15" customHeight="1">
      <c r="A166" s="10">
        <v>43889</v>
      </c>
      <c r="B166" s="10" t="s">
        <v>128</v>
      </c>
      <c r="C166" s="11">
        <v>752132</v>
      </c>
      <c r="D166" s="12" t="str">
        <f>IF(C166&gt;0,(VLOOKUP(C166,'Blnct AR'!$C$2:$D$2255,2,0))," ")</f>
        <v>Gasolina</v>
      </c>
      <c r="E166" s="21" t="s">
        <v>1886</v>
      </c>
      <c r="F166" s="13">
        <v>21745</v>
      </c>
      <c r="G166" s="13"/>
      <c r="I166" s="37"/>
    </row>
    <row r="167" spans="1:9" s="14" customFormat="1" ht="15" customHeight="1">
      <c r="A167" s="10">
        <v>43889</v>
      </c>
      <c r="B167" s="10" t="s">
        <v>128</v>
      </c>
      <c r="C167" s="11">
        <v>45111</v>
      </c>
      <c r="D167" s="12" t="str">
        <f>IF(C167&gt;0,(VLOOKUP(C167,'Blnct AR'!$C$2:$D$2255,2,0))," ")</f>
        <v>Caixa Geral</v>
      </c>
      <c r="E167" s="21" t="s">
        <v>1886</v>
      </c>
      <c r="F167" s="13"/>
      <c r="G167" s="13">
        <v>1300</v>
      </c>
      <c r="I167" s="37"/>
    </row>
    <row r="168" spans="1:9" s="14" customFormat="1" ht="15" customHeight="1">
      <c r="A168" s="10">
        <v>43889</v>
      </c>
      <c r="B168" s="10" t="s">
        <v>128</v>
      </c>
      <c r="C168" s="11">
        <v>752133</v>
      </c>
      <c r="D168" s="12" t="str">
        <f>IF(C168&gt;0,(VLOOKUP(C168,'Blnct AR'!$C$2:$D$2255,2,0))," ")</f>
        <v>Gás</v>
      </c>
      <c r="E168" s="21" t="s">
        <v>1886</v>
      </c>
      <c r="F168" s="13">
        <v>1300</v>
      </c>
      <c r="G168" s="13"/>
      <c r="I168" s="37"/>
    </row>
    <row r="169" spans="1:9" s="14" customFormat="1" ht="15" customHeight="1">
      <c r="A169" s="10">
        <v>43889</v>
      </c>
      <c r="B169" s="10" t="s">
        <v>128</v>
      </c>
      <c r="C169" s="11">
        <v>45111</v>
      </c>
      <c r="D169" s="12" t="str">
        <f>IF(C169&gt;0,(VLOOKUP(C169,'Blnct AR'!$C$2:$D$2255,2,0))," ")</f>
        <v>Caixa Geral</v>
      </c>
      <c r="E169" s="21" t="s">
        <v>1886</v>
      </c>
      <c r="F169" s="13"/>
      <c r="G169" s="13">
        <v>13245</v>
      </c>
      <c r="I169" s="37"/>
    </row>
    <row r="170" spans="1:9" s="14" customFormat="1" ht="15" customHeight="1">
      <c r="A170" s="10">
        <v>43889</v>
      </c>
      <c r="B170" s="10" t="s">
        <v>128</v>
      </c>
      <c r="C170" s="11">
        <v>752144</v>
      </c>
      <c r="D170" s="12" t="str">
        <f>IF(C170&gt;0,(VLOOKUP(C170,'Blnct AR'!$C$2:$D$2255,2,0))," ")</f>
        <v>Equipamento de carga e transporte</v>
      </c>
      <c r="E170" s="21" t="s">
        <v>1886</v>
      </c>
      <c r="F170" s="13">
        <v>13245</v>
      </c>
      <c r="G170" s="13"/>
      <c r="I170" s="37"/>
    </row>
    <row r="171" spans="1:9" s="14" customFormat="1" ht="15" customHeight="1">
      <c r="A171" s="10"/>
      <c r="B171" s="10"/>
      <c r="C171" s="11"/>
      <c r="D171" s="12"/>
      <c r="E171" s="21"/>
      <c r="F171" s="13"/>
      <c r="G171" s="13"/>
      <c r="I171" s="37"/>
    </row>
    <row r="172" spans="1:9" s="14" customFormat="1" ht="15" customHeight="1">
      <c r="A172" s="10">
        <v>43921</v>
      </c>
      <c r="B172" s="8" t="s">
        <v>128</v>
      </c>
      <c r="C172" s="11">
        <v>45111</v>
      </c>
      <c r="D172" s="12" t="str">
        <f>IF(C172&gt;0,(VLOOKUP(C172,'Blnct AR'!$C$2:$D$2255,2,0))," ")</f>
        <v>Caixa Geral</v>
      </c>
      <c r="E172" s="21" t="s">
        <v>1887</v>
      </c>
      <c r="F172" s="13"/>
      <c r="G172" s="13">
        <v>148436</v>
      </c>
      <c r="I172" s="37"/>
    </row>
    <row r="173" spans="1:9" s="14" customFormat="1" ht="15" customHeight="1">
      <c r="A173" s="10">
        <v>43921</v>
      </c>
      <c r="B173" s="10" t="s">
        <v>128</v>
      </c>
      <c r="C173" s="11">
        <v>7111</v>
      </c>
      <c r="D173" s="12" t="str">
        <f>IF(C173&gt;0,(VLOOKUP(C173,'Blnct AR'!$C$2:$D$2255,2,0))," ")</f>
        <v>Mp - cevc</v>
      </c>
      <c r="E173" s="21" t="s">
        <v>1887</v>
      </c>
      <c r="F173" s="13">
        <v>148436</v>
      </c>
      <c r="G173" s="13"/>
      <c r="I173" s="37"/>
    </row>
    <row r="174" spans="1:9" s="14" customFormat="1" ht="15" customHeight="1">
      <c r="A174" s="10">
        <v>43921</v>
      </c>
      <c r="B174" s="10" t="s">
        <v>128</v>
      </c>
      <c r="C174" s="11">
        <v>45111</v>
      </c>
      <c r="D174" s="12" t="str">
        <f>IF(C174&gt;0,(VLOOKUP(C174,'Blnct AR'!$C$2:$D$2255,2,0))," ")</f>
        <v>Caixa Geral</v>
      </c>
      <c r="E174" s="21" t="s">
        <v>1887</v>
      </c>
      <c r="F174" s="13"/>
      <c r="G174" s="13">
        <v>24500</v>
      </c>
      <c r="I174" s="37"/>
    </row>
    <row r="175" spans="1:9" s="14" customFormat="1" ht="15" customHeight="1">
      <c r="A175" s="10">
        <v>43921</v>
      </c>
      <c r="B175" s="10" t="s">
        <v>128</v>
      </c>
      <c r="C175" s="11">
        <v>728220</v>
      </c>
      <c r="D175" s="12" t="str">
        <f>IF(C175&gt;0,(VLOOKUP(C175,'Blnct AR'!$C$2:$D$2255,2,0))," ")</f>
        <v>Saúde</v>
      </c>
      <c r="E175" s="21" t="s">
        <v>1887</v>
      </c>
      <c r="F175" s="13">
        <v>24500</v>
      </c>
      <c r="G175" s="13"/>
      <c r="I175" s="37"/>
    </row>
    <row r="176" spans="1:9" s="14" customFormat="1" ht="15" customHeight="1">
      <c r="A176" s="10">
        <v>43921</v>
      </c>
      <c r="B176" s="10" t="s">
        <v>128</v>
      </c>
      <c r="C176" s="11">
        <v>45111</v>
      </c>
      <c r="D176" s="12" t="str">
        <f>IF(C176&gt;0,(VLOOKUP(C176,'Blnct AR'!$C$2:$D$2255,2,0))," ")</f>
        <v>Caixa Geral</v>
      </c>
      <c r="E176" s="21" t="s">
        <v>1887</v>
      </c>
      <c r="F176" s="13"/>
      <c r="G176" s="13">
        <v>710966</v>
      </c>
      <c r="I176" s="37"/>
    </row>
    <row r="177" spans="1:9" s="14" customFormat="1" ht="15" customHeight="1">
      <c r="A177" s="10">
        <v>43921</v>
      </c>
      <c r="B177" s="10" t="s">
        <v>128</v>
      </c>
      <c r="C177" s="11">
        <v>752231</v>
      </c>
      <c r="D177" s="12" t="str">
        <f>IF(C177&gt;0,(VLOOKUP(C177,'Blnct AR'!$C$2:$D$2255,2,0))," ")</f>
        <v>Refeições e estadas</v>
      </c>
      <c r="E177" s="21" t="s">
        <v>1887</v>
      </c>
      <c r="F177" s="13">
        <v>710966</v>
      </c>
      <c r="G177" s="13"/>
      <c r="I177" s="37"/>
    </row>
    <row r="178" spans="1:9" s="14" customFormat="1" ht="15" customHeight="1">
      <c r="A178" s="10">
        <v>43921</v>
      </c>
      <c r="B178" s="10" t="s">
        <v>128</v>
      </c>
      <c r="C178" s="11">
        <v>45111</v>
      </c>
      <c r="D178" s="12" t="str">
        <f>IF(C178&gt;0,(VLOOKUP(C178,'Blnct AR'!$C$2:$D$2255,2,0))," ")</f>
        <v>Caixa Geral</v>
      </c>
      <c r="E178" s="21" t="s">
        <v>1887</v>
      </c>
      <c r="F178" s="13"/>
      <c r="G178" s="13">
        <v>71100</v>
      </c>
      <c r="I178" s="37"/>
    </row>
    <row r="179" spans="1:9" s="14" customFormat="1" ht="15" customHeight="1">
      <c r="A179" s="10">
        <v>43921</v>
      </c>
      <c r="B179" s="10" t="s">
        <v>128</v>
      </c>
      <c r="C179" s="11">
        <v>75224</v>
      </c>
      <c r="D179" s="12" t="str">
        <f>IF(C179&gt;0,(VLOOKUP(C179,'Blnct AR'!$C$2:$D$2255,2,0))," ")</f>
        <v>Despesas de representação</v>
      </c>
      <c r="E179" s="21" t="s">
        <v>1887</v>
      </c>
      <c r="F179" s="13">
        <v>71100</v>
      </c>
      <c r="G179" s="13"/>
      <c r="I179" s="37"/>
    </row>
    <row r="180" spans="1:9" s="14" customFormat="1" ht="15" customHeight="1">
      <c r="A180" s="10">
        <v>43921</v>
      </c>
      <c r="B180" s="10" t="s">
        <v>128</v>
      </c>
      <c r="C180" s="11">
        <v>45111</v>
      </c>
      <c r="D180" s="12" t="str">
        <f>IF(C180&gt;0,(VLOOKUP(C180,'Blnct AR'!$C$2:$D$2255,2,0))," ")</f>
        <v>Caixa Geral</v>
      </c>
      <c r="E180" s="21" t="s">
        <v>1887</v>
      </c>
      <c r="F180" s="13"/>
      <c r="G180" s="13">
        <v>5192</v>
      </c>
      <c r="I180" s="37"/>
    </row>
    <row r="181" spans="1:9" s="14" customFormat="1" ht="15" customHeight="1">
      <c r="A181" s="10">
        <v>43921</v>
      </c>
      <c r="B181" s="10" t="s">
        <v>128</v>
      </c>
      <c r="C181" s="11">
        <v>75228</v>
      </c>
      <c r="D181" s="12" t="str">
        <f>IF(C181&gt;0,(VLOOKUP(C181,'Blnct AR'!$C$2:$D$2255,2,0))," ")</f>
        <v>Limpeza, higiene e conforto</v>
      </c>
      <c r="E181" s="21" t="s">
        <v>1887</v>
      </c>
      <c r="F181" s="13">
        <v>5192</v>
      </c>
      <c r="G181" s="13"/>
      <c r="I181" s="37"/>
    </row>
    <row r="182" spans="1:9" s="14" customFormat="1" ht="15" customHeight="1">
      <c r="A182" s="10">
        <v>43921</v>
      </c>
      <c r="B182" s="10" t="s">
        <v>128</v>
      </c>
      <c r="C182" s="11">
        <v>45111</v>
      </c>
      <c r="D182" s="12" t="str">
        <f>IF(C182&gt;0,(VLOOKUP(C182,'Blnct AR'!$C$2:$D$2255,2,0))," ")</f>
        <v>Caixa Geral</v>
      </c>
      <c r="E182" s="21" t="s">
        <v>1887</v>
      </c>
      <c r="F182" s="13"/>
      <c r="G182" s="13">
        <v>318600</v>
      </c>
      <c r="I182" s="37"/>
    </row>
    <row r="183" spans="1:9" s="14" customFormat="1" ht="15" customHeight="1">
      <c r="A183" s="10">
        <v>43921</v>
      </c>
      <c r="B183" s="10" t="s">
        <v>128</v>
      </c>
      <c r="C183" s="11">
        <v>752144</v>
      </c>
      <c r="D183" s="12" t="str">
        <f>IF(C183&gt;0,(VLOOKUP(C183,'Blnct AR'!$C$2:$D$2255,2,0))," ")</f>
        <v>Equipamento de carga e transporte</v>
      </c>
      <c r="E183" s="21" t="s">
        <v>1887</v>
      </c>
      <c r="F183" s="13">
        <v>318600</v>
      </c>
      <c r="G183" s="13"/>
      <c r="I183" s="37"/>
    </row>
    <row r="184" spans="1:9" s="14" customFormat="1" ht="15" customHeight="1">
      <c r="A184" s="10">
        <v>43921</v>
      </c>
      <c r="B184" s="10" t="s">
        <v>128</v>
      </c>
      <c r="C184" s="11">
        <v>45111</v>
      </c>
      <c r="D184" s="12" t="str">
        <f>IF(C184&gt;0,(VLOOKUP(C184,'Blnct AR'!$C$2:$D$2255,2,0))," ")</f>
        <v>Caixa Geral</v>
      </c>
      <c r="E184" s="21" t="s">
        <v>1887</v>
      </c>
      <c r="F184" s="13"/>
      <c r="G184" s="13">
        <v>21220</v>
      </c>
      <c r="I184" s="37"/>
    </row>
    <row r="185" spans="1:9" s="14" customFormat="1" ht="15" customHeight="1">
      <c r="A185" s="10">
        <v>43921</v>
      </c>
      <c r="B185" s="10" t="s">
        <v>128</v>
      </c>
      <c r="C185" s="11">
        <v>752131</v>
      </c>
      <c r="D185" s="12" t="str">
        <f>IF(C185&gt;0,(VLOOKUP(C185,'Blnct AR'!$C$2:$D$2255,2,0))," ")</f>
        <v>Gasoleo</v>
      </c>
      <c r="E185" s="21" t="s">
        <v>1887</v>
      </c>
      <c r="F185" s="13">
        <v>21220</v>
      </c>
      <c r="G185" s="13"/>
      <c r="I185" s="37"/>
    </row>
    <row r="186" spans="1:9" s="14" customFormat="1" ht="15" customHeight="1">
      <c r="A186" s="10">
        <v>43921</v>
      </c>
      <c r="B186" s="10" t="s">
        <v>128</v>
      </c>
      <c r="C186" s="11">
        <v>45111</v>
      </c>
      <c r="D186" s="12" t="str">
        <f>IF(C186&gt;0,(VLOOKUP(C186,'Blnct AR'!$C$2:$D$2255,2,0))," ")</f>
        <v>Caixa Geral</v>
      </c>
      <c r="E186" s="21" t="s">
        <v>1887</v>
      </c>
      <c r="F186" s="13"/>
      <c r="G186" s="13">
        <v>19537</v>
      </c>
      <c r="I186" s="37"/>
    </row>
    <row r="187" spans="1:9" s="14" customFormat="1" ht="15" customHeight="1">
      <c r="A187" s="10">
        <v>43921</v>
      </c>
      <c r="B187" s="10" t="s">
        <v>128</v>
      </c>
      <c r="C187" s="11">
        <v>752132</v>
      </c>
      <c r="D187" s="12" t="str">
        <f>IF(C187&gt;0,(VLOOKUP(C187,'Blnct AR'!$C$2:$D$2255,2,0))," ")</f>
        <v>Gasolina</v>
      </c>
      <c r="E187" s="21" t="s">
        <v>1887</v>
      </c>
      <c r="F187" s="13">
        <v>19537</v>
      </c>
      <c r="G187" s="13"/>
      <c r="I187" s="37"/>
    </row>
    <row r="188" spans="1:9" s="14" customFormat="1" ht="15" customHeight="1">
      <c r="A188" s="10">
        <v>43921</v>
      </c>
      <c r="B188" s="10" t="s">
        <v>128</v>
      </c>
      <c r="C188" s="11">
        <v>45111</v>
      </c>
      <c r="D188" s="12" t="str">
        <f>IF(C188&gt;0,(VLOOKUP(C188,'Blnct AR'!$C$2:$D$2255,2,0))," ")</f>
        <v>Caixa Geral</v>
      </c>
      <c r="E188" s="21" t="s">
        <v>1887</v>
      </c>
      <c r="F188" s="13"/>
      <c r="G188" s="13">
        <v>10000</v>
      </c>
      <c r="I188" s="37"/>
    </row>
    <row r="189" spans="1:9" s="14" customFormat="1" ht="15" customHeight="1">
      <c r="A189" s="10">
        <v>43921</v>
      </c>
      <c r="B189" s="10" t="s">
        <v>128</v>
      </c>
      <c r="C189" s="11">
        <v>752133</v>
      </c>
      <c r="D189" s="12" t="str">
        <f>IF(C189&gt;0,(VLOOKUP(C189,'Blnct AR'!$C$2:$D$2255,2,0))," ")</f>
        <v>Gás</v>
      </c>
      <c r="E189" s="21" t="s">
        <v>1887</v>
      </c>
      <c r="F189" s="13">
        <v>10000</v>
      </c>
      <c r="G189" s="13"/>
      <c r="I189" s="37"/>
    </row>
    <row r="190" spans="1:9" s="14" customFormat="1" ht="15" customHeight="1">
      <c r="A190" s="10">
        <v>43921</v>
      </c>
      <c r="B190" s="10" t="s">
        <v>128</v>
      </c>
      <c r="C190" s="11">
        <v>45111</v>
      </c>
      <c r="D190" s="12" t="str">
        <f>IF(C190&gt;0,(VLOOKUP(C190,'Blnct AR'!$C$2:$D$2255,2,0))," ")</f>
        <v>Caixa Geral</v>
      </c>
      <c r="E190" s="21" t="s">
        <v>1887</v>
      </c>
      <c r="F190" s="13"/>
      <c r="G190" s="13">
        <v>50000</v>
      </c>
      <c r="I190" s="37"/>
    </row>
    <row r="191" spans="1:9" s="14" customFormat="1" ht="15" customHeight="1">
      <c r="A191" s="10">
        <v>43921</v>
      </c>
      <c r="B191" s="10" t="s">
        <v>128</v>
      </c>
      <c r="C191" s="11">
        <v>752264</v>
      </c>
      <c r="D191" s="12" t="str">
        <f>IF(C191&gt;0,(VLOOKUP(C191,'Blnct AR'!$C$2:$D$2255,2,0))," ")</f>
        <v>Equipamento de carga e transporte</v>
      </c>
      <c r="E191" s="21" t="s">
        <v>1887</v>
      </c>
      <c r="F191" s="13">
        <v>50000</v>
      </c>
      <c r="G191" s="13"/>
      <c r="I191" s="37"/>
    </row>
    <row r="192" spans="1:9" s="14" customFormat="1" ht="15" customHeight="1">
      <c r="A192" s="10"/>
      <c r="B192" s="10"/>
      <c r="C192" s="11"/>
      <c r="D192" s="12"/>
      <c r="E192" s="21"/>
      <c r="F192" s="13"/>
      <c r="G192" s="13"/>
      <c r="I192" s="37"/>
    </row>
    <row r="193" spans="1:9" s="14" customFormat="1" ht="15" customHeight="1">
      <c r="A193" s="10">
        <v>43951</v>
      </c>
      <c r="B193" s="10" t="s">
        <v>128</v>
      </c>
      <c r="C193" s="11">
        <v>45111</v>
      </c>
      <c r="D193" s="12" t="str">
        <f>IF(C193&gt;0,(VLOOKUP(C193,'Blnct AR'!$C$2:$D$2255,2,0))," ")</f>
        <v>Caixa Geral</v>
      </c>
      <c r="E193" s="21" t="s">
        <v>1888</v>
      </c>
      <c r="F193" s="13"/>
      <c r="G193" s="13">
        <v>77744.350000000006</v>
      </c>
      <c r="I193" s="37"/>
    </row>
    <row r="194" spans="1:9" s="14" customFormat="1" ht="15" customHeight="1">
      <c r="A194" s="10">
        <v>43951</v>
      </c>
      <c r="B194" s="10" t="s">
        <v>128</v>
      </c>
      <c r="C194" s="11">
        <v>728220</v>
      </c>
      <c r="D194" s="12" t="str">
        <f>IF(C194&gt;0,(VLOOKUP(C194,'Blnct AR'!$C$2:$D$2255,2,0))," ")</f>
        <v>Saúde</v>
      </c>
      <c r="E194" s="21" t="s">
        <v>1888</v>
      </c>
      <c r="F194" s="13">
        <v>77744.350000000006</v>
      </c>
      <c r="G194" s="13"/>
      <c r="I194" s="37"/>
    </row>
    <row r="195" spans="1:9" s="14" customFormat="1" ht="15" customHeight="1">
      <c r="A195" s="10">
        <v>43951</v>
      </c>
      <c r="B195" s="10" t="s">
        <v>128</v>
      </c>
      <c r="C195" s="11">
        <v>45111</v>
      </c>
      <c r="D195" s="12" t="str">
        <f>IF(C195&gt;0,(VLOOKUP(C195,'Blnct AR'!$C$2:$D$2255,2,0))," ")</f>
        <v>Caixa Geral</v>
      </c>
      <c r="E195" s="21" t="s">
        <v>1888</v>
      </c>
      <c r="F195" s="13"/>
      <c r="G195" s="13">
        <v>18000</v>
      </c>
      <c r="I195" s="37"/>
    </row>
    <row r="196" spans="1:9" s="14" customFormat="1" ht="15" customHeight="1">
      <c r="A196" s="10">
        <v>43951</v>
      </c>
      <c r="B196" s="10" t="s">
        <v>128</v>
      </c>
      <c r="C196" s="11">
        <v>75211</v>
      </c>
      <c r="D196" s="12" t="str">
        <f>IF(C196&gt;0,(VLOOKUP(C196,'Blnct AR'!$C$2:$D$2255,2,0))," ")</f>
        <v>Água</v>
      </c>
      <c r="E196" s="21" t="s">
        <v>1888</v>
      </c>
      <c r="F196" s="13">
        <v>18000</v>
      </c>
      <c r="G196" s="13"/>
      <c r="I196" s="37"/>
    </row>
    <row r="197" spans="1:9" s="14" customFormat="1" ht="15" customHeight="1">
      <c r="A197" s="10">
        <v>43951</v>
      </c>
      <c r="B197" s="10" t="s">
        <v>128</v>
      </c>
      <c r="C197" s="11">
        <v>45111</v>
      </c>
      <c r="D197" s="12" t="str">
        <f>IF(C197&gt;0,(VLOOKUP(C197,'Blnct AR'!$C$2:$D$2255,2,0))," ")</f>
        <v>Caixa Geral</v>
      </c>
      <c r="E197" s="21" t="s">
        <v>1888</v>
      </c>
      <c r="F197" s="13"/>
      <c r="G197" s="13">
        <v>13444</v>
      </c>
      <c r="I197" s="37"/>
    </row>
    <row r="198" spans="1:9" s="14" customFormat="1" ht="15" customHeight="1">
      <c r="A198" s="10">
        <v>43951</v>
      </c>
      <c r="B198" s="10" t="s">
        <v>128</v>
      </c>
      <c r="C198" s="11">
        <v>752204</v>
      </c>
      <c r="D198" s="12" t="str">
        <f>IF(C198&gt;0,(VLOOKUP(C198,'Blnct AR'!$C$2:$D$2255,2,0))," ")</f>
        <v>Multichoice/Tv cabo/Zap</v>
      </c>
      <c r="E198" s="21" t="s">
        <v>1888</v>
      </c>
      <c r="F198" s="13">
        <v>13444</v>
      </c>
      <c r="G198" s="13"/>
      <c r="I198" s="37"/>
    </row>
    <row r="199" spans="1:9" s="14" customFormat="1" ht="15" customHeight="1">
      <c r="A199" s="10">
        <v>43951</v>
      </c>
      <c r="B199" s="10" t="s">
        <v>128</v>
      </c>
      <c r="C199" s="11">
        <v>45111</v>
      </c>
      <c r="D199" s="12" t="str">
        <f>IF(C199&gt;0,(VLOOKUP(C199,'Blnct AR'!$C$2:$D$2255,2,0))," ")</f>
        <v>Caixa Geral</v>
      </c>
      <c r="E199" s="21" t="s">
        <v>1888</v>
      </c>
      <c r="F199" s="13"/>
      <c r="G199" s="13">
        <v>5000</v>
      </c>
      <c r="I199" s="37"/>
    </row>
    <row r="200" spans="1:9" s="14" customFormat="1" ht="15" customHeight="1">
      <c r="A200" s="10">
        <v>43951</v>
      </c>
      <c r="B200" s="10" t="s">
        <v>128</v>
      </c>
      <c r="C200" s="11">
        <v>752202</v>
      </c>
      <c r="D200" s="12" t="str">
        <f>IF(C200&gt;0,(VLOOKUP(C200,'Blnct AR'!$C$2:$D$2255,2,0))," ")</f>
        <v>Telefone Móvel / Internet</v>
      </c>
      <c r="E200" s="21" t="s">
        <v>1888</v>
      </c>
      <c r="F200" s="13">
        <v>5000</v>
      </c>
      <c r="G200" s="13"/>
      <c r="I200" s="37"/>
    </row>
    <row r="201" spans="1:9" s="14" customFormat="1" ht="15" customHeight="1">
      <c r="A201" s="10">
        <v>43951</v>
      </c>
      <c r="B201" s="10" t="s">
        <v>128</v>
      </c>
      <c r="C201" s="11">
        <v>45111</v>
      </c>
      <c r="D201" s="12" t="str">
        <f>IF(C201&gt;0,(VLOOKUP(C201,'Blnct AR'!$C$2:$D$2255,2,0))," ")</f>
        <v>Caixa Geral</v>
      </c>
      <c r="E201" s="21" t="s">
        <v>1888</v>
      </c>
      <c r="F201" s="13"/>
      <c r="G201" s="13">
        <v>602439</v>
      </c>
      <c r="I201" s="37"/>
    </row>
    <row r="202" spans="1:9" s="14" customFormat="1" ht="15" customHeight="1">
      <c r="A202" s="10">
        <v>43951</v>
      </c>
      <c r="B202" s="10" t="s">
        <v>128</v>
      </c>
      <c r="C202" s="11">
        <v>752231</v>
      </c>
      <c r="D202" s="12" t="str">
        <f>IF(C202&gt;0,(VLOOKUP(C202,'Blnct AR'!$C$2:$D$2255,2,0))," ")</f>
        <v>Refeições e estadas</v>
      </c>
      <c r="E202" s="21" t="s">
        <v>1888</v>
      </c>
      <c r="F202" s="13">
        <v>602439</v>
      </c>
      <c r="G202" s="13"/>
      <c r="I202" s="37"/>
    </row>
    <row r="203" spans="1:9" s="14" customFormat="1" ht="15" customHeight="1">
      <c r="A203" s="10">
        <v>43951</v>
      </c>
      <c r="B203" s="10" t="s">
        <v>128</v>
      </c>
      <c r="C203" s="11">
        <v>45111</v>
      </c>
      <c r="D203" s="12" t="str">
        <f>IF(C203&gt;0,(VLOOKUP(C203,'Blnct AR'!$C$2:$D$2255,2,0))," ")</f>
        <v>Caixa Geral</v>
      </c>
      <c r="E203" s="21" t="s">
        <v>1888</v>
      </c>
      <c r="F203" s="13"/>
      <c r="G203" s="13">
        <v>6570</v>
      </c>
      <c r="I203" s="37"/>
    </row>
    <row r="204" spans="1:9" s="14" customFormat="1" ht="15" customHeight="1">
      <c r="A204" s="10">
        <v>43951</v>
      </c>
      <c r="B204" s="10" t="s">
        <v>128</v>
      </c>
      <c r="C204" s="11">
        <v>75228</v>
      </c>
      <c r="D204" s="12" t="str">
        <f>IF(C204&gt;0,(VLOOKUP(C204,'Blnct AR'!$C$2:$D$2255,2,0))," ")</f>
        <v>Limpeza, higiene e conforto</v>
      </c>
      <c r="E204" s="21" t="s">
        <v>1888</v>
      </c>
      <c r="F204" s="13">
        <v>6570</v>
      </c>
      <c r="G204" s="13"/>
      <c r="I204" s="37"/>
    </row>
    <row r="205" spans="1:9" s="14" customFormat="1" ht="15" customHeight="1">
      <c r="A205" s="10">
        <v>43951</v>
      </c>
      <c r="B205" s="10" t="s">
        <v>128</v>
      </c>
      <c r="C205" s="11">
        <v>45111</v>
      </c>
      <c r="D205" s="12" t="str">
        <f>IF(C205&gt;0,(VLOOKUP(C205,'Blnct AR'!$C$2:$D$2255,2,0))," ")</f>
        <v>Caixa Geral</v>
      </c>
      <c r="E205" s="21" t="s">
        <v>1888</v>
      </c>
      <c r="F205" s="13"/>
      <c r="G205" s="13">
        <v>32400</v>
      </c>
      <c r="I205" s="37"/>
    </row>
    <row r="206" spans="1:9" s="14" customFormat="1" ht="15" customHeight="1">
      <c r="A206" s="10">
        <v>43951</v>
      </c>
      <c r="B206" s="10" t="s">
        <v>128</v>
      </c>
      <c r="C206" s="11">
        <v>75230</v>
      </c>
      <c r="D206" s="12" t="str">
        <f>IF(C206&gt;0,(VLOOKUP(C206,'Blnct AR'!$C$2:$D$2255,2,0))," ")</f>
        <v>Contencioso e notariado</v>
      </c>
      <c r="E206" s="21" t="s">
        <v>1888</v>
      </c>
      <c r="F206" s="13">
        <v>32400</v>
      </c>
      <c r="G206" s="13"/>
      <c r="I206" s="37"/>
    </row>
    <row r="207" spans="1:9" s="14" customFormat="1" ht="15" customHeight="1">
      <c r="A207" s="10">
        <v>43951</v>
      </c>
      <c r="B207" s="10" t="s">
        <v>128</v>
      </c>
      <c r="C207" s="11">
        <v>45111</v>
      </c>
      <c r="D207" s="12" t="str">
        <f>IF(C207&gt;0,(VLOOKUP(C207,'Blnct AR'!$C$2:$D$2255,2,0))," ")</f>
        <v>Caixa Geral</v>
      </c>
      <c r="E207" s="21" t="s">
        <v>1888</v>
      </c>
      <c r="F207" s="13"/>
      <c r="G207" s="13">
        <v>33384</v>
      </c>
      <c r="I207" s="37"/>
    </row>
    <row r="208" spans="1:9" s="14" customFormat="1" ht="15" customHeight="1">
      <c r="A208" s="10">
        <v>43951</v>
      </c>
      <c r="B208" s="10" t="s">
        <v>128</v>
      </c>
      <c r="C208" s="11">
        <v>752131</v>
      </c>
      <c r="D208" s="12" t="str">
        <f>IF(C208&gt;0,(VLOOKUP(C208,'Blnct AR'!$C$2:$D$2255,2,0))," ")</f>
        <v>Gasoleo</v>
      </c>
      <c r="E208" s="21" t="s">
        <v>1888</v>
      </c>
      <c r="F208" s="13">
        <v>33384</v>
      </c>
      <c r="G208" s="13"/>
      <c r="I208" s="37"/>
    </row>
    <row r="209" spans="1:9" s="14" customFormat="1" ht="15" customHeight="1">
      <c r="A209" s="10">
        <v>43951</v>
      </c>
      <c r="B209" s="10" t="s">
        <v>128</v>
      </c>
      <c r="C209" s="11">
        <v>45111</v>
      </c>
      <c r="D209" s="12" t="str">
        <f>IF(C209&gt;0,(VLOOKUP(C209,'Blnct AR'!$C$2:$D$2255,2,0))," ")</f>
        <v>Caixa Geral</v>
      </c>
      <c r="E209" s="21" t="s">
        <v>1888</v>
      </c>
      <c r="F209" s="13"/>
      <c r="G209" s="13">
        <v>10000</v>
      </c>
      <c r="I209" s="37"/>
    </row>
    <row r="210" spans="1:9" s="14" customFormat="1" ht="15" customHeight="1">
      <c r="A210" s="10">
        <v>43951</v>
      </c>
      <c r="B210" s="10" t="s">
        <v>128</v>
      </c>
      <c r="C210" s="11">
        <v>75230</v>
      </c>
      <c r="D210" s="12" t="str">
        <f>IF(C210&gt;0,(VLOOKUP(C210,'Blnct AR'!$C$2:$D$2255,2,0))," ")</f>
        <v>Contencioso e notariado</v>
      </c>
      <c r="E210" s="21" t="s">
        <v>1888</v>
      </c>
      <c r="F210" s="13">
        <v>10000</v>
      </c>
      <c r="G210" s="13"/>
      <c r="I210" s="37"/>
    </row>
    <row r="211" spans="1:9" s="14" customFormat="1" ht="15" customHeight="1">
      <c r="A211" s="10">
        <v>43951</v>
      </c>
      <c r="B211" s="10" t="s">
        <v>128</v>
      </c>
      <c r="C211" s="11">
        <v>45111</v>
      </c>
      <c r="D211" s="12" t="str">
        <f>IF(C211&gt;0,(VLOOKUP(C211,'Blnct AR'!$C$2:$D$2255,2,0))," ")</f>
        <v>Caixa Geral</v>
      </c>
      <c r="E211" s="21" t="s">
        <v>1888</v>
      </c>
      <c r="F211" s="13"/>
      <c r="G211" s="13">
        <v>169890</v>
      </c>
      <c r="I211" s="37"/>
    </row>
    <row r="212" spans="1:9" s="14" customFormat="1" ht="15" customHeight="1">
      <c r="A212" s="10">
        <v>43951</v>
      </c>
      <c r="B212" s="10" t="s">
        <v>128</v>
      </c>
      <c r="C212" s="11">
        <v>752144</v>
      </c>
      <c r="D212" s="12" t="str">
        <f>IF(C212&gt;0,(VLOOKUP(C212,'Blnct AR'!$C$2:$D$2255,2,0))," ")</f>
        <v>Equipamento de carga e transporte</v>
      </c>
      <c r="E212" s="21" t="s">
        <v>1888</v>
      </c>
      <c r="F212" s="13">
        <v>169890</v>
      </c>
      <c r="G212" s="13"/>
      <c r="I212" s="37"/>
    </row>
    <row r="213" spans="1:9" s="14" customFormat="1" ht="15" customHeight="1">
      <c r="A213" s="10"/>
      <c r="B213" s="10"/>
      <c r="C213" s="11"/>
      <c r="D213" s="12"/>
      <c r="E213" s="21"/>
      <c r="F213" s="13"/>
      <c r="G213" s="13"/>
      <c r="I213" s="37"/>
    </row>
    <row r="214" spans="1:9" s="14" customFormat="1" ht="15" customHeight="1">
      <c r="A214" s="10">
        <v>43982</v>
      </c>
      <c r="B214" s="10" t="s">
        <v>128</v>
      </c>
      <c r="C214" s="11">
        <v>45111</v>
      </c>
      <c r="D214" s="12" t="s">
        <v>1100</v>
      </c>
      <c r="E214" s="21" t="s">
        <v>1889</v>
      </c>
      <c r="F214" s="13"/>
      <c r="G214" s="13">
        <v>14350</v>
      </c>
      <c r="I214" s="37"/>
    </row>
    <row r="215" spans="1:9" s="14" customFormat="1" ht="15" customHeight="1">
      <c r="A215" s="10">
        <v>43982</v>
      </c>
      <c r="B215" s="10" t="s">
        <v>128</v>
      </c>
      <c r="C215" s="11">
        <v>752204</v>
      </c>
      <c r="D215" s="12" t="str">
        <f>IF(C215&gt;0,(VLOOKUP(C215,'Blnct AR'!$C$2:$D$2255,2,0))," ")</f>
        <v>Multichoice/Tv cabo/Zap</v>
      </c>
      <c r="E215" s="21" t="s">
        <v>1889</v>
      </c>
      <c r="F215" s="13">
        <v>14350</v>
      </c>
      <c r="G215" s="13"/>
      <c r="I215" s="37"/>
    </row>
    <row r="216" spans="1:9" s="14" customFormat="1" ht="15" customHeight="1">
      <c r="A216" s="10">
        <v>43982</v>
      </c>
      <c r="B216" s="10" t="s">
        <v>128</v>
      </c>
      <c r="C216" s="11">
        <v>45111</v>
      </c>
      <c r="D216" s="12" t="str">
        <f>IF(C216&gt;0,(VLOOKUP(C216,'Blnct AR'!$C$2:$D$2255,2,0))," ")</f>
        <v>Caixa Geral</v>
      </c>
      <c r="E216" s="21" t="s">
        <v>1889</v>
      </c>
      <c r="F216" s="13"/>
      <c r="G216" s="13">
        <v>9100</v>
      </c>
      <c r="I216" s="37"/>
    </row>
    <row r="217" spans="1:9" s="14" customFormat="1" ht="15" customHeight="1">
      <c r="A217" s="10">
        <v>43982</v>
      </c>
      <c r="B217" s="10" t="s">
        <v>128</v>
      </c>
      <c r="C217" s="11">
        <v>75224</v>
      </c>
      <c r="D217" s="12" t="str">
        <f>IF(C217&gt;0,(VLOOKUP(C217,'Blnct AR'!$C$2:$D$2255,2,0))," ")</f>
        <v>Despesas de representação</v>
      </c>
      <c r="E217" s="21" t="s">
        <v>1889</v>
      </c>
      <c r="F217" s="13">
        <v>9100</v>
      </c>
      <c r="G217" s="13"/>
      <c r="I217" s="37"/>
    </row>
    <row r="218" spans="1:9" s="14" customFormat="1" ht="15" customHeight="1">
      <c r="A218" s="10"/>
      <c r="B218" s="10"/>
      <c r="C218" s="11"/>
      <c r="D218" s="12"/>
      <c r="E218" s="21"/>
      <c r="F218" s="13"/>
      <c r="G218" s="13"/>
      <c r="I218" s="37"/>
    </row>
    <row r="219" spans="1:9" s="14" customFormat="1" ht="15" customHeight="1">
      <c r="A219" s="10">
        <v>44012</v>
      </c>
      <c r="B219" s="10" t="s">
        <v>128</v>
      </c>
      <c r="C219" s="11">
        <v>45111</v>
      </c>
      <c r="D219" s="12" t="s">
        <v>1100</v>
      </c>
      <c r="E219" s="21" t="s">
        <v>1890</v>
      </c>
      <c r="F219" s="13"/>
      <c r="G219" s="13">
        <v>13950</v>
      </c>
      <c r="I219" s="37"/>
    </row>
    <row r="220" spans="1:9" s="14" customFormat="1" ht="15" customHeight="1">
      <c r="A220" s="10">
        <v>44012</v>
      </c>
      <c r="B220" s="10" t="s">
        <v>128</v>
      </c>
      <c r="C220" s="11">
        <v>75224</v>
      </c>
      <c r="D220" s="12" t="str">
        <f>IF(C220&gt;0,(VLOOKUP(C220,'Blnct AR'!$C$2:$D$2255,2,0))," ")</f>
        <v>Despesas de representação</v>
      </c>
      <c r="E220" s="21" t="s">
        <v>1890</v>
      </c>
      <c r="F220" s="13">
        <v>13950</v>
      </c>
      <c r="G220" s="13"/>
      <c r="I220" s="37"/>
    </row>
    <row r="221" spans="1:9" s="14" customFormat="1" ht="15" customHeight="1">
      <c r="A221" s="10">
        <v>44012</v>
      </c>
      <c r="B221" s="10" t="s">
        <v>128</v>
      </c>
      <c r="C221" s="11">
        <v>45111</v>
      </c>
      <c r="D221" s="12" t="s">
        <v>1100</v>
      </c>
      <c r="E221" s="21" t="s">
        <v>1890</v>
      </c>
      <c r="F221" s="13"/>
      <c r="G221" s="13">
        <v>822200</v>
      </c>
      <c r="I221" s="37"/>
    </row>
    <row r="222" spans="1:9" s="14" customFormat="1" ht="15" customHeight="1">
      <c r="A222" s="10">
        <v>44012</v>
      </c>
      <c r="B222" s="10" t="s">
        <v>128</v>
      </c>
      <c r="C222" s="11">
        <v>728220</v>
      </c>
      <c r="D222" s="12" t="str">
        <f>IF(C222&gt;0,(VLOOKUP(C222,'Blnct AR'!$C$2:$D$2255,2,0))," ")</f>
        <v>Saúde</v>
      </c>
      <c r="E222" s="21" t="s">
        <v>1890</v>
      </c>
      <c r="F222" s="13">
        <v>822200</v>
      </c>
      <c r="G222" s="13"/>
      <c r="I222" s="37"/>
    </row>
    <row r="223" spans="1:9" s="14" customFormat="1" ht="15" customHeight="1">
      <c r="A223" s="10"/>
      <c r="B223" s="10"/>
      <c r="C223" s="11"/>
      <c r="D223" s="12"/>
      <c r="E223" s="21"/>
      <c r="F223" s="13"/>
      <c r="G223" s="13"/>
      <c r="I223" s="37"/>
    </row>
    <row r="224" spans="1:9" s="14" customFormat="1" ht="15" customHeight="1">
      <c r="A224" s="10">
        <v>44043</v>
      </c>
      <c r="B224" s="10" t="s">
        <v>128</v>
      </c>
      <c r="C224" s="11">
        <v>45111</v>
      </c>
      <c r="D224" s="12" t="str">
        <f>IF(C224&gt;0,(VLOOKUP(C224,'Blnct AR'!$C$2:$D$2255,2,0))," ")</f>
        <v>Caixa Geral</v>
      </c>
      <c r="E224" s="21" t="s">
        <v>1891</v>
      </c>
      <c r="F224" s="13"/>
      <c r="G224" s="13">
        <v>5000</v>
      </c>
      <c r="I224" s="37"/>
    </row>
    <row r="225" spans="1:9" s="14" customFormat="1" ht="15" customHeight="1">
      <c r="A225" s="10">
        <v>44043</v>
      </c>
      <c r="B225" s="10" t="s">
        <v>128</v>
      </c>
      <c r="C225" s="11">
        <v>752131</v>
      </c>
      <c r="D225" s="12" t="str">
        <f>IF(C225&gt;0,(VLOOKUP(C225,'Blnct AR'!$C$2:$D$2255,2,0))," ")</f>
        <v>Gasoleo</v>
      </c>
      <c r="E225" s="21" t="s">
        <v>1891</v>
      </c>
      <c r="F225" s="13">
        <v>5000</v>
      </c>
      <c r="G225" s="13"/>
      <c r="I225" s="37"/>
    </row>
    <row r="226" spans="1:9" s="14" customFormat="1" ht="15" customHeight="1">
      <c r="A226" s="10">
        <v>44043</v>
      </c>
      <c r="B226" s="10" t="s">
        <v>128</v>
      </c>
      <c r="C226" s="11">
        <v>45111</v>
      </c>
      <c r="D226" s="12" t="s">
        <v>1100</v>
      </c>
      <c r="E226" s="21" t="s">
        <v>1891</v>
      </c>
      <c r="F226" s="13"/>
      <c r="G226" s="13">
        <v>20000</v>
      </c>
      <c r="I226" s="37"/>
    </row>
    <row r="227" spans="1:9" s="14" customFormat="1" ht="15" customHeight="1">
      <c r="A227" s="10">
        <v>44043</v>
      </c>
      <c r="B227" s="10" t="s">
        <v>128</v>
      </c>
      <c r="C227" s="11">
        <v>75224</v>
      </c>
      <c r="D227" s="12" t="s">
        <v>1374</v>
      </c>
      <c r="E227" s="21" t="s">
        <v>1891</v>
      </c>
      <c r="F227" s="13">
        <v>20000</v>
      </c>
      <c r="G227" s="13"/>
      <c r="I227" s="37"/>
    </row>
    <row r="228" spans="1:9" s="14" customFormat="1" ht="15" customHeight="1">
      <c r="A228" s="10">
        <v>44043</v>
      </c>
      <c r="B228" s="10" t="s">
        <v>128</v>
      </c>
      <c r="C228" s="11">
        <v>45111</v>
      </c>
      <c r="D228" s="12" t="s">
        <v>1100</v>
      </c>
      <c r="E228" s="21" t="s">
        <v>1891</v>
      </c>
      <c r="F228" s="13"/>
      <c r="G228" s="13">
        <v>67190</v>
      </c>
      <c r="I228" s="37"/>
    </row>
    <row r="229" spans="1:9" s="14" customFormat="1" ht="15" customHeight="1">
      <c r="A229" s="10">
        <v>44043</v>
      </c>
      <c r="B229" s="10" t="s">
        <v>128</v>
      </c>
      <c r="C229" s="11">
        <v>75230</v>
      </c>
      <c r="D229" s="12" t="str">
        <f>IF(C229&gt;0,(VLOOKUP(C229,'Blnct AR'!$C$2:$D$2255,2,0))," ")</f>
        <v>Contencioso e notariado</v>
      </c>
      <c r="E229" s="21" t="s">
        <v>1891</v>
      </c>
      <c r="F229" s="13">
        <v>67190</v>
      </c>
      <c r="G229" s="13"/>
      <c r="I229" s="37"/>
    </row>
    <row r="230" spans="1:9" s="14" customFormat="1" ht="15" customHeight="1">
      <c r="A230" s="10">
        <v>44043</v>
      </c>
      <c r="B230" s="10" t="s">
        <v>128</v>
      </c>
      <c r="C230" s="11">
        <v>45111</v>
      </c>
      <c r="D230" s="12" t="str">
        <f>IF(C230&gt;0,(VLOOKUP(C230,'Blnct AR'!$C$2:$D$2255,2,0))," ")</f>
        <v>Caixa Geral</v>
      </c>
      <c r="E230" s="21" t="s">
        <v>1891</v>
      </c>
      <c r="F230" s="13"/>
      <c r="G230" s="13">
        <v>20000</v>
      </c>
      <c r="I230" s="37"/>
    </row>
    <row r="231" spans="1:9" s="14" customFormat="1" ht="15" customHeight="1">
      <c r="A231" s="10">
        <v>44043</v>
      </c>
      <c r="B231" s="10" t="s">
        <v>128</v>
      </c>
      <c r="C231" s="11">
        <v>72211</v>
      </c>
      <c r="D231" s="12" t="str">
        <f>IF(C231&gt;0,(VLOOKUP(C231,'Blnct AR'!$C$2:$D$2255,2,0))," ")</f>
        <v>Ordenados</v>
      </c>
      <c r="E231" s="21" t="s">
        <v>1891</v>
      </c>
      <c r="F231" s="13">
        <v>20000</v>
      </c>
      <c r="G231" s="13"/>
      <c r="I231" s="37"/>
    </row>
    <row r="232" spans="1:9" s="14" customFormat="1" ht="15" customHeight="1">
      <c r="A232" s="10">
        <v>44044</v>
      </c>
      <c r="B232" s="10" t="s">
        <v>128</v>
      </c>
      <c r="C232" s="11">
        <v>45111</v>
      </c>
      <c r="D232" s="12" t="str">
        <f>IF(C232&gt;0,(VLOOKUP(C232,'Blnct AR'!$C$2:$D$2255,2,0))," ")</f>
        <v>Caixa Geral</v>
      </c>
      <c r="E232" s="21" t="s">
        <v>1891</v>
      </c>
      <c r="F232" s="13"/>
      <c r="G232" s="13">
        <v>210000</v>
      </c>
      <c r="I232" s="37"/>
    </row>
    <row r="233" spans="1:9" s="14" customFormat="1" ht="15" customHeight="1">
      <c r="A233" s="10">
        <v>44045</v>
      </c>
      <c r="B233" s="10" t="s">
        <v>128</v>
      </c>
      <c r="C233" s="11">
        <v>752144</v>
      </c>
      <c r="D233" s="12" t="str">
        <f>IF(C233&gt;0,(VLOOKUP(C233,'Blnct AR'!$C$2:$D$2255,2,0))," ")</f>
        <v>Equipamento de carga e transporte</v>
      </c>
      <c r="E233" s="21" t="s">
        <v>1891</v>
      </c>
      <c r="F233" s="13">
        <v>210000</v>
      </c>
      <c r="G233" s="13"/>
      <c r="I233" s="37"/>
    </row>
    <row r="234" spans="1:9" s="14" customFormat="1" ht="15" customHeight="1">
      <c r="A234" s="10"/>
      <c r="B234" s="10"/>
      <c r="C234" s="11"/>
      <c r="D234" s="12"/>
      <c r="E234" s="21"/>
      <c r="F234" s="13"/>
      <c r="G234" s="13"/>
      <c r="I234" s="37"/>
    </row>
    <row r="235" spans="1:9" s="14" customFormat="1" ht="15" customHeight="1">
      <c r="A235" s="10">
        <v>44074</v>
      </c>
      <c r="B235" s="10" t="s">
        <v>128</v>
      </c>
      <c r="C235" s="11">
        <v>45111</v>
      </c>
      <c r="D235" s="12" t="str">
        <f>IF(C235&gt;0,(VLOOKUP(C235,'Blnct AR'!$C$2:$D$2255,2,0))," ")</f>
        <v>Caixa Geral</v>
      </c>
      <c r="E235" s="21" t="s">
        <v>1892</v>
      </c>
      <c r="F235" s="13"/>
      <c r="G235" s="13">
        <v>100000</v>
      </c>
      <c r="I235" s="37"/>
    </row>
    <row r="236" spans="1:9" s="14" customFormat="1" ht="15" customHeight="1">
      <c r="A236" s="10">
        <v>44074</v>
      </c>
      <c r="B236" s="10" t="s">
        <v>128</v>
      </c>
      <c r="C236" s="11">
        <v>7111</v>
      </c>
      <c r="D236" s="12" t="str">
        <f>IF(C236&gt;0,(VLOOKUP(C236,'Blnct AR'!$C$2:$D$2255,2,0))," ")</f>
        <v>Mp - cevc</v>
      </c>
      <c r="E236" s="21" t="s">
        <v>1892</v>
      </c>
      <c r="F236" s="13">
        <v>100000</v>
      </c>
      <c r="G236" s="13"/>
      <c r="I236" s="37"/>
    </row>
    <row r="237" spans="1:9" s="14" customFormat="1" ht="15" customHeight="1">
      <c r="A237" s="10">
        <v>44074</v>
      </c>
      <c r="B237" s="10" t="s">
        <v>128</v>
      </c>
      <c r="C237" s="11">
        <v>45111</v>
      </c>
      <c r="D237" s="12" t="str">
        <f>IF(C237&gt;0,(VLOOKUP(C237,'Blnct AR'!$C$2:$D$2255,2,0))," ")</f>
        <v>Caixa Geral</v>
      </c>
      <c r="E237" s="21" t="s">
        <v>1892</v>
      </c>
      <c r="F237" s="13"/>
      <c r="G237" s="13">
        <v>280000</v>
      </c>
      <c r="I237" s="37"/>
    </row>
    <row r="238" spans="1:9" s="14" customFormat="1" ht="15" customHeight="1">
      <c r="A238" s="10">
        <v>44074</v>
      </c>
      <c r="B238" s="10" t="s">
        <v>128</v>
      </c>
      <c r="C238" s="11">
        <v>752144</v>
      </c>
      <c r="D238" s="12" t="str">
        <f>IF(C238&gt;0,(VLOOKUP(C238,'Blnct AR'!$C$2:$D$2255,2,0))," ")</f>
        <v>Equipamento de carga e transporte</v>
      </c>
      <c r="E238" s="21" t="s">
        <v>1892</v>
      </c>
      <c r="F238" s="13">
        <v>280000</v>
      </c>
      <c r="G238" s="13"/>
      <c r="I238" s="37"/>
    </row>
    <row r="239" spans="1:9" s="14" customFormat="1" ht="15" customHeight="1">
      <c r="A239" s="10">
        <v>44074</v>
      </c>
      <c r="B239" s="10" t="s">
        <v>128</v>
      </c>
      <c r="C239" s="11">
        <v>45111</v>
      </c>
      <c r="D239" s="12" t="str">
        <f>IF(C239&gt;0,(VLOOKUP(C239,'Blnct AR'!$C$2:$D$2255,2,0))," ")</f>
        <v>Caixa Geral</v>
      </c>
      <c r="E239" s="21" t="s">
        <v>1892</v>
      </c>
      <c r="F239" s="13"/>
      <c r="G239" s="13">
        <v>15000</v>
      </c>
      <c r="I239" s="37"/>
    </row>
    <row r="240" spans="1:9" s="14" customFormat="1" ht="15" customHeight="1">
      <c r="A240" s="10">
        <v>44074</v>
      </c>
      <c r="B240" s="10" t="s">
        <v>128</v>
      </c>
      <c r="C240" s="11">
        <v>72211</v>
      </c>
      <c r="D240" s="12" t="str">
        <f>IF(C240&gt;0,(VLOOKUP(C240,'Blnct AR'!$C$2:$D$2255,2,0))," ")</f>
        <v>Ordenados</v>
      </c>
      <c r="E240" s="21" t="s">
        <v>1892</v>
      </c>
      <c r="F240" s="13">
        <v>15000</v>
      </c>
      <c r="G240" s="13"/>
      <c r="I240" s="37"/>
    </row>
    <row r="241" spans="1:9" s="14" customFormat="1" ht="15" customHeight="1">
      <c r="A241" s="10">
        <v>44074</v>
      </c>
      <c r="B241" s="10" t="s">
        <v>128</v>
      </c>
      <c r="C241" s="11">
        <v>45111</v>
      </c>
      <c r="D241" s="12" t="str">
        <f>IF(C241&gt;0,(VLOOKUP(C241,'Blnct AR'!$C$2:$D$2255,2,0))," ")</f>
        <v>Caixa Geral</v>
      </c>
      <c r="E241" s="21" t="s">
        <v>1892</v>
      </c>
      <c r="F241" s="13"/>
      <c r="G241" s="13">
        <v>39900</v>
      </c>
      <c r="I241" s="37"/>
    </row>
    <row r="242" spans="1:9" s="14" customFormat="1" ht="15" customHeight="1">
      <c r="A242" s="10">
        <v>44074</v>
      </c>
      <c r="B242" s="10" t="s">
        <v>128</v>
      </c>
      <c r="C242" s="11">
        <v>728220</v>
      </c>
      <c r="D242" s="12" t="str">
        <f>IF(C242&gt;0,(VLOOKUP(C242,'Blnct AR'!$C$2:$D$2255,2,0))," ")</f>
        <v>Saúde</v>
      </c>
      <c r="E242" s="21" t="s">
        <v>1892</v>
      </c>
      <c r="F242" s="13">
        <v>39900</v>
      </c>
      <c r="G242" s="13"/>
      <c r="I242" s="37"/>
    </row>
    <row r="243" spans="1:9" s="14" customFormat="1" ht="15" customHeight="1">
      <c r="A243" s="10"/>
      <c r="B243" s="10"/>
      <c r="C243" s="11"/>
      <c r="D243" s="12" t="str">
        <f>IF(C243&gt;0,(VLOOKUP(C243,'Blnct AR'!$C$2:$D$2255,2,0))," ")</f>
        <v xml:space="preserve"> </v>
      </c>
      <c r="E243" s="21"/>
      <c r="F243" s="13"/>
      <c r="G243" s="13"/>
      <c r="I243" s="37"/>
    </row>
    <row r="244" spans="1:9" s="14" customFormat="1" ht="15" customHeight="1">
      <c r="A244" s="10">
        <v>44104</v>
      </c>
      <c r="B244" s="10" t="s">
        <v>128</v>
      </c>
      <c r="C244" s="11">
        <v>45111</v>
      </c>
      <c r="D244" s="12" t="str">
        <f>IF(C244&gt;0,(VLOOKUP(C244,'Blnct AR'!$C$2:$D$2255,2,0))," ")</f>
        <v>Caixa Geral</v>
      </c>
      <c r="E244" s="21" t="s">
        <v>2092</v>
      </c>
      <c r="F244" s="13"/>
      <c r="G244" s="13">
        <v>184000</v>
      </c>
      <c r="I244" s="37"/>
    </row>
    <row r="245" spans="1:9" s="14" customFormat="1" ht="15" customHeight="1">
      <c r="A245" s="10">
        <v>44104</v>
      </c>
      <c r="B245" s="10" t="s">
        <v>128</v>
      </c>
      <c r="C245" s="11">
        <v>7111</v>
      </c>
      <c r="D245" s="12" t="str">
        <f>IF(C245&gt;0,(VLOOKUP(C245,'Blnct AR'!$C$2:$D$2255,2,0))," ")</f>
        <v>Mp - cevc</v>
      </c>
      <c r="E245" s="21" t="s">
        <v>2092</v>
      </c>
      <c r="F245" s="13">
        <v>184000</v>
      </c>
      <c r="G245" s="13"/>
      <c r="I245" s="37"/>
    </row>
    <row r="246" spans="1:9" s="14" customFormat="1" ht="15" customHeight="1">
      <c r="A246" s="10">
        <v>44104</v>
      </c>
      <c r="B246" s="10" t="s">
        <v>128</v>
      </c>
      <c r="C246" s="11">
        <v>45111</v>
      </c>
      <c r="D246" s="12" t="str">
        <f>IF(C246&gt;0,(VLOOKUP(C246,'Blnct AR'!$C$2:$D$2255,2,0))," ")</f>
        <v>Caixa Geral</v>
      </c>
      <c r="E246" s="21" t="s">
        <v>2092</v>
      </c>
      <c r="F246" s="13"/>
      <c r="G246" s="13">
        <v>2585</v>
      </c>
      <c r="I246" s="37"/>
    </row>
    <row r="247" spans="1:9" s="14" customFormat="1" ht="15" customHeight="1">
      <c r="A247" s="10">
        <v>44104</v>
      </c>
      <c r="B247" s="10" t="s">
        <v>128</v>
      </c>
      <c r="C247" s="11">
        <v>752231</v>
      </c>
      <c r="D247" s="12" t="str">
        <f>IF(C247&gt;0,(VLOOKUP(C247,'Blnct AR'!$C$2:$D$2255,2,0))," ")</f>
        <v>Refeições e estadas</v>
      </c>
      <c r="E247" s="21" t="s">
        <v>2092</v>
      </c>
      <c r="F247" s="13">
        <v>2585</v>
      </c>
      <c r="G247" s="13"/>
      <c r="I247" s="37"/>
    </row>
    <row r="248" spans="1:9" s="14" customFormat="1" ht="15" customHeight="1">
      <c r="A248" s="10">
        <v>44104</v>
      </c>
      <c r="B248" s="10" t="s">
        <v>128</v>
      </c>
      <c r="C248" s="11">
        <v>45111</v>
      </c>
      <c r="D248" s="12" t="str">
        <f>IF(C248&gt;0,(VLOOKUP(C248,'Blnct AR'!$C$2:$D$2255,2,0))," ")</f>
        <v>Caixa Geral</v>
      </c>
      <c r="E248" s="21" t="s">
        <v>2092</v>
      </c>
      <c r="F248" s="13"/>
      <c r="G248" s="13">
        <v>53850</v>
      </c>
      <c r="I248" s="37"/>
    </row>
    <row r="249" spans="1:9" s="14" customFormat="1" ht="15" customHeight="1">
      <c r="A249" s="10">
        <v>44104</v>
      </c>
      <c r="B249" s="10" t="s">
        <v>128</v>
      </c>
      <c r="C249" s="11">
        <v>728220</v>
      </c>
      <c r="D249" s="12" t="str">
        <f>IF(C249&gt;0,(VLOOKUP(C249,'Blnct AR'!$C$2:$D$2255,2,0))," ")</f>
        <v>Saúde</v>
      </c>
      <c r="E249" s="21" t="s">
        <v>2092</v>
      </c>
      <c r="F249" s="13">
        <v>53850</v>
      </c>
      <c r="G249" s="13"/>
      <c r="I249" s="37"/>
    </row>
    <row r="250" spans="1:9" s="14" customFormat="1" ht="15" customHeight="1">
      <c r="A250" s="10"/>
      <c r="B250" s="10"/>
      <c r="C250" s="11"/>
      <c r="D250" s="12"/>
      <c r="E250" s="21"/>
      <c r="F250" s="13"/>
      <c r="G250" s="13"/>
      <c r="I250" s="37"/>
    </row>
    <row r="251" spans="1:9" s="14" customFormat="1" ht="15" customHeight="1">
      <c r="A251" s="10">
        <v>44135</v>
      </c>
      <c r="B251" s="10" t="s">
        <v>128</v>
      </c>
      <c r="C251" s="11">
        <v>45111</v>
      </c>
      <c r="D251" s="12" t="str">
        <f>IF(C251&gt;0,(VLOOKUP(C251,'Blnct AR'!$C$2:$D$2255,2,0))," ")</f>
        <v>Caixa Geral</v>
      </c>
      <c r="E251" s="21" t="s">
        <v>2093</v>
      </c>
      <c r="F251" s="13"/>
      <c r="G251" s="13">
        <v>449259.79000000004</v>
      </c>
      <c r="I251" s="37"/>
    </row>
    <row r="252" spans="1:9" s="14" customFormat="1" ht="15" customHeight="1">
      <c r="A252" s="10">
        <v>44135</v>
      </c>
      <c r="B252" s="10" t="s">
        <v>128</v>
      </c>
      <c r="C252" s="11">
        <v>7111</v>
      </c>
      <c r="D252" s="12" t="str">
        <f>IF(C252&gt;0,(VLOOKUP(C252,'Blnct AR'!$C$2:$D$2255,2,0))," ")</f>
        <v>Mp - cevc</v>
      </c>
      <c r="E252" s="21" t="s">
        <v>2093</v>
      </c>
      <c r="F252" s="13">
        <v>449259.79000000004</v>
      </c>
      <c r="G252" s="13"/>
      <c r="I252" s="37"/>
    </row>
    <row r="253" spans="1:9" s="14" customFormat="1" ht="15" customHeight="1">
      <c r="A253" s="10">
        <v>44135</v>
      </c>
      <c r="B253" s="10" t="s">
        <v>128</v>
      </c>
      <c r="C253" s="11">
        <v>45111</v>
      </c>
      <c r="D253" s="12" t="str">
        <f>IF(C253&gt;0,(VLOOKUP(C253,'Blnct AR'!$C$2:$D$2255,2,0))," ")</f>
        <v>Caixa Geral</v>
      </c>
      <c r="E253" s="21" t="s">
        <v>2093</v>
      </c>
      <c r="F253" s="13"/>
      <c r="G253" s="13">
        <v>73086.75</v>
      </c>
      <c r="I253" s="37"/>
    </row>
    <row r="254" spans="1:9" s="14" customFormat="1" ht="15" customHeight="1">
      <c r="A254" s="10">
        <v>44135</v>
      </c>
      <c r="B254" s="10" t="s">
        <v>128</v>
      </c>
      <c r="C254" s="11">
        <v>728220</v>
      </c>
      <c r="D254" s="12" t="str">
        <f>IF(C254&gt;0,(VLOOKUP(C254,'Blnct AR'!$C$2:$D$2255,2,0))," ")</f>
        <v>Saúde</v>
      </c>
      <c r="E254" s="21" t="s">
        <v>2093</v>
      </c>
      <c r="F254" s="13">
        <v>73086.75</v>
      </c>
      <c r="G254" s="13"/>
      <c r="I254" s="37"/>
    </row>
    <row r="255" spans="1:9" s="14" customFormat="1" ht="15" customHeight="1">
      <c r="A255" s="10">
        <v>44135</v>
      </c>
      <c r="B255" s="10" t="s">
        <v>128</v>
      </c>
      <c r="C255" s="11">
        <v>45111</v>
      </c>
      <c r="D255" s="12" t="str">
        <f>IF(C255&gt;0,(VLOOKUP(C255,'Blnct AR'!$C$2:$D$2255,2,0))," ")</f>
        <v>Caixa Geral</v>
      </c>
      <c r="E255" s="21" t="s">
        <v>2093</v>
      </c>
      <c r="F255" s="13"/>
      <c r="G255" s="13">
        <v>37000</v>
      </c>
      <c r="I255" s="37"/>
    </row>
    <row r="256" spans="1:9" s="14" customFormat="1" ht="15" customHeight="1">
      <c r="A256" s="10">
        <v>44135</v>
      </c>
      <c r="B256" s="10" t="s">
        <v>128</v>
      </c>
      <c r="C256" s="11">
        <v>72211</v>
      </c>
      <c r="D256" s="12" t="str">
        <f>IF(C256&gt;0,(VLOOKUP(C256,'Blnct AR'!$C$2:$D$2255,2,0))," ")</f>
        <v>Ordenados</v>
      </c>
      <c r="E256" s="21" t="s">
        <v>2093</v>
      </c>
      <c r="F256" s="13">
        <v>37000</v>
      </c>
      <c r="G256" s="13"/>
      <c r="I256" s="37"/>
    </row>
    <row r="257" spans="1:9" s="14" customFormat="1" ht="15" customHeight="1">
      <c r="A257" s="10">
        <v>44135</v>
      </c>
      <c r="B257" s="10" t="s">
        <v>128</v>
      </c>
      <c r="C257" s="11">
        <v>45111</v>
      </c>
      <c r="D257" s="12" t="str">
        <f>IF(C257&gt;0,(VLOOKUP(C257,'Blnct AR'!$C$2:$D$2255,2,0))," ")</f>
        <v>Caixa Geral</v>
      </c>
      <c r="E257" s="21" t="s">
        <v>2093</v>
      </c>
      <c r="F257" s="13"/>
      <c r="G257" s="13">
        <v>102050</v>
      </c>
      <c r="I257" s="37"/>
    </row>
    <row r="258" spans="1:9" s="14" customFormat="1" ht="15" customHeight="1">
      <c r="A258" s="10">
        <v>44135</v>
      </c>
      <c r="B258" s="10" t="s">
        <v>128</v>
      </c>
      <c r="C258" s="11">
        <v>75228</v>
      </c>
      <c r="D258" s="12" t="str">
        <f>IF(C258&gt;0,(VLOOKUP(C258,'Blnct AR'!$C$2:$D$2255,2,0))," ")</f>
        <v>Limpeza, higiene e conforto</v>
      </c>
      <c r="E258" s="21" t="s">
        <v>2093</v>
      </c>
      <c r="F258" s="13">
        <v>102050</v>
      </c>
      <c r="G258" s="13"/>
      <c r="I258" s="37"/>
    </row>
    <row r="259" spans="1:9" s="14" customFormat="1" ht="15" customHeight="1">
      <c r="A259" s="10">
        <v>44135</v>
      </c>
      <c r="B259" s="10" t="s">
        <v>128</v>
      </c>
      <c r="C259" s="11">
        <v>45111</v>
      </c>
      <c r="D259" s="12" t="str">
        <f>IF(C259&gt;0,(VLOOKUP(C259,'Blnct AR'!$C$2:$D$2255,2,0))," ")</f>
        <v>Caixa Geral</v>
      </c>
      <c r="E259" s="21" t="s">
        <v>2093</v>
      </c>
      <c r="F259" s="13"/>
      <c r="G259" s="13">
        <v>55000</v>
      </c>
      <c r="I259" s="37"/>
    </row>
    <row r="260" spans="1:9" s="14" customFormat="1" ht="15" customHeight="1">
      <c r="A260" s="10">
        <v>44135</v>
      </c>
      <c r="B260" s="10" t="s">
        <v>128</v>
      </c>
      <c r="C260" s="11">
        <v>752263</v>
      </c>
      <c r="D260" s="12" t="str">
        <f>IF(C260&gt;0,(VLOOKUP(C260,'Blnct AR'!$C$2:$D$2255,2,0))," ")</f>
        <v>Equipamento básico</v>
      </c>
      <c r="E260" s="21" t="s">
        <v>2093</v>
      </c>
      <c r="F260" s="13">
        <v>55000</v>
      </c>
      <c r="G260" s="13"/>
      <c r="I260" s="37"/>
    </row>
    <row r="261" spans="1:9" s="14" customFormat="1" ht="15" customHeight="1">
      <c r="A261" s="10"/>
      <c r="B261" s="10"/>
      <c r="C261" s="11"/>
      <c r="D261" s="12" t="str">
        <f>IF(C261&gt;0,(VLOOKUP(C261,'Blnct AR'!$C$2:$D$2255,2,0))," ")</f>
        <v xml:space="preserve"> </v>
      </c>
      <c r="E261" s="21"/>
      <c r="F261" s="13"/>
      <c r="G261" s="13"/>
      <c r="I261" s="37"/>
    </row>
    <row r="262" spans="1:9" s="14" customFormat="1" ht="15" customHeight="1">
      <c r="A262" s="10">
        <v>44165</v>
      </c>
      <c r="B262" s="10" t="s">
        <v>128</v>
      </c>
      <c r="C262" s="11">
        <v>45111</v>
      </c>
      <c r="D262" s="12" t="str">
        <f>IF(C262&gt;0,(VLOOKUP(C262,'Blnct AR'!$C$2:$D$2255,2,0))," ")</f>
        <v>Caixa Geral</v>
      </c>
      <c r="E262" s="21" t="s">
        <v>2094</v>
      </c>
      <c r="F262" s="13"/>
      <c r="G262" s="13">
        <v>26001</v>
      </c>
      <c r="I262" s="37"/>
    </row>
    <row r="263" spans="1:9" s="14" customFormat="1" ht="15" customHeight="1">
      <c r="A263" s="10">
        <v>44165</v>
      </c>
      <c r="B263" s="10" t="s">
        <v>128</v>
      </c>
      <c r="C263" s="11">
        <v>7111</v>
      </c>
      <c r="D263" s="12" t="str">
        <f>IF(C263&gt;0,(VLOOKUP(C263,'Blnct AR'!$C$2:$D$2255,2,0))," ")</f>
        <v>Mp - cevc</v>
      </c>
      <c r="E263" s="21" t="s">
        <v>2094</v>
      </c>
      <c r="F263" s="13">
        <v>26001</v>
      </c>
      <c r="G263" s="13"/>
      <c r="I263" s="37"/>
    </row>
    <row r="264" spans="1:9" s="14" customFormat="1" ht="15" customHeight="1">
      <c r="A264" s="10">
        <v>44165</v>
      </c>
      <c r="B264" s="10" t="s">
        <v>128</v>
      </c>
      <c r="C264" s="11">
        <v>45111</v>
      </c>
      <c r="D264" s="12" t="str">
        <f>IF(C264&gt;0,(VLOOKUP(C264,'Blnct AR'!$C$2:$D$2255,2,0))," ")</f>
        <v>Caixa Geral</v>
      </c>
      <c r="E264" s="21" t="s">
        <v>2094</v>
      </c>
      <c r="F264" s="13"/>
      <c r="G264" s="13">
        <f>56135-18360</f>
        <v>37775</v>
      </c>
      <c r="I264" s="37"/>
    </row>
    <row r="265" spans="1:9" s="14" customFormat="1" ht="15" customHeight="1">
      <c r="A265" s="10">
        <v>44165</v>
      </c>
      <c r="B265" s="10" t="s">
        <v>128</v>
      </c>
      <c r="C265" s="11">
        <v>752231</v>
      </c>
      <c r="D265" s="12" t="str">
        <f>IF(C265&gt;0,(VLOOKUP(C265,'Blnct AR'!$C$2:$D$2255,2,0))," ")</f>
        <v>Refeições e estadas</v>
      </c>
      <c r="E265" s="21" t="s">
        <v>2094</v>
      </c>
      <c r="F265" s="13">
        <f>56135-18360</f>
        <v>37775</v>
      </c>
      <c r="G265" s="13"/>
      <c r="I265" s="37"/>
    </row>
    <row r="266" spans="1:9" s="14" customFormat="1" ht="15" customHeight="1">
      <c r="A266" s="10">
        <v>44165</v>
      </c>
      <c r="B266" s="10" t="s">
        <v>128</v>
      </c>
      <c r="C266" s="11">
        <v>45111</v>
      </c>
      <c r="D266" s="12" t="str">
        <f>IF(C266&gt;0,(VLOOKUP(C266,'Blnct AR'!$C$2:$D$2255,2,0))," ")</f>
        <v>Caixa Geral</v>
      </c>
      <c r="E266" s="21" t="s">
        <v>2094</v>
      </c>
      <c r="F266" s="13"/>
      <c r="G266" s="13">
        <v>1450</v>
      </c>
      <c r="I266" s="37"/>
    </row>
    <row r="267" spans="1:9" s="14" customFormat="1" ht="15" customHeight="1">
      <c r="A267" s="10">
        <v>44165</v>
      </c>
      <c r="B267" s="10" t="s">
        <v>128</v>
      </c>
      <c r="C267" s="11">
        <v>728220</v>
      </c>
      <c r="D267" s="12" t="str">
        <f>IF(C267&gt;0,(VLOOKUP(C267,'Blnct AR'!$C$2:$D$2255,2,0))," ")</f>
        <v>Saúde</v>
      </c>
      <c r="E267" s="21" t="s">
        <v>2094</v>
      </c>
      <c r="F267" s="13">
        <v>1450</v>
      </c>
      <c r="G267" s="13"/>
      <c r="I267" s="37"/>
    </row>
    <row r="268" spans="1:9" s="14" customFormat="1" ht="15" customHeight="1">
      <c r="A268" s="10">
        <v>44165</v>
      </c>
      <c r="B268" s="10" t="s">
        <v>128</v>
      </c>
      <c r="C268" s="11">
        <v>45111</v>
      </c>
      <c r="D268" s="12" t="str">
        <f>IF(C268&gt;0,(VLOOKUP(C268,'Blnct AR'!$C$2:$D$2255,2,0))," ")</f>
        <v>Caixa Geral</v>
      </c>
      <c r="E268" s="21" t="s">
        <v>2094</v>
      </c>
      <c r="F268" s="13"/>
      <c r="G268" s="13">
        <v>13715.3</v>
      </c>
      <c r="I268" s="37"/>
    </row>
    <row r="269" spans="1:9" s="14" customFormat="1" ht="15" customHeight="1">
      <c r="A269" s="10">
        <v>44165</v>
      </c>
      <c r="B269" s="10" t="s">
        <v>128</v>
      </c>
      <c r="C269" s="11">
        <v>752131</v>
      </c>
      <c r="D269" s="12" t="str">
        <f>IF(C269&gt;0,(VLOOKUP(C269,'Blnct AR'!$C$2:$D$2255,2,0))," ")</f>
        <v>Gasoleo</v>
      </c>
      <c r="E269" s="21" t="s">
        <v>2094</v>
      </c>
      <c r="F269" s="13">
        <v>13715.3</v>
      </c>
      <c r="G269" s="13"/>
      <c r="I269" s="37"/>
    </row>
    <row r="270" spans="1:9" s="14" customFormat="1" ht="15" customHeight="1">
      <c r="A270" s="10"/>
      <c r="B270" s="10"/>
      <c r="C270" s="11"/>
      <c r="D270" s="12" t="str">
        <f>IF(C270&gt;0,(VLOOKUP(C270,'Blnct AR'!$C$2:$D$2255,2,0))," ")</f>
        <v xml:space="preserve"> </v>
      </c>
      <c r="E270" s="21"/>
      <c r="F270" s="13"/>
      <c r="G270" s="13"/>
      <c r="I270" s="37"/>
    </row>
    <row r="271" spans="1:9" s="14" customFormat="1" ht="15" customHeight="1">
      <c r="A271" s="10">
        <v>44196</v>
      </c>
      <c r="B271" s="10" t="s">
        <v>128</v>
      </c>
      <c r="C271" s="11">
        <v>45111</v>
      </c>
      <c r="D271" s="12" t="str">
        <f>IF(C271&gt;0,(VLOOKUP(C271,'Blnct AR'!$C$2:$D$2255,2,0))," ")</f>
        <v>Caixa Geral</v>
      </c>
      <c r="E271" s="21" t="s">
        <v>2095</v>
      </c>
      <c r="F271" s="13"/>
      <c r="G271" s="13">
        <v>75350</v>
      </c>
      <c r="I271" s="37"/>
    </row>
    <row r="272" spans="1:9" s="14" customFormat="1" ht="15" customHeight="1">
      <c r="A272" s="10">
        <v>44196</v>
      </c>
      <c r="B272" s="10" t="s">
        <v>128</v>
      </c>
      <c r="C272" s="11">
        <v>7111</v>
      </c>
      <c r="D272" s="12" t="str">
        <f>IF(C272&gt;0,(VLOOKUP(C272,'Blnct AR'!$C$2:$D$2255,2,0))," ")</f>
        <v>Mp - cevc</v>
      </c>
      <c r="E272" s="21" t="s">
        <v>2095</v>
      </c>
      <c r="F272" s="13">
        <v>75350</v>
      </c>
      <c r="G272" s="13"/>
      <c r="I272" s="37"/>
    </row>
    <row r="273" spans="1:9" s="14" customFormat="1" ht="15" customHeight="1">
      <c r="A273" s="10">
        <v>44196</v>
      </c>
      <c r="B273" s="10" t="s">
        <v>128</v>
      </c>
      <c r="C273" s="11">
        <v>45111</v>
      </c>
      <c r="D273" s="12" t="str">
        <f>IF(C273&gt;0,(VLOOKUP(C273,'Blnct AR'!$C$2:$D$2255,2,0))," ")</f>
        <v>Caixa Geral</v>
      </c>
      <c r="E273" s="21" t="s">
        <v>2095</v>
      </c>
      <c r="F273" s="13"/>
      <c r="G273" s="13">
        <v>47100</v>
      </c>
      <c r="I273" s="37"/>
    </row>
    <row r="274" spans="1:9" s="14" customFormat="1" ht="15" customHeight="1">
      <c r="A274" s="10">
        <v>44196</v>
      </c>
      <c r="B274" s="10" t="s">
        <v>128</v>
      </c>
      <c r="C274" s="11">
        <v>75224</v>
      </c>
      <c r="D274" s="12" t="str">
        <f>IF(C274&gt;0,(VLOOKUP(C274,'Blnct AR'!$C$2:$D$2255,2,0))," ")</f>
        <v>Despesas de representação</v>
      </c>
      <c r="E274" s="21" t="s">
        <v>2095</v>
      </c>
      <c r="F274" s="13">
        <v>47100</v>
      </c>
      <c r="G274" s="13"/>
      <c r="I274" s="37"/>
    </row>
    <row r="275" spans="1:9" s="14" customFormat="1" ht="15" customHeight="1">
      <c r="A275" s="10">
        <v>44196</v>
      </c>
      <c r="B275" s="10" t="s">
        <v>128</v>
      </c>
      <c r="C275" s="11">
        <v>45111</v>
      </c>
      <c r="D275" s="12" t="str">
        <f>IF(C275&gt;0,(VLOOKUP(C275,'Blnct AR'!$C$2:$D$2255,2,0))," ")</f>
        <v>Caixa Geral</v>
      </c>
      <c r="E275" s="21" t="s">
        <v>2095</v>
      </c>
      <c r="F275" s="13"/>
      <c r="G275" s="13">
        <v>23760</v>
      </c>
      <c r="I275" s="37"/>
    </row>
    <row r="276" spans="1:9" s="14" customFormat="1" ht="15" customHeight="1">
      <c r="A276" s="10">
        <v>44196</v>
      </c>
      <c r="B276" s="10" t="s">
        <v>128</v>
      </c>
      <c r="C276" s="11">
        <v>728220</v>
      </c>
      <c r="D276" s="12" t="str">
        <f>IF(C276&gt;0,(VLOOKUP(C276,'Blnct AR'!$C$2:$D$2255,2,0))," ")</f>
        <v>Saúde</v>
      </c>
      <c r="E276" s="21" t="s">
        <v>2095</v>
      </c>
      <c r="F276" s="13">
        <v>23760</v>
      </c>
      <c r="G276" s="13"/>
      <c r="I276" s="37"/>
    </row>
    <row r="277" spans="1:9" s="14" customFormat="1" ht="15" customHeight="1">
      <c r="A277" s="10">
        <v>44196</v>
      </c>
      <c r="B277" s="10" t="s">
        <v>128</v>
      </c>
      <c r="C277" s="11">
        <v>45111</v>
      </c>
      <c r="D277" s="12" t="str">
        <f>IF(C277&gt;0,(VLOOKUP(C277,'Blnct AR'!$C$2:$D$2255,2,0))," ")</f>
        <v>Caixa Geral</v>
      </c>
      <c r="E277" s="21" t="s">
        <v>2095</v>
      </c>
      <c r="F277" s="13"/>
      <c r="G277" s="13">
        <v>63070</v>
      </c>
      <c r="I277" s="37"/>
    </row>
    <row r="278" spans="1:9" s="14" customFormat="1" ht="15" customHeight="1">
      <c r="A278" s="10">
        <v>44196</v>
      </c>
      <c r="B278" s="10" t="s">
        <v>128</v>
      </c>
      <c r="C278" s="11">
        <v>752231</v>
      </c>
      <c r="D278" s="12" t="str">
        <f>IF(C278&gt;0,(VLOOKUP(C278,'Blnct AR'!$C$2:$D$2255,2,0))," ")</f>
        <v>Refeições e estadas</v>
      </c>
      <c r="E278" s="21" t="s">
        <v>2095</v>
      </c>
      <c r="F278" s="13">
        <f>63070</f>
        <v>63070</v>
      </c>
      <c r="G278" s="13"/>
      <c r="I278" s="37"/>
    </row>
    <row r="279" spans="1:9" s="14" customFormat="1" ht="15" customHeight="1">
      <c r="A279" s="10">
        <v>44196</v>
      </c>
      <c r="B279" s="10" t="s">
        <v>128</v>
      </c>
      <c r="C279" s="11">
        <v>45111</v>
      </c>
      <c r="D279" s="12" t="str">
        <f>IF(C279&gt;0,(VLOOKUP(C279,'Blnct AR'!$C$2:$D$2255,2,0))," ")</f>
        <v>Caixa Geral</v>
      </c>
      <c r="E279" s="21" t="s">
        <v>2095</v>
      </c>
      <c r="F279" s="13"/>
      <c r="G279" s="13">
        <v>4800</v>
      </c>
      <c r="I279" s="37"/>
    </row>
    <row r="280" spans="1:9" s="14" customFormat="1" ht="15" customHeight="1">
      <c r="A280" s="10">
        <v>44196</v>
      </c>
      <c r="B280" s="10" t="s">
        <v>128</v>
      </c>
      <c r="C280" s="11">
        <v>75228</v>
      </c>
      <c r="D280" s="12" t="str">
        <f>IF(C280&gt;0,(VLOOKUP(C280,'Blnct AR'!$C$2:$D$2255,2,0))," ")</f>
        <v>Limpeza, higiene e conforto</v>
      </c>
      <c r="E280" s="21" t="s">
        <v>2095</v>
      </c>
      <c r="F280" s="13">
        <v>4800</v>
      </c>
      <c r="G280" s="13"/>
      <c r="I280" s="37"/>
    </row>
    <row r="281" spans="1:9" s="14" customFormat="1" ht="15" customHeight="1">
      <c r="A281" s="10">
        <v>44196</v>
      </c>
      <c r="B281" s="10" t="s">
        <v>128</v>
      </c>
      <c r="C281" s="11">
        <v>45111</v>
      </c>
      <c r="D281" s="12" t="str">
        <f>IF(C281&gt;0,(VLOOKUP(C281,'Blnct AR'!$C$2:$D$2255,2,0))," ")</f>
        <v>Caixa Geral</v>
      </c>
      <c r="E281" s="21" t="s">
        <v>2095</v>
      </c>
      <c r="F281" s="13"/>
      <c r="G281" s="13">
        <v>15305</v>
      </c>
      <c r="I281" s="37"/>
    </row>
    <row r="282" spans="1:9" s="14" customFormat="1" ht="15" customHeight="1">
      <c r="A282" s="10">
        <v>44196</v>
      </c>
      <c r="B282" s="10" t="s">
        <v>128</v>
      </c>
      <c r="C282" s="11">
        <v>752131</v>
      </c>
      <c r="D282" s="12" t="str">
        <f>IF(C282&gt;0,(VLOOKUP(C282,'Blnct AR'!$C$2:$D$2255,2,0))," ")</f>
        <v>Gasoleo</v>
      </c>
      <c r="E282" s="21" t="s">
        <v>2095</v>
      </c>
      <c r="F282" s="13">
        <v>15305</v>
      </c>
      <c r="G282" s="13"/>
      <c r="I282" s="37"/>
    </row>
    <row r="283" spans="1:9" s="14" customFormat="1" ht="15" customHeight="1">
      <c r="A283" s="10">
        <v>44196</v>
      </c>
      <c r="B283" s="10" t="s">
        <v>128</v>
      </c>
      <c r="C283" s="11"/>
      <c r="D283" s="12" t="str">
        <f>IF(C283&gt;0,(VLOOKUP(C283,'Blnct AR'!$C$2:$D$2255,2,0))," ")</f>
        <v xml:space="preserve"> </v>
      </c>
      <c r="E283" s="21" t="s">
        <v>2095</v>
      </c>
      <c r="F283" s="13"/>
      <c r="G283" s="13"/>
      <c r="I283" s="37"/>
    </row>
    <row r="284" spans="1:9" s="14" customFormat="1" ht="15" customHeight="1">
      <c r="A284" s="10">
        <v>44196</v>
      </c>
      <c r="B284" s="10" t="s">
        <v>128</v>
      </c>
      <c r="C284" s="11"/>
      <c r="D284" s="12" t="str">
        <f>IF(C284&gt;0,(VLOOKUP(C284,'Blnct AR'!$C$2:$D$2255,2,0))," ")</f>
        <v xml:space="preserve"> </v>
      </c>
      <c r="E284" s="21" t="s">
        <v>2095</v>
      </c>
      <c r="F284" s="13"/>
      <c r="G284" s="13"/>
      <c r="I284" s="37"/>
    </row>
    <row r="285" spans="1:9" s="14" customFormat="1" ht="15" customHeight="1">
      <c r="A285" s="10">
        <v>44196</v>
      </c>
      <c r="B285" s="10" t="s">
        <v>128</v>
      </c>
      <c r="C285" s="11"/>
      <c r="D285" s="12" t="str">
        <f>IF(C285&gt;0,(VLOOKUP(C285,'Blnct AR'!$C$2:$D$2255,2,0))," ")</f>
        <v xml:space="preserve"> </v>
      </c>
      <c r="E285" s="21" t="s">
        <v>2095</v>
      </c>
      <c r="F285" s="13"/>
      <c r="G285" s="13"/>
      <c r="I285" s="37"/>
    </row>
    <row r="286" spans="1:9" s="14" customFormat="1" ht="15" customHeight="1">
      <c r="A286" s="10">
        <v>44196</v>
      </c>
      <c r="B286" s="10" t="s">
        <v>128</v>
      </c>
      <c r="C286" s="11"/>
      <c r="D286" s="12" t="str">
        <f>IF(C286&gt;0,(VLOOKUP(C286,'Blnct AR'!$C$2:$D$2255,2,0))," ")</f>
        <v xml:space="preserve"> </v>
      </c>
      <c r="E286" s="21" t="s">
        <v>2095</v>
      </c>
      <c r="F286" s="13"/>
      <c r="G286" s="13"/>
      <c r="I286" s="37"/>
    </row>
    <row r="287" spans="1:9" s="14" customFormat="1" ht="15" customHeight="1">
      <c r="A287" s="10"/>
      <c r="B287" s="10"/>
      <c r="C287" s="11"/>
      <c r="D287" s="12" t="str">
        <f>IF(C287&gt;0,(VLOOKUP(C287,'Blnct AR'!$C$2:$D$2255,2,0))," ")</f>
        <v xml:space="preserve"> </v>
      </c>
      <c r="E287" s="21"/>
      <c r="F287" s="13"/>
      <c r="G287" s="13"/>
      <c r="I287" s="37"/>
    </row>
    <row r="288" spans="1:9" s="14" customFormat="1" ht="15" customHeight="1">
      <c r="A288" s="10"/>
      <c r="B288" s="10"/>
      <c r="C288" s="11"/>
      <c r="D288" s="12" t="str">
        <f>IF(C288&gt;0,(VLOOKUP(C288,'Blnct AR'!$C$2:$D$2255,2,0))," ")</f>
        <v xml:space="preserve"> </v>
      </c>
      <c r="E288" s="365" t="s">
        <v>1836</v>
      </c>
      <c r="F288" s="366">
        <f>SUM(F122:F242)</f>
        <v>5996346.0999999996</v>
      </c>
      <c r="G288" s="366">
        <f>SUM(G122:G242)</f>
        <v>5996346.0999999996</v>
      </c>
    </row>
    <row r="289" spans="1:10" s="14" customFormat="1" ht="15" customHeight="1">
      <c r="A289" s="10">
        <v>43831</v>
      </c>
      <c r="B289" s="10" t="s">
        <v>130</v>
      </c>
      <c r="C289" s="11">
        <v>43103</v>
      </c>
      <c r="D289" s="12" t="str">
        <f>IF(C289&gt;0,(VLOOKUP(C289,'Blnct AR'!$C$2:$D$2255,2,0))," ")</f>
        <v>Milénnium 500471734904 Kz</v>
      </c>
      <c r="E289" s="21" t="s">
        <v>1893</v>
      </c>
      <c r="F289" s="20">
        <v>2579830.5</v>
      </c>
      <c r="G289" s="20"/>
      <c r="H289" s="367" t="s">
        <v>1837</v>
      </c>
    </row>
    <row r="290" spans="1:10" s="14" customFormat="1" ht="15" customHeight="1">
      <c r="A290" s="10">
        <v>43831</v>
      </c>
      <c r="B290" s="10" t="s">
        <v>130</v>
      </c>
      <c r="C290" s="11">
        <v>31121116</v>
      </c>
      <c r="D290" s="12" t="str">
        <f>IF(C290&gt;0,(VLOOKUP(C290,'Blnct AR'!$C$2:$D$2255,2,0))," ")</f>
        <v>IMAVIZ - MINING, LDA.</v>
      </c>
      <c r="E290" s="21" t="s">
        <v>1893</v>
      </c>
      <c r="F290" s="20"/>
      <c r="G290" s="13">
        <v>2579830.5</v>
      </c>
      <c r="H290" s="11"/>
      <c r="I290" s="47"/>
      <c r="J290" s="47"/>
    </row>
    <row r="291" spans="1:10" s="14" customFormat="1" ht="15" customHeight="1">
      <c r="A291" s="10">
        <v>43951</v>
      </c>
      <c r="B291" s="10" t="s">
        <v>130</v>
      </c>
      <c r="C291" s="11">
        <v>43106</v>
      </c>
      <c r="D291" s="12" t="str">
        <f>IF(C291&gt;0,(VLOOKUP(C291,'Blnct AR'!$C$2:$D$2255,2,0))," ")</f>
        <v>Banco BIC - 118133685.15.1</v>
      </c>
      <c r="E291" s="21" t="s">
        <v>1894</v>
      </c>
      <c r="F291" s="20">
        <v>94286257.590000004</v>
      </c>
      <c r="G291" s="13"/>
      <c r="I291" s="37"/>
    </row>
    <row r="292" spans="1:10" s="14" customFormat="1" ht="15" customHeight="1">
      <c r="A292" s="10">
        <v>43951</v>
      </c>
      <c r="B292" s="10" t="s">
        <v>130</v>
      </c>
      <c r="C292" s="11">
        <v>31121077</v>
      </c>
      <c r="D292" s="12" t="str">
        <f>IF(C292&gt;0,(VLOOKUP(C292,'Blnct AR'!$C$2:$D$2255,2,0))," ")</f>
        <v>CATOCA - Sociedade Mineira de Catoca, Lda</v>
      </c>
      <c r="E292" s="21" t="s">
        <v>1894</v>
      </c>
      <c r="F292" s="20"/>
      <c r="G292" s="13">
        <v>94286257.590000004</v>
      </c>
      <c r="I292" s="37"/>
    </row>
    <row r="293" spans="1:10" s="14" customFormat="1" ht="15" customHeight="1">
      <c r="A293" s="10">
        <v>44074</v>
      </c>
      <c r="B293" s="10" t="s">
        <v>130</v>
      </c>
      <c r="C293" s="11">
        <v>43106</v>
      </c>
      <c r="D293" s="12" t="str">
        <f>IF(C293&gt;0,(VLOOKUP(C293,'Blnct AR'!$C$2:$D$2255,2,0))," ")</f>
        <v>Banco BIC - 118133685.15.1</v>
      </c>
      <c r="E293" s="21" t="s">
        <v>1895</v>
      </c>
      <c r="F293" s="20">
        <v>46911054.060000002</v>
      </c>
      <c r="G293" s="13"/>
      <c r="I293" s="37"/>
    </row>
    <row r="294" spans="1:10" s="14" customFormat="1" ht="15" customHeight="1">
      <c r="A294" s="10">
        <v>44074</v>
      </c>
      <c r="B294" s="10" t="s">
        <v>130</v>
      </c>
      <c r="C294" s="11">
        <v>31121077</v>
      </c>
      <c r="D294" s="12" t="str">
        <f>IF(C294&gt;0,(VLOOKUP(C294,'Blnct AR'!$C$2:$D$2255,2,0))," ")</f>
        <v>CATOCA - Sociedade Mineira de Catoca, Lda</v>
      </c>
      <c r="E294" s="21" t="s">
        <v>1895</v>
      </c>
      <c r="F294" s="20"/>
      <c r="G294" s="13">
        <v>46911054.060000002</v>
      </c>
      <c r="I294" s="37"/>
    </row>
    <row r="295" spans="1:10" s="14" customFormat="1" ht="15" customHeight="1">
      <c r="A295" s="10">
        <v>44135</v>
      </c>
      <c r="B295" s="10" t="s">
        <v>130</v>
      </c>
      <c r="C295" s="11">
        <v>43103</v>
      </c>
      <c r="D295" s="12" t="str">
        <f>IF(C295&gt;0,(VLOOKUP(C295,'Blnct AR'!$C$2:$D$2255,2,0))," ")</f>
        <v>Milénnium 500471734904 Kz</v>
      </c>
      <c r="E295" s="21" t="s">
        <v>1896</v>
      </c>
      <c r="F295" s="20">
        <v>1560000</v>
      </c>
      <c r="G295" s="13"/>
      <c r="I295" s="37"/>
    </row>
    <row r="296" spans="1:10" s="14" customFormat="1" ht="15" customHeight="1">
      <c r="A296" s="10">
        <v>44135</v>
      </c>
      <c r="B296" s="10" t="s">
        <v>130</v>
      </c>
      <c r="C296" s="11">
        <v>31121119</v>
      </c>
      <c r="D296" s="12" t="str">
        <f>IF(C296&gt;0,(VLOOKUP(C296,'Blnct AR'!$C$2:$D$2255,2,0))," ")</f>
        <v>Céos - Serviços e participações, Lda</v>
      </c>
      <c r="E296" s="21" t="s">
        <v>1896</v>
      </c>
      <c r="F296" s="20"/>
      <c r="G296" s="13">
        <v>1560000</v>
      </c>
      <c r="I296" s="37"/>
    </row>
    <row r="297" spans="1:10" s="14" customFormat="1" ht="15" customHeight="1">
      <c r="A297" s="10">
        <v>44135</v>
      </c>
      <c r="B297" s="8" t="s">
        <v>130</v>
      </c>
      <c r="C297" s="11">
        <v>43106</v>
      </c>
      <c r="D297" s="12" t="str">
        <f>IF(C297&gt;0,(VLOOKUP(C297,'Blnct AR'!$C$2:$D$2255,2,0))," ")</f>
        <v>Banco BIC - 118133685.15.1</v>
      </c>
      <c r="E297" s="21" t="s">
        <v>1897</v>
      </c>
      <c r="F297" s="13">
        <v>1983282.03</v>
      </c>
      <c r="G297" s="13"/>
      <c r="I297" s="37"/>
    </row>
    <row r="298" spans="1:10" s="14" customFormat="1" ht="15" customHeight="1">
      <c r="A298" s="10">
        <v>44135</v>
      </c>
      <c r="B298" s="8" t="s">
        <v>130</v>
      </c>
      <c r="C298" s="11">
        <v>31121077</v>
      </c>
      <c r="D298" s="12" t="str">
        <f>IF(C298&gt;0,(VLOOKUP(C298,'Blnct AR'!$C$2:$D$2255,2,0))," ")</f>
        <v>CATOCA - Sociedade Mineira de Catoca, Lda</v>
      </c>
      <c r="E298" s="21" t="s">
        <v>1897</v>
      </c>
      <c r="F298" s="20"/>
      <c r="G298" s="20">
        <v>1983282.03</v>
      </c>
      <c r="I298" s="37"/>
    </row>
    <row r="299" spans="1:10" s="14" customFormat="1" ht="15" customHeight="1">
      <c r="A299" s="10">
        <v>44135</v>
      </c>
      <c r="B299" s="8" t="s">
        <v>130</v>
      </c>
      <c r="C299" s="11">
        <v>43103</v>
      </c>
      <c r="D299" s="12" t="str">
        <f>IF(C299&gt;0,(VLOOKUP(C299,'Blnct AR'!$C$2:$D$2255,2,0))," ")</f>
        <v>Milénnium 500471734904 Kz</v>
      </c>
      <c r="E299" s="21" t="s">
        <v>1898</v>
      </c>
      <c r="F299" s="20">
        <v>1040000</v>
      </c>
      <c r="G299" s="20"/>
      <c r="I299" s="37"/>
    </row>
    <row r="300" spans="1:10" s="14" customFormat="1" ht="15" customHeight="1">
      <c r="A300" s="10">
        <v>44135</v>
      </c>
      <c r="B300" s="8" t="s">
        <v>130</v>
      </c>
      <c r="C300" s="11">
        <v>31121119</v>
      </c>
      <c r="D300" s="12" t="str">
        <f>IF(C300&gt;0,(VLOOKUP(C300,'Blnct AR'!$C$2:$D$2255,2,0))," ")</f>
        <v>Céos - Serviços e participações, Lda</v>
      </c>
      <c r="E300" s="21" t="s">
        <v>1898</v>
      </c>
      <c r="F300" s="13"/>
      <c r="G300" s="13">
        <v>1040000</v>
      </c>
      <c r="I300" s="37"/>
    </row>
    <row r="301" spans="1:10" s="14" customFormat="1" ht="15" customHeight="1">
      <c r="A301" s="10">
        <v>44165</v>
      </c>
      <c r="B301" s="8" t="s">
        <v>130</v>
      </c>
      <c r="C301" s="11">
        <v>43106</v>
      </c>
      <c r="D301" s="12" t="str">
        <f>IF(C301&gt;0,(VLOOKUP(C301,'Blnct AR'!$C$2:$D$2255,2,0))," ")</f>
        <v>Banco BIC - 118133685.15.1</v>
      </c>
      <c r="E301" s="21" t="s">
        <v>1905</v>
      </c>
      <c r="F301" s="13">
        <v>25871123.300000001</v>
      </c>
      <c r="G301" s="13"/>
      <c r="I301" s="37"/>
    </row>
    <row r="302" spans="1:10" s="14" customFormat="1" ht="15" customHeight="1">
      <c r="A302" s="10">
        <v>44165</v>
      </c>
      <c r="B302" s="8" t="s">
        <v>130</v>
      </c>
      <c r="C302" s="11">
        <v>31121077</v>
      </c>
      <c r="D302" s="12" t="str">
        <f>IF(C302&gt;0,(VLOOKUP(C302,'Blnct AR'!$C$2:$D$2255,2,0))," ")</f>
        <v>CATOCA - Sociedade Mineira de Catoca, Lda</v>
      </c>
      <c r="E302" s="21" t="s">
        <v>1905</v>
      </c>
      <c r="F302" s="13"/>
      <c r="G302" s="13">
        <v>25871123.300000001</v>
      </c>
      <c r="I302" s="37"/>
    </row>
    <row r="303" spans="1:10" s="14" customFormat="1" ht="15" customHeight="1">
      <c r="A303" s="10">
        <v>44161</v>
      </c>
      <c r="B303" s="8" t="s">
        <v>130</v>
      </c>
      <c r="C303" s="11">
        <v>43106</v>
      </c>
      <c r="D303" s="12" t="str">
        <f>IF(C303&gt;0,(VLOOKUP(C303,'Blnct AR'!$C$2:$D$2255,2,0))," ")</f>
        <v>Banco BIC - 118133685.15.1</v>
      </c>
      <c r="E303" s="21" t="s">
        <v>1906</v>
      </c>
      <c r="F303" s="20">
        <v>26328846.640000001</v>
      </c>
      <c r="G303" s="20"/>
      <c r="I303" s="37"/>
    </row>
    <row r="304" spans="1:10" s="14" customFormat="1" ht="15" customHeight="1">
      <c r="A304" s="10">
        <v>44161</v>
      </c>
      <c r="B304" s="8" t="s">
        <v>130</v>
      </c>
      <c r="C304" s="11">
        <v>31121120</v>
      </c>
      <c r="D304" s="12" t="str">
        <f>IF(C304&gt;0,(VLOOKUP(C304,'Blnct AR'!$C$2:$D$2255,2,0))," ")</f>
        <v>Clinica Sagrada Esperança, Lda</v>
      </c>
      <c r="E304" s="21" t="s">
        <v>1905</v>
      </c>
      <c r="F304" s="20"/>
      <c r="G304" s="20">
        <v>26328846.640000001</v>
      </c>
    </row>
    <row r="305" spans="1:7" s="14" customFormat="1" ht="15" customHeight="1">
      <c r="A305" s="10">
        <v>44152</v>
      </c>
      <c r="B305" s="8" t="s">
        <v>1653</v>
      </c>
      <c r="C305" s="11">
        <v>43103</v>
      </c>
      <c r="D305" s="12" t="str">
        <f>IF(C305&gt;0,(VLOOKUP(C305,'Blnct AR'!$C$2:$D$2255,2,0))," ")</f>
        <v>Milénnium 500471734904 Kz</v>
      </c>
      <c r="E305" s="21" t="s">
        <v>2081</v>
      </c>
      <c r="F305" s="20">
        <v>18860</v>
      </c>
      <c r="G305" s="20"/>
    </row>
    <row r="306" spans="1:7" s="14" customFormat="1" ht="15" customHeight="1">
      <c r="A306" s="10">
        <v>44152</v>
      </c>
      <c r="B306" s="8" t="s">
        <v>1653</v>
      </c>
      <c r="C306" s="11">
        <v>45111</v>
      </c>
      <c r="D306" s="12" t="str">
        <f>IF(C306&gt;0,(VLOOKUP(C306,'Blnct AR'!$C$2:$D$2255,2,0))," ")</f>
        <v>Caixa Geral</v>
      </c>
      <c r="E306" s="21" t="s">
        <v>2081</v>
      </c>
      <c r="F306" s="20"/>
      <c r="G306" s="20">
        <v>18860</v>
      </c>
    </row>
    <row r="307" spans="1:7" s="14" customFormat="1" ht="15" customHeight="1">
      <c r="A307" s="10">
        <v>44141</v>
      </c>
      <c r="B307" s="8" t="s">
        <v>1653</v>
      </c>
      <c r="C307" s="11">
        <v>43103</v>
      </c>
      <c r="D307" s="12" t="str">
        <f>IF(C307&gt;0,(VLOOKUP(C307,'Blnct AR'!$C$2:$D$2255,2,0))," ")</f>
        <v>Milénnium 500471734904 Kz</v>
      </c>
      <c r="E307" s="21" t="s">
        <v>2081</v>
      </c>
      <c r="F307" s="20">
        <v>15300</v>
      </c>
      <c r="G307" s="20"/>
    </row>
    <row r="308" spans="1:7" s="14" customFormat="1" ht="15" customHeight="1">
      <c r="A308" s="10">
        <v>44141</v>
      </c>
      <c r="B308" s="8" t="s">
        <v>1653</v>
      </c>
      <c r="C308" s="11">
        <v>43103</v>
      </c>
      <c r="D308" s="12" t="str">
        <f>IF(C308&gt;0,(VLOOKUP(C308,'Blnct AR'!$C$2:$D$2255,2,0))," ")</f>
        <v>Milénnium 500471734904 Kz</v>
      </c>
      <c r="E308" s="21" t="s">
        <v>2082</v>
      </c>
      <c r="F308" s="20"/>
      <c r="G308" s="20">
        <v>15300</v>
      </c>
    </row>
    <row r="309" spans="1:7" s="14" customFormat="1" ht="15" customHeight="1">
      <c r="A309" s="10">
        <v>44176</v>
      </c>
      <c r="B309" s="8" t="s">
        <v>1653</v>
      </c>
      <c r="C309" s="11">
        <v>43103</v>
      </c>
      <c r="D309" s="12" t="str">
        <f>IF(C309&gt;0,(VLOOKUP(C309,'Blnct AR'!$C$2:$D$2255,2,0))," ")</f>
        <v>Milénnium 500471734904 Kz</v>
      </c>
      <c r="E309" s="21" t="s">
        <v>2082</v>
      </c>
      <c r="F309" s="20">
        <v>5200</v>
      </c>
      <c r="G309" s="20"/>
    </row>
    <row r="310" spans="1:7" s="14" customFormat="1" ht="15" customHeight="1">
      <c r="A310" s="10">
        <v>44176</v>
      </c>
      <c r="B310" s="8" t="s">
        <v>1653</v>
      </c>
      <c r="C310" s="11">
        <v>45111</v>
      </c>
      <c r="D310" s="12" t="str">
        <f>IF(C310&gt;0,(VLOOKUP(C310,'Blnct AR'!$C$2:$D$2255,2,0))," ")</f>
        <v>Caixa Geral</v>
      </c>
      <c r="E310" s="21" t="s">
        <v>2081</v>
      </c>
      <c r="F310" s="20"/>
      <c r="G310" s="20">
        <v>5200</v>
      </c>
    </row>
    <row r="311" spans="1:7" s="14" customFormat="1" ht="15" customHeight="1">
      <c r="A311" s="10">
        <v>44180</v>
      </c>
      <c r="B311" s="8" t="s">
        <v>2078</v>
      </c>
      <c r="C311" s="11">
        <v>43103</v>
      </c>
      <c r="D311" s="12" t="str">
        <f>IF(C311&gt;0,(VLOOKUP(C311,'Blnct AR'!$C$2:$D$2255,2,0))," ")</f>
        <v>Milénnium 500471734904 Kz</v>
      </c>
      <c r="E311" s="21" t="s">
        <v>2080</v>
      </c>
      <c r="F311" s="20">
        <v>22582269.530000001</v>
      </c>
      <c r="G311" s="20"/>
    </row>
    <row r="312" spans="1:7" s="14" customFormat="1" ht="15" customHeight="1">
      <c r="A312" s="10">
        <v>44180</v>
      </c>
      <c r="B312" s="8" t="s">
        <v>2078</v>
      </c>
      <c r="C312" s="11">
        <v>319121109</v>
      </c>
      <c r="D312" s="12" t="str">
        <f>IF(C312&gt;0,(VLOOKUP(C312,'Blnct AR'!$C$2:$D$2255,2,0))," ")</f>
        <v>Ares Maximus</v>
      </c>
      <c r="E312" s="21" t="s">
        <v>2080</v>
      </c>
      <c r="F312" s="20"/>
      <c r="G312" s="20">
        <v>22582269.530000001</v>
      </c>
    </row>
    <row r="313" spans="1:7" s="14" customFormat="1" ht="15" customHeight="1">
      <c r="A313" s="10"/>
      <c r="B313" s="8" t="s">
        <v>2077</v>
      </c>
      <c r="C313" s="11"/>
      <c r="D313" s="12"/>
      <c r="E313" s="21"/>
      <c r="F313" s="20"/>
      <c r="G313" s="20"/>
    </row>
    <row r="314" spans="1:7" s="372" customFormat="1" ht="15" customHeight="1">
      <c r="A314" s="10">
        <v>43890</v>
      </c>
      <c r="B314" s="8" t="s">
        <v>1838</v>
      </c>
      <c r="C314" s="11">
        <v>43103</v>
      </c>
      <c r="D314" s="12" t="str">
        <f>IF(C314&gt;0,(VLOOKUP(C314,'Blnct AR'!$C$2:$D$2255,2,0))," ")</f>
        <v>Milénnium 500471734904 Kz</v>
      </c>
      <c r="E314" s="21" t="s">
        <v>2076</v>
      </c>
      <c r="F314" s="374"/>
      <c r="G314" s="20">
        <v>500000</v>
      </c>
    </row>
    <row r="315" spans="1:7" s="14" customFormat="1" ht="15" customHeight="1">
      <c r="A315" s="10">
        <v>43890</v>
      </c>
      <c r="B315" s="8" t="s">
        <v>1838</v>
      </c>
      <c r="C315" s="11">
        <v>43101</v>
      </c>
      <c r="D315" s="12" t="str">
        <f>IF(C315&gt;0,(VLOOKUP(C315,'Blnct AR'!$C$2:$D$2255,2,0))," ")</f>
        <v>Banco - BFA</v>
      </c>
      <c r="E315" s="21" t="s">
        <v>2076</v>
      </c>
      <c r="F315" s="20">
        <v>500000</v>
      </c>
      <c r="G315" s="20"/>
    </row>
    <row r="316" spans="1:7" s="14" customFormat="1" ht="15" customHeight="1">
      <c r="A316" s="10">
        <v>43951</v>
      </c>
      <c r="B316" s="8" t="s">
        <v>1838</v>
      </c>
      <c r="C316" s="11">
        <v>43103</v>
      </c>
      <c r="D316" s="12" t="str">
        <f>IF(C316&gt;0,(VLOOKUP(C316,'Blnct AR'!$C$2:$D$2255,2,0))," ")</f>
        <v>Milénnium 500471734904 Kz</v>
      </c>
      <c r="E316" s="21" t="s">
        <v>2076</v>
      </c>
      <c r="F316" s="374"/>
      <c r="G316" s="20">
        <v>500000</v>
      </c>
    </row>
    <row r="317" spans="1:7" s="14" customFormat="1" ht="15" customHeight="1">
      <c r="A317" s="10">
        <v>43951</v>
      </c>
      <c r="B317" s="8" t="s">
        <v>1838</v>
      </c>
      <c r="C317" s="11">
        <v>43101</v>
      </c>
      <c r="D317" s="12" t="str">
        <f>IF(C317&gt;0,(VLOOKUP(C317,'Blnct AR'!$C$2:$D$2255,2,0))," ")</f>
        <v>Banco - BFA</v>
      </c>
      <c r="E317" s="21" t="s">
        <v>2076</v>
      </c>
      <c r="F317" s="20">
        <v>500000</v>
      </c>
      <c r="G317" s="20"/>
    </row>
    <row r="318" spans="1:7" s="14" customFormat="1" ht="15" customHeight="1">
      <c r="A318" s="10">
        <v>43982</v>
      </c>
      <c r="B318" s="8" t="s">
        <v>1838</v>
      </c>
      <c r="C318" s="11">
        <v>43106</v>
      </c>
      <c r="D318" s="12" t="str">
        <f>IF(C318&gt;0,(VLOOKUP(C318,'Blnct AR'!$C$2:$D$2255,2,0))," ")</f>
        <v>Banco BIC - 118133685.15.1</v>
      </c>
      <c r="E318" s="21" t="s">
        <v>2076</v>
      </c>
      <c r="F318" s="20"/>
      <c r="G318" s="20">
        <v>19000000</v>
      </c>
    </row>
    <row r="319" spans="1:7" s="14" customFormat="1" ht="15" customHeight="1">
      <c r="A319" s="10">
        <v>43982</v>
      </c>
      <c r="B319" s="8" t="s">
        <v>1838</v>
      </c>
      <c r="C319" s="11">
        <v>43103</v>
      </c>
      <c r="D319" s="12" t="str">
        <f>IF(C319&gt;0,(VLOOKUP(C319,'Blnct AR'!$C$2:$D$2255,2,0))," ")</f>
        <v>Milénnium 500471734904 Kz</v>
      </c>
      <c r="E319" s="21" t="s">
        <v>2076</v>
      </c>
      <c r="F319" s="20">
        <v>19000000</v>
      </c>
      <c r="G319" s="20"/>
    </row>
    <row r="320" spans="1:7" s="14" customFormat="1" ht="15" customHeight="1">
      <c r="A320" s="10">
        <v>44043</v>
      </c>
      <c r="B320" s="8" t="s">
        <v>1838</v>
      </c>
      <c r="C320" s="11">
        <v>43106</v>
      </c>
      <c r="D320" s="12" t="str">
        <f>IF(C320&gt;0,(VLOOKUP(C320,'Blnct AR'!$C$2:$D$2255,2,0))," ")</f>
        <v>Banco BIC - 118133685.15.1</v>
      </c>
      <c r="E320" s="21" t="s">
        <v>2076</v>
      </c>
      <c r="F320" s="20"/>
      <c r="G320" s="20">
        <v>3000000</v>
      </c>
    </row>
    <row r="321" spans="1:7" s="14" customFormat="1" ht="15" customHeight="1">
      <c r="A321" s="10">
        <v>44043</v>
      </c>
      <c r="B321" s="8" t="s">
        <v>1838</v>
      </c>
      <c r="C321" s="11">
        <v>43103</v>
      </c>
      <c r="D321" s="12" t="str">
        <f>IF(C321&gt;0,(VLOOKUP(C321,'Blnct AR'!$C$2:$D$2255,2,0))," ")</f>
        <v>Milénnium 500471734904 Kz</v>
      </c>
      <c r="E321" s="21" t="s">
        <v>2076</v>
      </c>
      <c r="F321" s="20">
        <v>3000000</v>
      </c>
      <c r="G321" s="20"/>
    </row>
    <row r="322" spans="1:7" s="14" customFormat="1" ht="15" customHeight="1">
      <c r="A322" s="10">
        <v>44043</v>
      </c>
      <c r="B322" s="8" t="s">
        <v>1838</v>
      </c>
      <c r="C322" s="11">
        <v>43106</v>
      </c>
      <c r="D322" s="12" t="str">
        <f>IF(C322&gt;0,(VLOOKUP(C322,'Blnct AR'!$C$2:$D$2255,2,0))," ")</f>
        <v>Banco BIC - 118133685.15.1</v>
      </c>
      <c r="E322" s="21" t="s">
        <v>2076</v>
      </c>
      <c r="F322" s="20"/>
      <c r="G322" s="20">
        <v>700000</v>
      </c>
    </row>
    <row r="323" spans="1:7" s="14" customFormat="1" ht="15" customHeight="1">
      <c r="A323" s="10">
        <v>44043</v>
      </c>
      <c r="B323" s="8" t="s">
        <v>1838</v>
      </c>
      <c r="C323" s="11">
        <v>43101</v>
      </c>
      <c r="D323" s="12" t="str">
        <f>IF(C323&gt;0,(VLOOKUP(C323,'Blnct AR'!$C$2:$D$2255,2,0))," ")</f>
        <v>Banco - BFA</v>
      </c>
      <c r="E323" s="21" t="s">
        <v>2076</v>
      </c>
      <c r="F323" s="20">
        <v>700000</v>
      </c>
      <c r="G323" s="20"/>
    </row>
    <row r="324" spans="1:7" s="14" customFormat="1" ht="15" customHeight="1">
      <c r="A324" s="10">
        <v>44074</v>
      </c>
      <c r="B324" s="8" t="s">
        <v>1838</v>
      </c>
      <c r="C324" s="11">
        <v>43106</v>
      </c>
      <c r="D324" s="12" t="str">
        <f>IF(C324&gt;0,(VLOOKUP(C324,'Blnct AR'!$C$2:$D$2255,2,0))," ")</f>
        <v>Banco BIC - 118133685.15.1</v>
      </c>
      <c r="E324" s="21" t="s">
        <v>2076</v>
      </c>
      <c r="F324" s="20"/>
      <c r="G324" s="20">
        <v>2000000</v>
      </c>
    </row>
    <row r="325" spans="1:7" s="14" customFormat="1" ht="15" customHeight="1">
      <c r="A325" s="10">
        <v>44074</v>
      </c>
      <c r="B325" s="8" t="s">
        <v>1838</v>
      </c>
      <c r="C325" s="11">
        <v>43103</v>
      </c>
      <c r="D325" s="12" t="str">
        <f>IF(C325&gt;0,(VLOOKUP(C325,'Blnct AR'!$C$2:$D$2255,2,0))," ")</f>
        <v>Milénnium 500471734904 Kz</v>
      </c>
      <c r="E325" s="21" t="s">
        <v>2076</v>
      </c>
      <c r="F325" s="20">
        <v>2000000</v>
      </c>
      <c r="G325" s="20"/>
    </row>
    <row r="326" spans="1:7" s="14" customFormat="1" ht="15" customHeight="1">
      <c r="A326" s="10">
        <v>44104</v>
      </c>
      <c r="B326" s="8" t="s">
        <v>1838</v>
      </c>
      <c r="C326" s="11">
        <v>43106</v>
      </c>
      <c r="D326" s="12" t="str">
        <f>IF(C326&gt;0,(VLOOKUP(C326,'Blnct AR'!$C$2:$D$2255,2,0))," ")</f>
        <v>Banco BIC - 118133685.15.1</v>
      </c>
      <c r="E326" s="21" t="s">
        <v>2076</v>
      </c>
      <c r="F326" s="20"/>
      <c r="G326" s="20">
        <v>3000000</v>
      </c>
    </row>
    <row r="327" spans="1:7" s="14" customFormat="1" ht="15" customHeight="1">
      <c r="A327" s="10">
        <v>44104</v>
      </c>
      <c r="B327" s="8" t="s">
        <v>1838</v>
      </c>
      <c r="C327" s="11">
        <v>43103</v>
      </c>
      <c r="D327" s="12" t="str">
        <f>IF(C327&gt;0,(VLOOKUP(C327,'Blnct AR'!$C$2:$D$2255,2,0))," ")</f>
        <v>Milénnium 500471734904 Kz</v>
      </c>
      <c r="E327" s="21" t="s">
        <v>2076</v>
      </c>
      <c r="F327" s="20">
        <v>3000000</v>
      </c>
      <c r="G327" s="20"/>
    </row>
    <row r="328" spans="1:7" s="14" customFormat="1" ht="15" customHeight="1">
      <c r="A328" s="10">
        <v>44104</v>
      </c>
      <c r="B328" s="8" t="s">
        <v>1838</v>
      </c>
      <c r="C328" s="11">
        <v>43106</v>
      </c>
      <c r="D328" s="12" t="str">
        <f>IF(C328&gt;0,(VLOOKUP(C328,'Blnct AR'!$C$2:$D$2255,2,0))," ")</f>
        <v>Banco BIC - 118133685.15.1</v>
      </c>
      <c r="E328" s="21" t="s">
        <v>2076</v>
      </c>
      <c r="F328" s="20"/>
      <c r="G328" s="20">
        <v>7000000</v>
      </c>
    </row>
    <row r="329" spans="1:7" s="14" customFormat="1" ht="15" customHeight="1">
      <c r="A329" s="10">
        <v>44104</v>
      </c>
      <c r="B329" s="8" t="s">
        <v>1838</v>
      </c>
      <c r="C329" s="11">
        <v>43103</v>
      </c>
      <c r="D329" s="12" t="str">
        <f>IF(C329&gt;0,(VLOOKUP(C329,'Blnct AR'!$C$2:$D$2255,2,0))," ")</f>
        <v>Milénnium 500471734904 Kz</v>
      </c>
      <c r="E329" s="21" t="s">
        <v>2076</v>
      </c>
      <c r="F329" s="20">
        <v>7000000</v>
      </c>
      <c r="G329" s="20"/>
    </row>
    <row r="330" spans="1:7" s="14" customFormat="1" ht="15" customHeight="1">
      <c r="A330" s="10">
        <v>44135</v>
      </c>
      <c r="B330" s="8" t="s">
        <v>1838</v>
      </c>
      <c r="C330" s="11">
        <v>43106</v>
      </c>
      <c r="D330" s="12" t="str">
        <f>IF(C330&gt;0,(VLOOKUP(C330,'Blnct AR'!$C$2:$D$2255,2,0))," ")</f>
        <v>Banco BIC - 118133685.15.1</v>
      </c>
      <c r="E330" s="21" t="s">
        <v>2076</v>
      </c>
      <c r="F330" s="20"/>
      <c r="G330" s="20">
        <v>2000000</v>
      </c>
    </row>
    <row r="331" spans="1:7" s="14" customFormat="1" ht="15" customHeight="1">
      <c r="A331" s="10">
        <v>44135</v>
      </c>
      <c r="B331" s="8" t="s">
        <v>1838</v>
      </c>
      <c r="C331" s="11">
        <v>43103</v>
      </c>
      <c r="D331" s="12" t="str">
        <f>IF(C331&gt;0,(VLOOKUP(C331,'Blnct AR'!$C$2:$D$2255,2,0))," ")</f>
        <v>Milénnium 500471734904 Kz</v>
      </c>
      <c r="E331" s="21" t="s">
        <v>2076</v>
      </c>
      <c r="F331" s="20">
        <v>2000000</v>
      </c>
      <c r="G331" s="20"/>
    </row>
    <row r="332" spans="1:7" s="14" customFormat="1" ht="15" customHeight="1">
      <c r="A332" s="10">
        <v>44135</v>
      </c>
      <c r="B332" s="8" t="s">
        <v>1838</v>
      </c>
      <c r="C332" s="11">
        <v>43106</v>
      </c>
      <c r="D332" s="12" t="str">
        <f>IF(C332&gt;0,(VLOOKUP(C332,'Blnct AR'!$C$2:$D$2255,2,0))," ")</f>
        <v>Banco BIC - 118133685.15.1</v>
      </c>
      <c r="E332" s="21" t="s">
        <v>2076</v>
      </c>
      <c r="F332" s="20"/>
      <c r="G332" s="20">
        <v>1000000</v>
      </c>
    </row>
    <row r="333" spans="1:7" s="14" customFormat="1" ht="15" customHeight="1">
      <c r="A333" s="10">
        <v>44135</v>
      </c>
      <c r="B333" s="8" t="s">
        <v>1838</v>
      </c>
      <c r="C333" s="11">
        <v>43101</v>
      </c>
      <c r="D333" s="12" t="str">
        <f>IF(C333&gt;0,(VLOOKUP(C333,'Blnct AR'!$C$2:$D$2255,2,0))," ")</f>
        <v>Banco - BFA</v>
      </c>
      <c r="E333" s="21" t="s">
        <v>2076</v>
      </c>
      <c r="F333" s="20">
        <v>1000000</v>
      </c>
      <c r="G333" s="20"/>
    </row>
    <row r="334" spans="1:7" s="14" customFormat="1" ht="15" customHeight="1">
      <c r="A334" s="10">
        <v>44165</v>
      </c>
      <c r="B334" s="8" t="s">
        <v>1838</v>
      </c>
      <c r="C334" s="11">
        <v>43106</v>
      </c>
      <c r="D334" s="12" t="str">
        <f>IF(C334&gt;0,(VLOOKUP(C334,'Blnct AR'!$C$2:$D$2255,2,0))," ")</f>
        <v>Banco BIC - 118133685.15.1</v>
      </c>
      <c r="E334" s="21" t="s">
        <v>2076</v>
      </c>
      <c r="F334" s="20"/>
      <c r="G334" s="20">
        <v>100000</v>
      </c>
    </row>
    <row r="335" spans="1:7" s="14" customFormat="1" ht="15" customHeight="1">
      <c r="A335" s="10">
        <v>44165</v>
      </c>
      <c r="B335" s="8" t="s">
        <v>1838</v>
      </c>
      <c r="C335" s="11">
        <v>43101</v>
      </c>
      <c r="D335" s="12" t="str">
        <f>IF(C335&gt;0,(VLOOKUP(C335,'Blnct AR'!$C$2:$D$2255,2,0))," ")</f>
        <v>Banco - BFA</v>
      </c>
      <c r="E335" s="21" t="s">
        <v>2076</v>
      </c>
      <c r="F335" s="20">
        <v>100000</v>
      </c>
      <c r="G335" s="20"/>
    </row>
    <row r="336" spans="1:7" s="14" customFormat="1" ht="15" customHeight="1">
      <c r="A336" s="10">
        <v>44165</v>
      </c>
      <c r="B336" s="8" t="s">
        <v>1838</v>
      </c>
      <c r="C336" s="11">
        <v>43106</v>
      </c>
      <c r="D336" s="12" t="str">
        <f>IF(C336&gt;0,(VLOOKUP(C336,'Blnct AR'!$C$2:$D$2255,2,0))," ")</f>
        <v>Banco BIC - 118133685.15.1</v>
      </c>
      <c r="E336" s="21" t="s">
        <v>2076</v>
      </c>
      <c r="F336" s="20"/>
      <c r="G336" s="20">
        <v>1500000</v>
      </c>
    </row>
    <row r="337" spans="1:7" s="14" customFormat="1" ht="15" customHeight="1">
      <c r="A337" s="10">
        <v>44165</v>
      </c>
      <c r="B337" s="8" t="s">
        <v>1838</v>
      </c>
      <c r="C337" s="11">
        <v>43103</v>
      </c>
      <c r="D337" s="12" t="str">
        <f>IF(C337&gt;0,(VLOOKUP(C337,'Blnct AR'!$C$2:$D$2255,2,0))," ")</f>
        <v>Milénnium 500471734904 Kz</v>
      </c>
      <c r="E337" s="21" t="s">
        <v>2076</v>
      </c>
      <c r="F337" s="20">
        <v>1500000</v>
      </c>
      <c r="G337" s="20"/>
    </row>
    <row r="338" spans="1:7" s="14" customFormat="1" ht="15" customHeight="1">
      <c r="A338" s="10">
        <v>44165</v>
      </c>
      <c r="B338" s="8" t="s">
        <v>1838</v>
      </c>
      <c r="C338" s="11">
        <v>43106</v>
      </c>
      <c r="D338" s="12" t="str">
        <f>IF(C338&gt;0,(VLOOKUP(C338,'Blnct AR'!$C$2:$D$2255,2,0))," ")</f>
        <v>Banco BIC - 118133685.15.1</v>
      </c>
      <c r="E338" s="21" t="s">
        <v>2076</v>
      </c>
      <c r="F338" s="20"/>
      <c r="G338" s="20">
        <v>2000000</v>
      </c>
    </row>
    <row r="339" spans="1:7" s="14" customFormat="1" ht="15" customHeight="1">
      <c r="A339" s="10">
        <v>44165</v>
      </c>
      <c r="B339" s="8" t="s">
        <v>1838</v>
      </c>
      <c r="C339" s="11">
        <v>43103</v>
      </c>
      <c r="D339" s="12" t="str">
        <f>IF(C339&gt;0,(VLOOKUP(C339,'Blnct AR'!$C$2:$D$2255,2,0))," ")</f>
        <v>Milénnium 500471734904 Kz</v>
      </c>
      <c r="E339" s="21" t="s">
        <v>2076</v>
      </c>
      <c r="F339" s="20">
        <v>2000000</v>
      </c>
      <c r="G339" s="20"/>
    </row>
    <row r="340" spans="1:7" s="14" customFormat="1" ht="15" customHeight="1">
      <c r="A340" s="10">
        <v>44165</v>
      </c>
      <c r="B340" s="8" t="s">
        <v>1838</v>
      </c>
      <c r="C340" s="11">
        <v>43106</v>
      </c>
      <c r="D340" s="12" t="str">
        <f>IF(C340&gt;0,(VLOOKUP(C340,'Blnct AR'!$C$2:$D$2255,2,0))," ")</f>
        <v>Banco BIC - 118133685.15.1</v>
      </c>
      <c r="E340" s="21" t="s">
        <v>2076</v>
      </c>
      <c r="F340" s="20"/>
      <c r="G340" s="20">
        <v>3000000</v>
      </c>
    </row>
    <row r="341" spans="1:7" s="14" customFormat="1" ht="15" customHeight="1">
      <c r="A341" s="10">
        <v>44165</v>
      </c>
      <c r="B341" s="8" t="s">
        <v>1838</v>
      </c>
      <c r="C341" s="11">
        <v>43103</v>
      </c>
      <c r="D341" s="12" t="str">
        <f>IF(C341&gt;0,(VLOOKUP(C341,'Blnct AR'!$C$2:$D$2255,2,0))," ")</f>
        <v>Milénnium 500471734904 Kz</v>
      </c>
      <c r="E341" s="21" t="s">
        <v>2076</v>
      </c>
      <c r="F341" s="20">
        <v>3000000</v>
      </c>
      <c r="G341" s="20"/>
    </row>
    <row r="342" spans="1:7" s="14" customFormat="1" ht="15" customHeight="1">
      <c r="A342" s="10">
        <v>44165</v>
      </c>
      <c r="B342" s="8" t="s">
        <v>1838</v>
      </c>
      <c r="C342" s="11">
        <v>43106</v>
      </c>
      <c r="D342" s="12" t="str">
        <f>IF(C342&gt;0,(VLOOKUP(C342,'Blnct AR'!$C$2:$D$2255,2,0))," ")</f>
        <v>Banco BIC - 118133685.15.1</v>
      </c>
      <c r="E342" s="21" t="s">
        <v>2076</v>
      </c>
      <c r="F342" s="20"/>
      <c r="G342" s="20">
        <v>3000000</v>
      </c>
    </row>
    <row r="343" spans="1:7" s="14" customFormat="1" ht="15" customHeight="1">
      <c r="A343" s="10">
        <v>44165</v>
      </c>
      <c r="B343" s="8" t="s">
        <v>1838</v>
      </c>
      <c r="C343" s="11">
        <v>43103</v>
      </c>
      <c r="D343" s="12" t="str">
        <f>IF(C343&gt;0,(VLOOKUP(C343,'Blnct AR'!$C$2:$D$2255,2,0))," ")</f>
        <v>Milénnium 500471734904 Kz</v>
      </c>
      <c r="E343" s="21" t="s">
        <v>2076</v>
      </c>
      <c r="F343" s="20">
        <v>3000000</v>
      </c>
      <c r="G343" s="20"/>
    </row>
    <row r="344" spans="1:7" s="14" customFormat="1" ht="15" customHeight="1">
      <c r="A344" s="10">
        <v>44180</v>
      </c>
      <c r="B344" s="8" t="s">
        <v>1838</v>
      </c>
      <c r="C344" s="11">
        <v>43106</v>
      </c>
      <c r="D344" s="12" t="str">
        <f>IF(C344&gt;0,(VLOOKUP(C344,'Blnct AR'!$C$2:$D$2255,2,0))," ")</f>
        <v>Banco BIC - 118133685.15.1</v>
      </c>
      <c r="E344" s="21" t="s">
        <v>2076</v>
      </c>
      <c r="F344" s="20"/>
      <c r="G344" s="20">
        <v>9000000</v>
      </c>
    </row>
    <row r="345" spans="1:7" s="14" customFormat="1" ht="15" customHeight="1">
      <c r="A345" s="10">
        <v>44180</v>
      </c>
      <c r="B345" s="8" t="s">
        <v>1838</v>
      </c>
      <c r="C345" s="11">
        <v>43103</v>
      </c>
      <c r="D345" s="12" t="str">
        <f>IF(C345&gt;0,(VLOOKUP(C345,'Blnct AR'!$C$2:$D$2255,2,0))," ")</f>
        <v>Milénnium 500471734904 Kz</v>
      </c>
      <c r="E345" s="21" t="s">
        <v>2076</v>
      </c>
      <c r="F345" s="20">
        <v>9000000</v>
      </c>
      <c r="G345" s="20"/>
    </row>
    <row r="346" spans="1:7" s="14" customFormat="1" ht="15" customHeight="1">
      <c r="A346" s="10">
        <v>44180</v>
      </c>
      <c r="B346" s="8" t="s">
        <v>1838</v>
      </c>
      <c r="C346" s="11">
        <v>43106</v>
      </c>
      <c r="D346" s="12" t="str">
        <f>IF(C346&gt;0,(VLOOKUP(C346,'Blnct AR'!$C$2:$D$2255,2,0))," ")</f>
        <v>Banco BIC - 118133685.15.1</v>
      </c>
      <c r="E346" s="21" t="s">
        <v>2076</v>
      </c>
      <c r="F346" s="20"/>
      <c r="G346" s="20">
        <v>1500000</v>
      </c>
    </row>
    <row r="347" spans="1:7" s="14" customFormat="1" ht="15" customHeight="1">
      <c r="A347" s="10">
        <v>44180</v>
      </c>
      <c r="B347" s="8" t="s">
        <v>1838</v>
      </c>
      <c r="C347" s="11">
        <v>43101</v>
      </c>
      <c r="D347" s="12" t="str">
        <f>IF(C347&gt;0,(VLOOKUP(C347,'Blnct AR'!$C$2:$D$2255,2,0))," ")</f>
        <v>Banco - BFA</v>
      </c>
      <c r="E347" s="21" t="s">
        <v>2076</v>
      </c>
      <c r="F347" s="20">
        <v>1500000</v>
      </c>
      <c r="G347" s="20"/>
    </row>
    <row r="348" spans="1:7" s="14" customFormat="1" ht="15" customHeight="1">
      <c r="A348" s="10">
        <v>44180</v>
      </c>
      <c r="B348" s="8" t="s">
        <v>1838</v>
      </c>
      <c r="C348" s="11">
        <v>43106</v>
      </c>
      <c r="D348" s="12" t="str">
        <f>IF(C348&gt;0,(VLOOKUP(C348,'Blnct AR'!$C$2:$D$2255,2,0))," ")</f>
        <v>Banco BIC - 118133685.15.1</v>
      </c>
      <c r="E348" s="21" t="s">
        <v>2076</v>
      </c>
      <c r="F348" s="20"/>
      <c r="G348" s="20">
        <v>1500000</v>
      </c>
    </row>
    <row r="349" spans="1:7" s="14" customFormat="1" ht="15" customHeight="1">
      <c r="A349" s="10">
        <v>44180</v>
      </c>
      <c r="B349" s="8" t="s">
        <v>1838</v>
      </c>
      <c r="C349" s="11">
        <v>43101</v>
      </c>
      <c r="D349" s="12" t="str">
        <f>IF(C349&gt;0,(VLOOKUP(C349,'Blnct AR'!$C$2:$D$2255,2,0))," ")</f>
        <v>Banco - BFA</v>
      </c>
      <c r="E349" s="21" t="s">
        <v>2076</v>
      </c>
      <c r="F349" s="20">
        <v>1500000</v>
      </c>
      <c r="G349" s="20"/>
    </row>
    <row r="350" spans="1:7" s="14" customFormat="1" ht="15" customHeight="1">
      <c r="A350" s="10">
        <v>44180</v>
      </c>
      <c r="B350" s="8" t="s">
        <v>1838</v>
      </c>
      <c r="C350" s="11">
        <v>43106</v>
      </c>
      <c r="D350" s="12" t="str">
        <f>IF(C350&gt;0,(VLOOKUP(C350,'Blnct AR'!$C$2:$D$2255,2,0))," ")</f>
        <v>Banco BIC - 118133685.15.1</v>
      </c>
      <c r="E350" s="21" t="s">
        <v>2076</v>
      </c>
      <c r="F350" s="20"/>
      <c r="G350" s="20">
        <v>2000000</v>
      </c>
    </row>
    <row r="351" spans="1:7" s="14" customFormat="1" ht="15" customHeight="1">
      <c r="A351" s="10">
        <v>44180</v>
      </c>
      <c r="B351" s="8" t="s">
        <v>1838</v>
      </c>
      <c r="C351" s="11">
        <v>43101</v>
      </c>
      <c r="D351" s="12" t="str">
        <f>IF(C351&gt;0,(VLOOKUP(C351,'Blnct AR'!$C$2:$D$2255,2,0))," ")</f>
        <v>Banco - BFA</v>
      </c>
      <c r="E351" s="21" t="s">
        <v>2076</v>
      </c>
      <c r="F351" s="20">
        <v>2000000</v>
      </c>
      <c r="G351" s="20"/>
    </row>
    <row r="352" spans="1:7" s="14" customFormat="1" ht="15" customHeight="1">
      <c r="A352" s="10"/>
      <c r="B352" s="8"/>
      <c r="C352" s="11"/>
      <c r="D352" s="12" t="str">
        <f>IF(C352&gt;0,(VLOOKUP(C352,'Blnct AR'!$C$2:$D$2255,2,0))," ")</f>
        <v xml:space="preserve"> </v>
      </c>
      <c r="E352" s="21"/>
      <c r="F352" s="20"/>
      <c r="G352" s="20"/>
    </row>
    <row r="353" spans="1:9" s="14" customFormat="1" ht="15" customHeight="1">
      <c r="A353" s="10"/>
      <c r="B353" s="8" t="s">
        <v>2008</v>
      </c>
      <c r="C353" s="11"/>
      <c r="D353" s="12" t="str">
        <f>IF(C353&gt;0,(VLOOKUP(C353,'Blnct AR'!$C$2:$D$2255,2,0))," ")</f>
        <v xml:space="preserve"> </v>
      </c>
      <c r="E353" s="365" t="s">
        <v>1837</v>
      </c>
      <c r="F353" s="366">
        <f>SUM(F289:F304)</f>
        <v>200560394.12</v>
      </c>
      <c r="G353" s="366">
        <f>SUM(G289:G304)</f>
        <v>200560394.12</v>
      </c>
    </row>
    <row r="354" spans="1:9" s="14" customFormat="1" ht="15" customHeight="1">
      <c r="A354" s="10">
        <v>43861</v>
      </c>
      <c r="B354" s="8" t="s">
        <v>1653</v>
      </c>
      <c r="C354" s="11">
        <v>43101</v>
      </c>
      <c r="D354" s="12" t="str">
        <f>IF(C354&gt;0,(VLOOKUP(C354,'Blnct AR'!$C$2:$D$2255,2,0))," ")</f>
        <v>Banco - BFA</v>
      </c>
      <c r="E354" s="21" t="s">
        <v>1907</v>
      </c>
      <c r="F354" s="20"/>
      <c r="G354" s="20">
        <v>162304</v>
      </c>
      <c r="H354" s="368" t="s">
        <v>1839</v>
      </c>
    </row>
    <row r="355" spans="1:9" s="14" customFormat="1" ht="15" customHeight="1">
      <c r="A355" s="10">
        <v>43861</v>
      </c>
      <c r="B355" s="8" t="s">
        <v>1653</v>
      </c>
      <c r="C355" s="11">
        <v>45111</v>
      </c>
      <c r="D355" s="12" t="str">
        <f>IF(C355&gt;0,(VLOOKUP(C355,'Blnct AR'!$C$2:$D$2255,2,0))," ")</f>
        <v>Caixa Geral</v>
      </c>
      <c r="E355" s="21" t="s">
        <v>1907</v>
      </c>
      <c r="F355" s="20">
        <v>162304</v>
      </c>
      <c r="G355" s="20"/>
    </row>
    <row r="356" spans="1:9" s="14" customFormat="1" ht="15" customHeight="1">
      <c r="A356" s="10">
        <v>43861</v>
      </c>
      <c r="B356" s="8" t="s">
        <v>1869</v>
      </c>
      <c r="C356" s="11">
        <v>43101</v>
      </c>
      <c r="D356" s="12" t="str">
        <f>IF(C356&gt;0,(VLOOKUP(C356,'Blnct AR'!$C$2:$D$2255,2,0))," ")</f>
        <v>Banco - BFA</v>
      </c>
      <c r="E356" s="21" t="s">
        <v>1869</v>
      </c>
      <c r="F356" s="20"/>
      <c r="G356" s="20">
        <v>750</v>
      </c>
    </row>
    <row r="357" spans="1:9" s="14" customFormat="1" ht="15" customHeight="1">
      <c r="A357" s="10">
        <v>43861</v>
      </c>
      <c r="B357" s="8" t="s">
        <v>1869</v>
      </c>
      <c r="C357" s="11">
        <v>767801</v>
      </c>
      <c r="D357" s="12" t="str">
        <f>IF(C357&gt;0,(VLOOKUP(C357,'Blnct AR'!$C$2:$D$2255,2,0))," ")</f>
        <v>Despesas Operacionais</v>
      </c>
      <c r="E357" s="21" t="s">
        <v>1869</v>
      </c>
      <c r="F357" s="20">
        <v>750</v>
      </c>
      <c r="G357" s="20"/>
      <c r="H357" s="41"/>
      <c r="I357" s="37"/>
    </row>
    <row r="358" spans="1:9" s="14" customFormat="1" ht="15" customHeight="1">
      <c r="A358" s="10">
        <v>43861</v>
      </c>
      <c r="B358" s="8" t="s">
        <v>1869</v>
      </c>
      <c r="C358" s="11">
        <v>43101</v>
      </c>
      <c r="D358" s="12" t="str">
        <f>IF(C358&gt;0,(VLOOKUP(C358,'Blnct AR'!$C$2:$D$2255,2,0))," ")</f>
        <v>Banco - BFA</v>
      </c>
      <c r="E358" s="21" t="s">
        <v>1732</v>
      </c>
      <c r="F358" s="20"/>
      <c r="G358" s="20">
        <v>105</v>
      </c>
      <c r="I358" s="37"/>
    </row>
    <row r="359" spans="1:9" s="14" customFormat="1" ht="15" customHeight="1">
      <c r="A359" s="10">
        <v>43861</v>
      </c>
      <c r="B359" s="8" t="s">
        <v>1869</v>
      </c>
      <c r="C359" s="11">
        <v>75314</v>
      </c>
      <c r="D359" s="12" t="str">
        <f>IF(C359&gt;0,(VLOOKUP(C359,'Blnct AR'!$C$2:$D$2255,2,0))," ")</f>
        <v>IVA Suportado</v>
      </c>
      <c r="E359" s="21" t="s">
        <v>1732</v>
      </c>
      <c r="F359" s="20">
        <v>105</v>
      </c>
      <c r="G359" s="20"/>
      <c r="I359" s="37"/>
    </row>
    <row r="360" spans="1:9" s="14" customFormat="1" ht="15" customHeight="1">
      <c r="A360" s="10">
        <v>43861</v>
      </c>
      <c r="B360" s="8" t="s">
        <v>1116</v>
      </c>
      <c r="C360" s="11">
        <v>43101</v>
      </c>
      <c r="D360" s="12" t="str">
        <f>IF(C360&gt;0,(VLOOKUP(C360,'Blnct AR'!$C$2:$D$2255,2,0))," ")</f>
        <v>Banco - BFA</v>
      </c>
      <c r="E360" s="21" t="s">
        <v>1908</v>
      </c>
      <c r="F360" s="20"/>
      <c r="G360" s="20">
        <v>160000</v>
      </c>
      <c r="I360" s="37"/>
    </row>
    <row r="361" spans="1:9" s="14" customFormat="1" ht="15" customHeight="1">
      <c r="A361" s="10">
        <v>43861</v>
      </c>
      <c r="B361" s="8" t="s">
        <v>1116</v>
      </c>
      <c r="C361" s="11">
        <v>72221</v>
      </c>
      <c r="D361" s="12" t="str">
        <f>IF(C361&gt;0,(VLOOKUP(C361,'Blnct AR'!$C$2:$D$2255,2,0))," ")</f>
        <v>Ordenados</v>
      </c>
      <c r="E361" s="21" t="s">
        <v>1908</v>
      </c>
      <c r="F361" s="20">
        <v>160000</v>
      </c>
      <c r="G361" s="20"/>
      <c r="I361" s="37"/>
    </row>
    <row r="362" spans="1:9" s="14" customFormat="1" ht="15" customHeight="1">
      <c r="A362" s="10">
        <v>43861</v>
      </c>
      <c r="B362" s="8" t="s">
        <v>132</v>
      </c>
      <c r="C362" s="11">
        <v>43101</v>
      </c>
      <c r="D362" s="12" t="str">
        <f>IF(C362&gt;0,(VLOOKUP(C362,'Blnct AR'!$C$2:$D$2255,2,0))," ")</f>
        <v>Banco - BFA</v>
      </c>
      <c r="E362" s="21" t="s">
        <v>1909</v>
      </c>
      <c r="F362" s="20"/>
      <c r="G362" s="20">
        <v>175153.14</v>
      </c>
      <c r="I362" s="37"/>
    </row>
    <row r="363" spans="1:9" s="14" customFormat="1" ht="15" customHeight="1">
      <c r="A363" s="10">
        <v>43861</v>
      </c>
      <c r="B363" s="8" t="s">
        <v>132</v>
      </c>
      <c r="C363" s="11">
        <v>72522</v>
      </c>
      <c r="D363" s="12" t="str">
        <f>IF(C363&gt;0,(VLOOKUP(C363,'Blnct AR'!$C$2:$D$2255,2,0))," ")</f>
        <v>Produção Seg. Social</v>
      </c>
      <c r="E363" s="21" t="s">
        <v>1909</v>
      </c>
      <c r="F363" s="20">
        <v>175153.14</v>
      </c>
      <c r="G363" s="20"/>
    </row>
    <row r="364" spans="1:9" s="14" customFormat="1" ht="15" customHeight="1">
      <c r="A364" s="10">
        <v>43861</v>
      </c>
      <c r="B364" s="8" t="s">
        <v>1841</v>
      </c>
      <c r="C364" s="11">
        <v>43101</v>
      </c>
      <c r="D364" s="12" t="str">
        <f>IF(C364&gt;0,(VLOOKUP(C364,'Blnct AR'!$C$2:$D$2255,2,0))," ")</f>
        <v>Banco - BFA</v>
      </c>
      <c r="E364" s="21" t="s">
        <v>1842</v>
      </c>
      <c r="F364" s="20"/>
      <c r="G364" s="20">
        <v>18000</v>
      </c>
    </row>
    <row r="365" spans="1:9" s="14" customFormat="1" ht="15" customHeight="1">
      <c r="A365" s="10">
        <v>43861</v>
      </c>
      <c r="B365" s="8" t="s">
        <v>1841</v>
      </c>
      <c r="C365" s="11">
        <v>75211</v>
      </c>
      <c r="D365" s="12" t="str">
        <f>IF(C365&gt;0,(VLOOKUP(C365,'Blnct AR'!$C$2:$D$2255,2,0))," ")</f>
        <v>Água</v>
      </c>
      <c r="E365" s="21" t="s">
        <v>1842</v>
      </c>
      <c r="F365" s="20">
        <v>18000</v>
      </c>
      <c r="G365" s="20"/>
    </row>
    <row r="366" spans="1:9" s="14" customFormat="1" ht="15" customHeight="1">
      <c r="A366" s="10">
        <v>43861</v>
      </c>
      <c r="B366" s="8" t="s">
        <v>1922</v>
      </c>
      <c r="C366" s="11">
        <v>43101</v>
      </c>
      <c r="D366" s="12" t="str">
        <f>IF(C366&gt;0,(VLOOKUP(C366,'Blnct AR'!$C$2:$D$2255,2,0))," ")</f>
        <v>Banco - BFA</v>
      </c>
      <c r="E366" s="21" t="s">
        <v>1911</v>
      </c>
      <c r="F366" s="20"/>
      <c r="G366" s="20">
        <v>77399.839999999997</v>
      </c>
    </row>
    <row r="367" spans="1:9" s="14" customFormat="1" ht="15" customHeight="1">
      <c r="A367" s="10">
        <v>43861</v>
      </c>
      <c r="B367" s="8" t="s">
        <v>1922</v>
      </c>
      <c r="C367" s="11">
        <v>752202</v>
      </c>
      <c r="D367" s="12" t="str">
        <f>IF(C367&gt;0,(VLOOKUP(C367,'Blnct AR'!$C$2:$D$2255,2,0))," ")</f>
        <v>Telefone Móvel / Internet</v>
      </c>
      <c r="E367" s="21" t="s">
        <v>1911</v>
      </c>
      <c r="F367" s="20">
        <v>77399.839999999997</v>
      </c>
      <c r="G367" s="20"/>
    </row>
    <row r="368" spans="1:9" s="14" customFormat="1" ht="15" customHeight="1">
      <c r="A368" s="10">
        <v>43861</v>
      </c>
      <c r="B368" s="8" t="s">
        <v>1921</v>
      </c>
      <c r="C368" s="11">
        <v>43101</v>
      </c>
      <c r="D368" s="12" t="str">
        <f>IF(C368&gt;0,(VLOOKUP(C368,'Blnct AR'!$C$2:$D$2255,2,0))," ")</f>
        <v>Banco - BFA</v>
      </c>
      <c r="E368" s="21" t="s">
        <v>1912</v>
      </c>
      <c r="F368" s="20"/>
      <c r="G368" s="20">
        <v>5999.9</v>
      </c>
    </row>
    <row r="369" spans="1:9" s="14" customFormat="1" ht="15" customHeight="1">
      <c r="A369" s="10">
        <v>43861</v>
      </c>
      <c r="B369" s="8" t="s">
        <v>1921</v>
      </c>
      <c r="C369" s="11">
        <v>75228</v>
      </c>
      <c r="D369" s="12" t="str">
        <f>IF(C369&gt;0,(VLOOKUP(C369,'Blnct AR'!$C$2:$D$2255,2,0))," ")</f>
        <v>Limpeza, higiene e conforto</v>
      </c>
      <c r="E369" s="21" t="s">
        <v>1912</v>
      </c>
      <c r="F369" s="20">
        <v>5999.9</v>
      </c>
      <c r="G369" s="20"/>
      <c r="I369" s="37"/>
    </row>
    <row r="370" spans="1:9" s="14" customFormat="1" ht="15" customHeight="1">
      <c r="A370" s="10">
        <v>43861</v>
      </c>
      <c r="B370" s="8" t="s">
        <v>1915</v>
      </c>
      <c r="C370" s="11">
        <v>43101</v>
      </c>
      <c r="D370" s="12" t="str">
        <f>IF(C370&gt;0,(VLOOKUP(C370,'Blnct AR'!$C$2:$D$2255,2,0))," ")</f>
        <v>Banco - BFA</v>
      </c>
      <c r="E370" s="21" t="s">
        <v>42</v>
      </c>
      <c r="F370" s="20"/>
      <c r="G370" s="20">
        <v>43650</v>
      </c>
      <c r="I370" s="37"/>
    </row>
    <row r="371" spans="1:9" s="14" customFormat="1" ht="15" customHeight="1">
      <c r="A371" s="10">
        <v>43861</v>
      </c>
      <c r="B371" s="8" t="s">
        <v>1915</v>
      </c>
      <c r="C371" s="11">
        <v>75229</v>
      </c>
      <c r="D371" s="12" t="str">
        <f>IF(C371&gt;0,(VLOOKUP(C371,'Blnct AR'!$C$2:$D$2255,2,0))," ")</f>
        <v>Publicidade e propaganda</v>
      </c>
      <c r="E371" s="21" t="s">
        <v>42</v>
      </c>
      <c r="F371" s="20">
        <v>43650</v>
      </c>
      <c r="G371" s="20"/>
      <c r="I371" s="37"/>
    </row>
    <row r="372" spans="1:9" s="14" customFormat="1" ht="15" customHeight="1">
      <c r="A372" s="10">
        <v>43861</v>
      </c>
      <c r="B372" s="8" t="s">
        <v>1916</v>
      </c>
      <c r="C372" s="11">
        <v>43101</v>
      </c>
      <c r="D372" s="12" t="str">
        <f>IF(C372&gt;0,(VLOOKUP(C372,'Blnct AR'!$C$2:$D$2255,2,0))," ")</f>
        <v>Banco - BFA</v>
      </c>
      <c r="E372" s="21" t="s">
        <v>1913</v>
      </c>
      <c r="F372" s="20"/>
      <c r="G372" s="20">
        <v>169200</v>
      </c>
      <c r="I372" s="37"/>
    </row>
    <row r="373" spans="1:9" s="14" customFormat="1" ht="15" customHeight="1">
      <c r="A373" s="10">
        <v>43861</v>
      </c>
      <c r="B373" s="8" t="s">
        <v>1916</v>
      </c>
      <c r="C373" s="11">
        <v>752131</v>
      </c>
      <c r="D373" s="12" t="str">
        <f>IF(C373&gt;0,(VLOOKUP(C373,'Blnct AR'!$C$2:$D$2255,2,0))," ")</f>
        <v>Gasoleo</v>
      </c>
      <c r="E373" s="21" t="s">
        <v>1913</v>
      </c>
      <c r="F373" s="20">
        <v>169200</v>
      </c>
      <c r="G373" s="20"/>
      <c r="I373" s="37"/>
    </row>
    <row r="374" spans="1:9" s="14" customFormat="1" ht="15" customHeight="1">
      <c r="A374" s="10">
        <v>43861</v>
      </c>
      <c r="B374" s="8" t="s">
        <v>1955</v>
      </c>
      <c r="C374" s="11">
        <v>43101</v>
      </c>
      <c r="D374" s="12" t="str">
        <f>IF(C374&gt;0,(VLOOKUP(C374,'Blnct AR'!$C$2:$D$2255,2,0))," ")</f>
        <v>Banco - BFA</v>
      </c>
      <c r="E374" s="21" t="s">
        <v>1914</v>
      </c>
      <c r="F374" s="20"/>
      <c r="G374" s="20">
        <v>17000</v>
      </c>
      <c r="I374" s="37"/>
    </row>
    <row r="375" spans="1:9" s="14" customFormat="1" ht="15" customHeight="1">
      <c r="A375" s="10">
        <v>43861</v>
      </c>
      <c r="B375" s="8" t="s">
        <v>1955</v>
      </c>
      <c r="C375" s="11">
        <v>752132</v>
      </c>
      <c r="D375" s="12" t="str">
        <f>IF(C375&gt;0,(VLOOKUP(C375,'Blnct AR'!$C$2:$D$2255,2,0))," ")</f>
        <v>Gasolina</v>
      </c>
      <c r="E375" s="21" t="s">
        <v>1914</v>
      </c>
      <c r="F375" s="20">
        <v>17000</v>
      </c>
      <c r="G375" s="20"/>
      <c r="I375" s="37"/>
    </row>
    <row r="376" spans="1:9" s="14" customFormat="1" ht="15" customHeight="1">
      <c r="A376" s="10">
        <v>43861</v>
      </c>
      <c r="B376" s="8" t="s">
        <v>1979</v>
      </c>
      <c r="C376" s="11">
        <v>43101</v>
      </c>
      <c r="D376" s="12" t="str">
        <f>IF(C376&gt;0,(VLOOKUP(C376,'Blnct AR'!$C$2:$D$2255,2,0))," ")</f>
        <v>Banco - BFA</v>
      </c>
      <c r="E376" s="21" t="s">
        <v>1917</v>
      </c>
      <c r="F376" s="20"/>
      <c r="G376" s="20">
        <v>376398.3</v>
      </c>
      <c r="I376" s="37"/>
    </row>
    <row r="377" spans="1:9" s="14" customFormat="1" ht="15" customHeight="1">
      <c r="A377" s="10">
        <v>43861</v>
      </c>
      <c r="B377" s="8" t="s">
        <v>1979</v>
      </c>
      <c r="C377" s="11">
        <v>752143</v>
      </c>
      <c r="D377" s="12" t="str">
        <f>IF(C377&gt;0,(VLOOKUP(C377,'Blnct AR'!$C$2:$D$2255,2,0))," ")</f>
        <v>Equipamento básico</v>
      </c>
      <c r="E377" s="21" t="s">
        <v>1917</v>
      </c>
      <c r="F377" s="20">
        <v>376398.3</v>
      </c>
      <c r="G377" s="20"/>
      <c r="I377" s="37"/>
    </row>
    <row r="378" spans="1:9" s="14" customFormat="1" ht="15" customHeight="1">
      <c r="A378" s="10">
        <v>43861</v>
      </c>
      <c r="B378" s="8" t="s">
        <v>1918</v>
      </c>
      <c r="C378" s="11">
        <v>43101</v>
      </c>
      <c r="D378" s="12" t="str">
        <f>IF(C378&gt;0,(VLOOKUP(C378,'Blnct AR'!$C$2:$D$2255,2,0))," ")</f>
        <v>Banco - BFA</v>
      </c>
      <c r="E378" s="21" t="s">
        <v>1876</v>
      </c>
      <c r="F378" s="20"/>
      <c r="G378" s="20">
        <v>46925.31</v>
      </c>
      <c r="I378" s="37"/>
    </row>
    <row r="379" spans="1:9" s="14" customFormat="1" ht="15" customHeight="1">
      <c r="A379" s="10">
        <v>43861</v>
      </c>
      <c r="B379" s="8" t="s">
        <v>1918</v>
      </c>
      <c r="C379" s="11">
        <v>752224</v>
      </c>
      <c r="D379" s="12" t="str">
        <f>IF(C379&gt;0,(VLOOKUP(C379,'Blnct AR'!$C$2:$D$2255,2,0))," ")</f>
        <v>Ramo viaturas</v>
      </c>
      <c r="E379" s="21" t="s">
        <v>1876</v>
      </c>
      <c r="F379" s="20">
        <v>46925.31</v>
      </c>
      <c r="G379" s="20"/>
      <c r="I379" s="37"/>
    </row>
    <row r="380" spans="1:9" s="14" customFormat="1" ht="15" customHeight="1">
      <c r="A380" s="10">
        <v>43861</v>
      </c>
      <c r="B380" s="8" t="s">
        <v>1919</v>
      </c>
      <c r="C380" s="11">
        <v>43101</v>
      </c>
      <c r="D380" s="12" t="str">
        <f>IF(C380&gt;0,(VLOOKUP(C380,'Blnct AR'!$C$2:$D$2255,2,0))," ")</f>
        <v>Banco - BFA</v>
      </c>
      <c r="E380" s="21" t="s">
        <v>1919</v>
      </c>
      <c r="F380" s="20"/>
      <c r="G380" s="20">
        <v>1000000</v>
      </c>
      <c r="I380" s="37"/>
    </row>
    <row r="381" spans="1:9" s="14" customFormat="1" ht="15" customHeight="1">
      <c r="A381" s="10">
        <v>43861</v>
      </c>
      <c r="B381" s="8" t="s">
        <v>1919</v>
      </c>
      <c r="C381" s="11">
        <v>752333</v>
      </c>
      <c r="D381" s="12" t="str">
        <f>IF(C381&gt;0,(VLOOKUP(C381,'Blnct AR'!$C$2:$D$2255,2,0))," ")</f>
        <v>Serviços de Advogados</v>
      </c>
      <c r="E381" s="21" t="s">
        <v>1919</v>
      </c>
      <c r="F381" s="20">
        <v>1000000</v>
      </c>
      <c r="G381" s="20"/>
      <c r="I381" s="37"/>
    </row>
    <row r="382" spans="1:9" s="14" customFormat="1" ht="15" customHeight="1">
      <c r="A382" s="10"/>
      <c r="B382" s="8" t="s">
        <v>2009</v>
      </c>
      <c r="C382" s="11"/>
      <c r="D382" s="12"/>
      <c r="E382" s="21"/>
      <c r="F382" s="20"/>
      <c r="G382" s="20"/>
      <c r="I382" s="37"/>
    </row>
    <row r="383" spans="1:9" s="14" customFormat="1" ht="15" customHeight="1">
      <c r="A383" s="10">
        <v>43861</v>
      </c>
      <c r="B383" s="8" t="s">
        <v>71</v>
      </c>
      <c r="C383" s="11">
        <v>43106</v>
      </c>
      <c r="D383" s="12" t="str">
        <f>IF(C383&gt;0,(VLOOKUP(C383,'Blnct AR'!$C$2:$D$2255,2,0))," ")</f>
        <v>Banco BIC - 118133685.15.1</v>
      </c>
      <c r="E383" s="21" t="s">
        <v>1933</v>
      </c>
      <c r="F383" s="20"/>
      <c r="G383" s="20">
        <v>11300000</v>
      </c>
      <c r="I383" s="37"/>
    </row>
    <row r="384" spans="1:9" s="14" customFormat="1" ht="15" customHeight="1">
      <c r="A384" s="10">
        <v>43861</v>
      </c>
      <c r="B384" s="8" t="s">
        <v>71</v>
      </c>
      <c r="C384" s="11">
        <v>321219</v>
      </c>
      <c r="D384" s="12" t="str">
        <f>IF(C384&gt;0,(VLOOKUP(C384,'Blnct AR'!$C$2:$D$2255,2,0))," ")</f>
        <v>Diversos</v>
      </c>
      <c r="E384" s="21" t="s">
        <v>1933</v>
      </c>
      <c r="F384" s="20">
        <v>11300000</v>
      </c>
      <c r="G384" s="20"/>
      <c r="I384" s="37"/>
    </row>
    <row r="385" spans="1:9" s="372" customFormat="1" ht="15" customHeight="1">
      <c r="A385" s="10">
        <v>43861</v>
      </c>
      <c r="B385" s="8" t="s">
        <v>1932</v>
      </c>
      <c r="C385" s="11">
        <v>43106</v>
      </c>
      <c r="D385" s="12" t="str">
        <f>IF(C385&gt;0,(VLOOKUP(C385,'Blnct AR'!$C$2:$D$2255,2,0))," ")</f>
        <v>Banco BIC - 118133685.15.1</v>
      </c>
      <c r="E385" s="21" t="s">
        <v>1934</v>
      </c>
      <c r="F385" s="20"/>
      <c r="G385" s="20">
        <v>1447175.54</v>
      </c>
      <c r="I385" s="373"/>
    </row>
    <row r="386" spans="1:9" s="14" customFormat="1" ht="15" customHeight="1">
      <c r="A386" s="10">
        <v>43861</v>
      </c>
      <c r="B386" s="8" t="s">
        <v>1932</v>
      </c>
      <c r="C386" s="11">
        <v>7111</v>
      </c>
      <c r="D386" s="12" t="str">
        <f>IF(C386&gt;0,(VLOOKUP(C386,'Blnct AR'!$C$2:$D$2255,2,0))," ")</f>
        <v>Mp - cevc</v>
      </c>
      <c r="E386" s="21" t="s">
        <v>1934</v>
      </c>
      <c r="F386" s="20">
        <v>1447175.54</v>
      </c>
      <c r="G386" s="20"/>
      <c r="I386" s="37"/>
    </row>
    <row r="387" spans="1:9" s="14" customFormat="1" ht="15" customHeight="1">
      <c r="A387" s="10">
        <v>43861</v>
      </c>
      <c r="B387" s="8" t="s">
        <v>2034</v>
      </c>
      <c r="C387" s="11">
        <v>43106</v>
      </c>
      <c r="D387" s="12" t="str">
        <f>IF(C387&gt;0,(VLOOKUP(C387,'Blnct AR'!$C$2:$D$2255,2,0))," ")</f>
        <v>Banco BIC - 118133685.15.1</v>
      </c>
      <c r="E387" s="21" t="s">
        <v>1935</v>
      </c>
      <c r="F387" s="20"/>
      <c r="G387" s="20">
        <v>52346.1</v>
      </c>
      <c r="I387" s="37"/>
    </row>
    <row r="388" spans="1:9" s="14" customFormat="1" ht="15" customHeight="1">
      <c r="A388" s="10">
        <v>43861</v>
      </c>
      <c r="B388" s="8" t="s">
        <v>2034</v>
      </c>
      <c r="C388" s="11">
        <v>752221</v>
      </c>
      <c r="D388" s="12" t="str">
        <f>IF(C388&gt;0,(VLOOKUP(C388,'Blnct AR'!$C$2:$D$2255,2,0))," ")</f>
        <v>Ramo acidente de trabalho</v>
      </c>
      <c r="E388" s="21" t="s">
        <v>1935</v>
      </c>
      <c r="F388" s="20">
        <v>52346.1</v>
      </c>
      <c r="G388" s="20"/>
      <c r="I388" s="37"/>
    </row>
    <row r="389" spans="1:9" s="14" customFormat="1" ht="15" customHeight="1">
      <c r="A389" s="10">
        <v>43861</v>
      </c>
      <c r="B389" s="8" t="s">
        <v>102</v>
      </c>
      <c r="C389" s="11">
        <v>43106</v>
      </c>
      <c r="D389" s="12" t="str">
        <f>IF(C389&gt;0,(VLOOKUP(C389,'Blnct AR'!$C$2:$D$2255,2,0))," ")</f>
        <v>Banco BIC - 118133685.15.1</v>
      </c>
      <c r="E389" s="21" t="s">
        <v>1936</v>
      </c>
      <c r="F389" s="20"/>
      <c r="G389" s="20">
        <v>1500000</v>
      </c>
      <c r="I389" s="37"/>
    </row>
    <row r="390" spans="1:9" s="14" customFormat="1" ht="15" customHeight="1">
      <c r="A390" s="10">
        <v>43861</v>
      </c>
      <c r="B390" s="8" t="s">
        <v>102</v>
      </c>
      <c r="C390" s="11">
        <v>31121100</v>
      </c>
      <c r="D390" s="12" t="str">
        <f>IF(C390&gt;0,(VLOOKUP(C390,'Blnct AR'!$C$2:$D$2255,2,0))," ")</f>
        <v>Motortech serviços</v>
      </c>
      <c r="E390" s="21" t="s">
        <v>1936</v>
      </c>
      <c r="F390" s="20">
        <v>1500000</v>
      </c>
      <c r="G390" s="20"/>
      <c r="I390" s="37"/>
    </row>
    <row r="391" spans="1:9" s="14" customFormat="1" ht="15" customHeight="1">
      <c r="A391" s="10">
        <v>43861</v>
      </c>
      <c r="B391" s="8" t="s">
        <v>1869</v>
      </c>
      <c r="C391" s="11">
        <v>43106</v>
      </c>
      <c r="D391" s="12" t="str">
        <f>IF(C391&gt;0,(VLOOKUP(C391,'Blnct AR'!$C$2:$D$2255,2,0))," ")</f>
        <v>Banco BIC - 118133685.15.1</v>
      </c>
      <c r="E391" s="21" t="s">
        <v>1869</v>
      </c>
      <c r="F391" s="20"/>
      <c r="G391" s="20">
        <v>1200</v>
      </c>
      <c r="I391" s="37"/>
    </row>
    <row r="392" spans="1:9" s="14" customFormat="1" ht="15" customHeight="1">
      <c r="A392" s="10">
        <v>43861</v>
      </c>
      <c r="B392" s="8" t="s">
        <v>1869</v>
      </c>
      <c r="C392" s="11">
        <v>767801</v>
      </c>
      <c r="D392" s="12" t="str">
        <f>IF(C392&gt;0,(VLOOKUP(C392,'Blnct AR'!$C$2:$D$2255,2,0))," ")</f>
        <v>Despesas Operacionais</v>
      </c>
      <c r="E392" s="21" t="s">
        <v>1869</v>
      </c>
      <c r="F392" s="20">
        <v>1200</v>
      </c>
      <c r="G392" s="20"/>
      <c r="I392" s="37"/>
    </row>
    <row r="393" spans="1:9" s="14" customFormat="1" ht="15" customHeight="1">
      <c r="A393" s="10">
        <v>43861</v>
      </c>
      <c r="B393" s="8" t="s">
        <v>1869</v>
      </c>
      <c r="C393" s="11">
        <v>43106</v>
      </c>
      <c r="D393" s="12" t="str">
        <f>IF(C393&gt;0,(VLOOKUP(C393,'Blnct AR'!$C$2:$D$2255,2,0))," ")</f>
        <v>Banco BIC - 118133685.15.1</v>
      </c>
      <c r="E393" s="21" t="s">
        <v>1732</v>
      </c>
      <c r="F393" s="20"/>
      <c r="G393" s="20">
        <v>168</v>
      </c>
      <c r="I393" s="37"/>
    </row>
    <row r="394" spans="1:9" s="14" customFormat="1" ht="15" customHeight="1">
      <c r="A394" s="10">
        <v>43861</v>
      </c>
      <c r="B394" s="8" t="s">
        <v>1869</v>
      </c>
      <c r="C394" s="11">
        <v>75314</v>
      </c>
      <c r="D394" s="12" t="str">
        <f>IF(C394&gt;0,(VLOOKUP(C394,'Blnct AR'!$C$2:$D$2255,2,0))," ")</f>
        <v>IVA Suportado</v>
      </c>
      <c r="E394" s="21" t="s">
        <v>1732</v>
      </c>
      <c r="F394" s="20">
        <v>168</v>
      </c>
      <c r="G394" s="20"/>
      <c r="I394" s="37"/>
    </row>
    <row r="395" spans="1:9" s="14" customFormat="1" ht="15" customHeight="1">
      <c r="A395" s="10">
        <v>43861</v>
      </c>
      <c r="B395" s="8" t="s">
        <v>1976</v>
      </c>
      <c r="C395" s="11">
        <v>43106</v>
      </c>
      <c r="D395" s="12" t="str">
        <f>IF(C395&gt;0,(VLOOKUP(C395,'Blnct AR'!$C$2:$D$2255,2,0))," ")</f>
        <v>Banco BIC - 118133685.15.1</v>
      </c>
      <c r="E395" s="21" t="s">
        <v>1972</v>
      </c>
      <c r="F395" s="20"/>
      <c r="G395" s="20">
        <v>4000000</v>
      </c>
      <c r="I395" s="37"/>
    </row>
    <row r="396" spans="1:9" s="14" customFormat="1" ht="15" customHeight="1">
      <c r="A396" s="10">
        <v>43861</v>
      </c>
      <c r="B396" s="8" t="s">
        <v>1976</v>
      </c>
      <c r="C396" s="11">
        <v>75113</v>
      </c>
      <c r="D396" s="12" t="str">
        <f>IF(C396&gt;0,(VLOOKUP(C396,'Blnct AR'!$C$2:$D$2255,2,0))," ")</f>
        <v>Empreitada B13 Cimaleste</v>
      </c>
      <c r="E396" s="21" t="s">
        <v>1972</v>
      </c>
      <c r="F396" s="20">
        <v>4000000</v>
      </c>
      <c r="G396" s="20"/>
      <c r="I396" s="37"/>
    </row>
    <row r="397" spans="1:9" s="14" customFormat="1" ht="15" customHeight="1">
      <c r="A397" s="10">
        <v>43861</v>
      </c>
      <c r="B397" s="8" t="s">
        <v>1984</v>
      </c>
      <c r="C397" s="11">
        <v>43106</v>
      </c>
      <c r="D397" s="12" t="str">
        <f>IF(C397&gt;0,(VLOOKUP(C397,'Blnct AR'!$C$2:$D$2255,2,0))," ")</f>
        <v>Banco BIC - 118133685.15.1</v>
      </c>
      <c r="E397" s="21" t="s">
        <v>2083</v>
      </c>
      <c r="F397" s="20"/>
      <c r="G397" s="20">
        <v>750265.08</v>
      </c>
      <c r="I397" s="37"/>
    </row>
    <row r="398" spans="1:9" s="14" customFormat="1" ht="15" customHeight="1">
      <c r="A398" s="10">
        <v>43861</v>
      </c>
      <c r="B398" s="8" t="s">
        <v>1984</v>
      </c>
      <c r="C398" s="11">
        <v>752232</v>
      </c>
      <c r="D398" s="12" t="str">
        <f>IF(C398&gt;0,(VLOOKUP(C398,'Blnct AR'!$C$2:$D$2255,2,0))," ")</f>
        <v>Viagens</v>
      </c>
      <c r="E398" s="21" t="s">
        <v>2083</v>
      </c>
      <c r="F398" s="20">
        <v>750265.08</v>
      </c>
      <c r="G398" s="20"/>
      <c r="I398" s="37"/>
    </row>
    <row r="399" spans="1:9" s="14" customFormat="1" ht="15" customHeight="1">
      <c r="A399" s="10">
        <v>43861</v>
      </c>
      <c r="B399" s="8" t="s">
        <v>1984</v>
      </c>
      <c r="C399" s="11">
        <v>43106</v>
      </c>
      <c r="D399" s="12" t="str">
        <f>IF(C399&gt;0,(VLOOKUP(C399,'Blnct AR'!$C$2:$D$2255,2,0))," ")</f>
        <v>Banco BIC - 118133685.15.1</v>
      </c>
      <c r="E399" s="21" t="s">
        <v>2084</v>
      </c>
      <c r="F399" s="20"/>
      <c r="G399" s="20">
        <v>75593</v>
      </c>
      <c r="I399" s="37"/>
    </row>
    <row r="400" spans="1:9" s="14" customFormat="1" ht="15" customHeight="1">
      <c r="A400" s="10">
        <v>43861</v>
      </c>
      <c r="B400" s="8" t="s">
        <v>1984</v>
      </c>
      <c r="C400" s="11">
        <v>752232</v>
      </c>
      <c r="D400" s="12" t="str">
        <f>IF(C400&gt;0,(VLOOKUP(C400,'Blnct AR'!$C$2:$D$2255,2,0))," ")</f>
        <v>Viagens</v>
      </c>
      <c r="E400" s="21" t="s">
        <v>2084</v>
      </c>
      <c r="F400" s="20">
        <v>75593</v>
      </c>
      <c r="G400" s="20"/>
      <c r="I400" s="37"/>
    </row>
    <row r="401" spans="1:9" s="14" customFormat="1" ht="15" customHeight="1">
      <c r="A401" s="10">
        <v>43861</v>
      </c>
      <c r="B401" s="8" t="s">
        <v>1848</v>
      </c>
      <c r="C401" s="11">
        <v>43106</v>
      </c>
      <c r="D401" s="12" t="str">
        <f>IF(C401&gt;0,(VLOOKUP(C401,'Blnct AR'!$C$2:$D$2255,2,0))," ")</f>
        <v>Banco BIC - 118133685.15.1</v>
      </c>
      <c r="E401" s="21" t="s">
        <v>2085</v>
      </c>
      <c r="F401" s="20"/>
      <c r="G401" s="20">
        <v>266475</v>
      </c>
      <c r="I401" s="37"/>
    </row>
    <row r="402" spans="1:9" s="14" customFormat="1" ht="15" customHeight="1">
      <c r="A402" s="10">
        <v>43861</v>
      </c>
      <c r="B402" s="8" t="s">
        <v>1848</v>
      </c>
      <c r="C402" s="11">
        <v>75227</v>
      </c>
      <c r="D402" s="12" t="str">
        <f>IF(C402&gt;0,(VLOOKUP(C402,'Blnct AR'!$C$2:$D$2255,2,0))," ")</f>
        <v>Vigilância e segurança</v>
      </c>
      <c r="E402" s="21" t="s">
        <v>2085</v>
      </c>
      <c r="F402" s="20">
        <v>266475</v>
      </c>
      <c r="G402" s="20"/>
      <c r="I402" s="37"/>
    </row>
    <row r="403" spans="1:9" s="14" customFormat="1" ht="15" customHeight="1">
      <c r="A403" s="10">
        <v>43861</v>
      </c>
      <c r="B403" s="8" t="s">
        <v>1961</v>
      </c>
      <c r="C403" s="11">
        <v>43106</v>
      </c>
      <c r="D403" s="12" t="str">
        <f>IF(C403&gt;0,(VLOOKUP(C403,'Blnct AR'!$C$2:$D$2255,2,0))," ")</f>
        <v>Banco BIC - 118133685.15.1</v>
      </c>
      <c r="E403" s="21" t="s">
        <v>2086</v>
      </c>
      <c r="F403" s="20"/>
      <c r="G403" s="20">
        <v>381680</v>
      </c>
      <c r="I403" s="37"/>
    </row>
    <row r="404" spans="1:9" s="14" customFormat="1" ht="15" customHeight="1">
      <c r="A404" s="10">
        <v>43861</v>
      </c>
      <c r="B404" s="8" t="s">
        <v>1961</v>
      </c>
      <c r="C404" s="11">
        <v>752144</v>
      </c>
      <c r="D404" s="12" t="str">
        <f>IF(C404&gt;0,(VLOOKUP(C404,'Blnct AR'!$C$2:$D$2255,2,0))," ")</f>
        <v>Equipamento de carga e transporte</v>
      </c>
      <c r="E404" s="21" t="s">
        <v>2086</v>
      </c>
      <c r="F404" s="20">
        <v>381680</v>
      </c>
      <c r="G404" s="20"/>
      <c r="I404" s="37"/>
    </row>
    <row r="405" spans="1:9" s="14" customFormat="1" ht="15" customHeight="1">
      <c r="A405" s="10">
        <v>43861</v>
      </c>
      <c r="B405" s="8" t="s">
        <v>63</v>
      </c>
      <c r="C405" s="11">
        <v>43106</v>
      </c>
      <c r="D405" s="12" t="str">
        <f>IF(C405&gt;0,(VLOOKUP(C405,'Blnct AR'!$C$2:$D$2255,2,0))," ")</f>
        <v>Banco BIC - 118133685.15.1</v>
      </c>
      <c r="E405" s="21" t="s">
        <v>2087</v>
      </c>
      <c r="F405" s="20"/>
      <c r="G405" s="20">
        <v>350000</v>
      </c>
      <c r="I405" s="37"/>
    </row>
    <row r="406" spans="1:9" s="14" customFormat="1" ht="15" customHeight="1">
      <c r="A406" s="10">
        <v>43861</v>
      </c>
      <c r="B406" s="8" t="s">
        <v>63</v>
      </c>
      <c r="C406" s="11">
        <v>75231</v>
      </c>
      <c r="D406" s="12" t="str">
        <f>IF(C406&gt;0,(VLOOKUP(C406,'Blnct AR'!$C$2:$D$2255,2,0))," ")</f>
        <v>Serviços contabilisticos</v>
      </c>
      <c r="E406" s="21" t="s">
        <v>2087</v>
      </c>
      <c r="F406" s="20">
        <v>350000</v>
      </c>
      <c r="G406" s="20"/>
      <c r="I406" s="37"/>
    </row>
    <row r="407" spans="1:9" s="14" customFormat="1" ht="15" customHeight="1">
      <c r="A407" s="10">
        <v>43861</v>
      </c>
      <c r="B407" s="8" t="s">
        <v>63</v>
      </c>
      <c r="C407" s="11">
        <v>43106</v>
      </c>
      <c r="D407" s="12" t="str">
        <f>IF(C407&gt;0,(VLOOKUP(C407,'Blnct AR'!$C$2:$D$2255,2,0))," ")</f>
        <v>Banco BIC - 118133685.15.1</v>
      </c>
      <c r="E407" s="21" t="s">
        <v>2000</v>
      </c>
      <c r="F407" s="20"/>
      <c r="G407" s="20">
        <v>425520</v>
      </c>
      <c r="I407" s="37"/>
    </row>
    <row r="408" spans="1:9" s="14" customFormat="1" ht="15" customHeight="1">
      <c r="A408" s="10">
        <v>43861</v>
      </c>
      <c r="B408" s="8" t="s">
        <v>63</v>
      </c>
      <c r="C408" s="11">
        <v>75115</v>
      </c>
      <c r="D408" s="12" t="str">
        <f>IF(C408&gt;0,(VLOOKUP(C408,'Blnct AR'!$C$2:$D$2255,2,0))," ")</f>
        <v>Serviços Primavera</v>
      </c>
      <c r="E408" s="21" t="s">
        <v>2000</v>
      </c>
      <c r="F408" s="20">
        <v>425520</v>
      </c>
      <c r="G408" s="20"/>
      <c r="I408" s="37"/>
    </row>
    <row r="409" spans="1:9" s="14" customFormat="1" ht="15" customHeight="1">
      <c r="A409" s="10">
        <v>43861</v>
      </c>
      <c r="B409" s="8" t="s">
        <v>1409</v>
      </c>
      <c r="C409" s="11">
        <v>43106</v>
      </c>
      <c r="D409" s="12" t="str">
        <f>IF(C409&gt;0,(VLOOKUP(C409,'Blnct AR'!$C$2:$D$2255,2,0))," ")</f>
        <v>Banco BIC - 118133685.15.1</v>
      </c>
      <c r="E409" s="21" t="s">
        <v>135</v>
      </c>
      <c r="F409" s="20"/>
      <c r="G409" s="20">
        <v>198572</v>
      </c>
      <c r="I409" s="37"/>
    </row>
    <row r="410" spans="1:9" s="14" customFormat="1" ht="15" customHeight="1">
      <c r="A410" s="10">
        <v>43861</v>
      </c>
      <c r="B410" s="8" t="s">
        <v>1409</v>
      </c>
      <c r="C410" s="11">
        <v>3431</v>
      </c>
      <c r="D410" s="12" t="str">
        <f>IF(C410&gt;0,(VLOOKUP(C410,'Blnct AR'!$C$2:$D$2255,2,0))," ")</f>
        <v>IRT dependentes</v>
      </c>
      <c r="E410" s="21" t="s">
        <v>135</v>
      </c>
      <c r="F410" s="20">
        <v>198572</v>
      </c>
      <c r="G410" s="20"/>
      <c r="I410" s="37"/>
    </row>
    <row r="411" spans="1:9" s="14" customFormat="1" ht="15" customHeight="1">
      <c r="A411" s="10">
        <v>43861</v>
      </c>
      <c r="B411" s="8" t="s">
        <v>1409</v>
      </c>
      <c r="C411" s="11">
        <v>43106</v>
      </c>
      <c r="D411" s="12" t="str">
        <f>IF(C411&gt;0,(VLOOKUP(C411,'Blnct AR'!$C$2:$D$2255,2,0))," ")</f>
        <v>Banco BIC - 118133685.15.1</v>
      </c>
      <c r="E411" s="21" t="s">
        <v>1964</v>
      </c>
      <c r="F411" s="20"/>
      <c r="G411" s="20">
        <v>114270</v>
      </c>
      <c r="I411" s="37"/>
    </row>
    <row r="412" spans="1:9" s="14" customFormat="1" ht="15" customHeight="1">
      <c r="A412" s="10">
        <v>43861</v>
      </c>
      <c r="B412" s="8" t="s">
        <v>1409</v>
      </c>
      <c r="C412" s="11">
        <v>75318</v>
      </c>
      <c r="D412" s="12" t="str">
        <f>IF(C412&gt;0,(VLOOKUP(C412,'Blnct AR'!$C$2:$D$2255,2,0))," ")</f>
        <v>Lei 19/14 Rf 6,5%</v>
      </c>
      <c r="E412" s="21" t="s">
        <v>1964</v>
      </c>
      <c r="F412" s="20">
        <v>114270</v>
      </c>
      <c r="G412" s="20"/>
      <c r="I412" s="37"/>
    </row>
    <row r="413" spans="1:9" s="14" customFormat="1" ht="15" customHeight="1">
      <c r="A413" s="10">
        <v>43861</v>
      </c>
      <c r="B413" s="8" t="s">
        <v>1409</v>
      </c>
      <c r="C413" s="11">
        <v>43106</v>
      </c>
      <c r="D413" s="12" t="str">
        <f>IF(C413&gt;0,(VLOOKUP(C413,'Blnct AR'!$C$2:$D$2255,2,0))," ")</f>
        <v>Banco BIC - 118133685.15.1</v>
      </c>
      <c r="E413" s="21" t="s">
        <v>1965</v>
      </c>
      <c r="F413" s="20"/>
      <c r="G413" s="20">
        <v>52500</v>
      </c>
      <c r="I413" s="37"/>
    </row>
    <row r="414" spans="1:9" s="14" customFormat="1" ht="15" customHeight="1">
      <c r="A414" s="10">
        <v>43861</v>
      </c>
      <c r="B414" s="8" t="s">
        <v>1409</v>
      </c>
      <c r="C414" s="11">
        <v>75317</v>
      </c>
      <c r="D414" s="12" t="str">
        <f>IF(C414&gt;0,(VLOOKUP(C414,'Blnct AR'!$C$2:$D$2255,2,0))," ")</f>
        <v>IPU</v>
      </c>
      <c r="E414" s="21" t="s">
        <v>1965</v>
      </c>
      <c r="F414" s="20">
        <v>52500</v>
      </c>
      <c r="G414" s="20"/>
      <c r="I414" s="37"/>
    </row>
    <row r="415" spans="1:9" s="14" customFormat="1" ht="15" customHeight="1">
      <c r="A415" s="10">
        <v>43861</v>
      </c>
      <c r="B415" s="8"/>
      <c r="C415" s="11"/>
      <c r="D415" s="12" t="str">
        <f>IF(C415&gt;0,(VLOOKUP(C415,'Blnct AR'!$C$2:$D$2255,2,0))," ")</f>
        <v xml:space="preserve"> </v>
      </c>
      <c r="E415" s="21"/>
      <c r="F415" s="20"/>
      <c r="G415" s="20"/>
      <c r="I415" s="37"/>
    </row>
    <row r="416" spans="1:9" s="14" customFormat="1" ht="15" customHeight="1">
      <c r="A416" s="10">
        <v>43861</v>
      </c>
      <c r="B416" s="8"/>
      <c r="C416" s="11"/>
      <c r="D416" s="12" t="str">
        <f>IF(C416&gt;0,(VLOOKUP(C416,'Blnct AR'!$C$2:$D$2255,2,0))," ")</f>
        <v xml:space="preserve"> </v>
      </c>
      <c r="E416" s="21"/>
      <c r="F416" s="20"/>
      <c r="G416" s="20"/>
      <c r="I416" s="37"/>
    </row>
    <row r="417" spans="1:9" s="14" customFormat="1" ht="15" customHeight="1">
      <c r="A417" s="10">
        <v>43861</v>
      </c>
      <c r="B417" s="8"/>
      <c r="C417" s="11"/>
      <c r="D417" s="12" t="str">
        <f>IF(C417&gt;0,(VLOOKUP(C417,'Blnct AR'!$C$2:$D$2255,2,0))," ")</f>
        <v xml:space="preserve"> </v>
      </c>
      <c r="E417" s="21"/>
      <c r="F417" s="20"/>
      <c r="G417" s="20"/>
      <c r="I417" s="37"/>
    </row>
    <row r="418" spans="1:9" s="14" customFormat="1" ht="15" customHeight="1">
      <c r="A418" s="10">
        <v>43861</v>
      </c>
      <c r="B418" s="8"/>
      <c r="C418" s="11"/>
      <c r="D418" s="12" t="str">
        <f>IF(C418&gt;0,(VLOOKUP(C418,'Blnct AR'!$C$2:$D$2255,2,0))," ")</f>
        <v xml:space="preserve"> </v>
      </c>
      <c r="E418" s="21"/>
      <c r="F418" s="20"/>
      <c r="G418" s="20"/>
      <c r="I418" s="37"/>
    </row>
    <row r="419" spans="1:9" s="14" customFormat="1" ht="15" customHeight="1">
      <c r="A419" s="10"/>
      <c r="B419" s="8" t="s">
        <v>2010</v>
      </c>
      <c r="C419" s="11"/>
      <c r="D419" s="12" t="str">
        <f>IF(C419&gt;0,(VLOOKUP(C419,'Blnct AR'!$C$2:$D$2255,2,0))," ")</f>
        <v xml:space="preserve"> </v>
      </c>
      <c r="E419" s="21"/>
      <c r="F419" s="20"/>
      <c r="G419" s="20"/>
      <c r="I419" s="37"/>
    </row>
    <row r="420" spans="1:9" s="14" customFormat="1" ht="15" customHeight="1">
      <c r="A420" s="10">
        <v>43861</v>
      </c>
      <c r="B420" s="8" t="s">
        <v>1869</v>
      </c>
      <c r="C420" s="11">
        <v>43103</v>
      </c>
      <c r="D420" s="12" t="str">
        <f>IF(C420&gt;0,(VLOOKUP(C420,'Blnct AR'!$C$2:$D$2255,2,0))," ")</f>
        <v>Milénnium 500471734904 Kz</v>
      </c>
      <c r="E420" s="21" t="s">
        <v>1869</v>
      </c>
      <c r="F420" s="20"/>
      <c r="G420" s="20">
        <v>600</v>
      </c>
      <c r="I420" s="37"/>
    </row>
    <row r="421" spans="1:9" s="14" customFormat="1" ht="15" customHeight="1">
      <c r="A421" s="10">
        <v>43861</v>
      </c>
      <c r="B421" s="8" t="s">
        <v>1869</v>
      </c>
      <c r="C421" s="11">
        <v>767801</v>
      </c>
      <c r="D421" s="12" t="str">
        <f>IF(C421&gt;0,(VLOOKUP(C421,'Blnct AR'!$C$2:$D$2255,2,0))," ")</f>
        <v>Despesas Operacionais</v>
      </c>
      <c r="E421" s="21" t="s">
        <v>1869</v>
      </c>
      <c r="F421" s="20">
        <v>600</v>
      </c>
      <c r="G421" s="20"/>
      <c r="I421" s="37"/>
    </row>
    <row r="422" spans="1:9" s="14" customFormat="1" ht="15" customHeight="1">
      <c r="A422" s="10">
        <v>43861</v>
      </c>
      <c r="B422" s="8" t="s">
        <v>1680</v>
      </c>
      <c r="C422" s="11">
        <v>43103</v>
      </c>
      <c r="D422" s="12" t="str">
        <f>IF(C422&gt;0,(VLOOKUP(C422,'Blnct AR'!$C$2:$D$2255,2,0))," ")</f>
        <v>Milénnium 500471734904 Kz</v>
      </c>
      <c r="E422" s="21" t="s">
        <v>1973</v>
      </c>
      <c r="F422" s="20"/>
      <c r="G422" s="20">
        <v>87333.99</v>
      </c>
      <c r="I422" s="37"/>
    </row>
    <row r="423" spans="1:9" s="14" customFormat="1" ht="15" customHeight="1">
      <c r="A423" s="10">
        <v>43861</v>
      </c>
      <c r="B423" s="8" t="s">
        <v>1680</v>
      </c>
      <c r="C423" s="11">
        <v>2211</v>
      </c>
      <c r="D423" s="12" t="str">
        <f>IF(C423&gt;0,(VLOOKUP(C423,'Blnct AR'!$C$2:$D$2255,2,0))," ")</f>
        <v>Mp-Existências</v>
      </c>
      <c r="E423" s="21" t="s">
        <v>1973</v>
      </c>
      <c r="F423" s="20">
        <v>87333.99</v>
      </c>
      <c r="G423" s="20"/>
      <c r="I423" s="37"/>
    </row>
    <row r="424" spans="1:9" s="14" customFormat="1" ht="15" customHeight="1">
      <c r="A424" s="10">
        <v>43861</v>
      </c>
      <c r="B424" s="8" t="s">
        <v>1653</v>
      </c>
      <c r="C424" s="11">
        <v>43103</v>
      </c>
      <c r="D424" s="12" t="str">
        <f>IF(C424&gt;0,(VLOOKUP(C424,'Blnct AR'!$C$2:$D$2255,2,0))," ")</f>
        <v>Milénnium 500471734904 Kz</v>
      </c>
      <c r="E424" s="21" t="s">
        <v>1907</v>
      </c>
      <c r="F424" s="20"/>
      <c r="G424" s="20">
        <v>1700000</v>
      </c>
      <c r="I424" s="37"/>
    </row>
    <row r="425" spans="1:9" s="14" customFormat="1" ht="15" customHeight="1">
      <c r="A425" s="10">
        <v>43861</v>
      </c>
      <c r="B425" s="8" t="s">
        <v>1653</v>
      </c>
      <c r="C425" s="11">
        <v>45111</v>
      </c>
      <c r="D425" s="12" t="str">
        <f>IF(C425&gt;0,(VLOOKUP(C425,'Blnct AR'!$C$2:$D$2255,2,0))," ")</f>
        <v>Caixa Geral</v>
      </c>
      <c r="E425" s="21" t="s">
        <v>1907</v>
      </c>
      <c r="F425" s="20">
        <v>1700000</v>
      </c>
      <c r="G425" s="20"/>
      <c r="I425" s="37"/>
    </row>
    <row r="426" spans="1:9" s="14" customFormat="1" ht="15" customHeight="1">
      <c r="A426" s="10">
        <v>43861</v>
      </c>
      <c r="B426" s="8" t="s">
        <v>1932</v>
      </c>
      <c r="C426" s="11">
        <v>43103</v>
      </c>
      <c r="D426" s="12" t="str">
        <f>IF(C426&gt;0,(VLOOKUP(C426,'Blnct AR'!$C$2:$D$2255,2,0))," ")</f>
        <v>Milénnium 500471734904 Kz</v>
      </c>
      <c r="E426" s="21" t="s">
        <v>2060</v>
      </c>
      <c r="F426" s="20"/>
      <c r="G426" s="20">
        <v>929731.05999999994</v>
      </c>
      <c r="I426" s="37"/>
    </row>
    <row r="427" spans="1:9" s="14" customFormat="1" ht="15" customHeight="1">
      <c r="A427" s="10">
        <v>43861</v>
      </c>
      <c r="B427" s="8" t="s">
        <v>1932</v>
      </c>
      <c r="C427" s="11">
        <v>7111</v>
      </c>
      <c r="D427" s="12" t="str">
        <f>IF(C427&gt;0,(VLOOKUP(C427,'Blnct AR'!$C$2:$D$2255,2,0))," ")</f>
        <v>Mp - cevc</v>
      </c>
      <c r="E427" s="21" t="s">
        <v>2060</v>
      </c>
      <c r="F427" s="20">
        <v>929731.05999999994</v>
      </c>
      <c r="G427" s="20"/>
      <c r="I427" s="37"/>
    </row>
    <row r="428" spans="1:9" s="14" customFormat="1" ht="15" customHeight="1">
      <c r="A428" s="10">
        <v>43861</v>
      </c>
      <c r="B428" s="8" t="s">
        <v>1974</v>
      </c>
      <c r="C428" s="11">
        <v>43103</v>
      </c>
      <c r="D428" s="12" t="str">
        <f>IF(C428&gt;0,(VLOOKUP(C428,'Blnct AR'!$C$2:$D$2255,2,0))," ")</f>
        <v>Milénnium 500471734904 Kz</v>
      </c>
      <c r="E428" s="21" t="s">
        <v>1975</v>
      </c>
      <c r="F428" s="20"/>
      <c r="G428" s="20">
        <v>1976</v>
      </c>
      <c r="I428" s="37"/>
    </row>
    <row r="429" spans="1:9" s="14" customFormat="1" ht="15" customHeight="1">
      <c r="A429" s="10">
        <v>43861</v>
      </c>
      <c r="B429" s="8" t="s">
        <v>1974</v>
      </c>
      <c r="C429" s="11">
        <v>728214</v>
      </c>
      <c r="D429" s="12" t="str">
        <f>IF(C429&gt;0,(VLOOKUP(C429,'Blnct AR'!$C$2:$D$2255,2,0))," ")</f>
        <v>Despesas C/ Vistos e Reg. Criminal</v>
      </c>
      <c r="E429" s="21" t="s">
        <v>1975</v>
      </c>
      <c r="F429" s="20">
        <v>1976</v>
      </c>
      <c r="G429" s="20"/>
      <c r="I429" s="37"/>
    </row>
    <row r="430" spans="1:9" s="14" customFormat="1" ht="15" customHeight="1">
      <c r="A430" s="10">
        <v>43861</v>
      </c>
      <c r="B430" s="8" t="s">
        <v>1844</v>
      </c>
      <c r="C430" s="11">
        <v>43103</v>
      </c>
      <c r="D430" s="12" t="str">
        <f>IF(C430&gt;0,(VLOOKUP(C430,'Blnct AR'!$C$2:$D$2255,2,0))," ")</f>
        <v>Milénnium 500471734904 Kz</v>
      </c>
      <c r="E430" s="21" t="s">
        <v>1947</v>
      </c>
      <c r="F430" s="20"/>
      <c r="G430" s="20">
        <v>339188.35000000003</v>
      </c>
      <c r="I430" s="37"/>
    </row>
    <row r="431" spans="1:9" s="14" customFormat="1" ht="15" customHeight="1">
      <c r="A431" s="10">
        <v>43861</v>
      </c>
      <c r="B431" s="8" t="s">
        <v>1844</v>
      </c>
      <c r="C431" s="11">
        <v>7522122</v>
      </c>
      <c r="D431" s="12" t="str">
        <f>IF(C431&gt;0,(VLOOKUP(C431,'Blnct AR'!$C$2:$D$2255,2,0))," ")</f>
        <v>Aluguer de Viatura</v>
      </c>
      <c r="E431" s="21" t="s">
        <v>1947</v>
      </c>
      <c r="F431" s="20">
        <v>339188.35000000003</v>
      </c>
      <c r="G431" s="20"/>
      <c r="I431" s="37"/>
    </row>
    <row r="432" spans="1:9" s="14" customFormat="1" ht="15" customHeight="1">
      <c r="A432" s="10">
        <v>43861</v>
      </c>
      <c r="B432" s="8" t="s">
        <v>1116</v>
      </c>
      <c r="C432" s="11">
        <v>43103</v>
      </c>
      <c r="D432" s="12" t="str">
        <f>IF(C432&gt;0,(VLOOKUP(C432,'Blnct AR'!$C$2:$D$2255,2,0))," ")</f>
        <v>Milénnium 500471734904 Kz</v>
      </c>
      <c r="E432" s="21" t="s">
        <v>1938</v>
      </c>
      <c r="F432" s="20"/>
      <c r="G432" s="20">
        <v>1547340.5</v>
      </c>
      <c r="I432" s="37"/>
    </row>
    <row r="433" spans="1:9" s="14" customFormat="1" ht="15" customHeight="1">
      <c r="A433" s="10">
        <v>43861</v>
      </c>
      <c r="B433" s="8" t="s">
        <v>1116</v>
      </c>
      <c r="C433" s="11">
        <v>72221</v>
      </c>
      <c r="D433" s="12" t="str">
        <f>IF(C433&gt;0,(VLOOKUP(C433,'Blnct AR'!$C$2:$D$2255,2,0))," ")</f>
        <v>Ordenados</v>
      </c>
      <c r="E433" s="21" t="s">
        <v>1938</v>
      </c>
      <c r="F433" s="20">
        <v>1547340.5</v>
      </c>
      <c r="G433" s="20"/>
      <c r="I433" s="37"/>
    </row>
    <row r="434" spans="1:9" s="14" customFormat="1" ht="15" customHeight="1">
      <c r="A434" s="10">
        <v>43861</v>
      </c>
      <c r="B434" s="8" t="s">
        <v>1976</v>
      </c>
      <c r="C434" s="11">
        <v>43103</v>
      </c>
      <c r="D434" s="12" t="str">
        <f>IF(C434&gt;0,(VLOOKUP(C434,'Blnct AR'!$C$2:$D$2255,2,0))," ")</f>
        <v>Milénnium 500471734904 Kz</v>
      </c>
      <c r="E434" s="21" t="s">
        <v>1972</v>
      </c>
      <c r="F434" s="20"/>
      <c r="G434" s="20">
        <v>10132548</v>
      </c>
      <c r="I434" s="37"/>
    </row>
    <row r="435" spans="1:9" s="14" customFormat="1" ht="15" customHeight="1">
      <c r="A435" s="10">
        <v>43861</v>
      </c>
      <c r="B435" s="8" t="s">
        <v>1976</v>
      </c>
      <c r="C435" s="11">
        <v>75113</v>
      </c>
      <c r="D435" s="12" t="str">
        <f>IF(C435&gt;0,(VLOOKUP(C435,'Blnct AR'!$C$2:$D$2255,2,0))," ")</f>
        <v>Empreitada B13 Cimaleste</v>
      </c>
      <c r="E435" s="21" t="s">
        <v>1972</v>
      </c>
      <c r="F435" s="20">
        <v>7000000</v>
      </c>
      <c r="G435" s="20"/>
      <c r="I435" s="37"/>
    </row>
    <row r="436" spans="1:9" s="14" customFormat="1" ht="15" customHeight="1">
      <c r="A436" s="10">
        <v>43861</v>
      </c>
      <c r="B436" s="8" t="s">
        <v>1976</v>
      </c>
      <c r="C436" s="11">
        <v>75113</v>
      </c>
      <c r="D436" s="12" t="str">
        <f>IF(C436&gt;0,(VLOOKUP(C436,'Blnct AR'!$C$2:$D$2255,2,0))," ")</f>
        <v>Empreitada B13 Cimaleste</v>
      </c>
      <c r="E436" s="21" t="s">
        <v>1977</v>
      </c>
      <c r="F436" s="20">
        <v>3132548</v>
      </c>
      <c r="G436" s="20"/>
      <c r="I436" s="37"/>
    </row>
    <row r="437" spans="1:9" s="14" customFormat="1" ht="15" customHeight="1">
      <c r="A437" s="10">
        <v>43861</v>
      </c>
      <c r="B437" s="8" t="s">
        <v>1928</v>
      </c>
      <c r="C437" s="11">
        <v>43103</v>
      </c>
      <c r="D437" s="12" t="str">
        <f>IF(C437&gt;0,(VLOOKUP(C437,'Blnct AR'!$C$2:$D$2255,2,0))," ")</f>
        <v>Milénnium 500471734904 Kz</v>
      </c>
      <c r="E437" s="21" t="s">
        <v>1978</v>
      </c>
      <c r="F437" s="20"/>
      <c r="G437" s="20">
        <v>117500</v>
      </c>
      <c r="I437" s="37"/>
    </row>
    <row r="438" spans="1:9" s="14" customFormat="1" ht="15" customHeight="1">
      <c r="A438" s="10">
        <v>43861</v>
      </c>
      <c r="B438" s="8" t="s">
        <v>1928</v>
      </c>
      <c r="C438" s="11">
        <v>75215</v>
      </c>
      <c r="D438" s="12" t="str">
        <f>IF(C438&gt;0,(VLOOKUP(C438,'Blnct AR'!$C$2:$D$2255,2,0))," ")</f>
        <v>Material protecção, seg.e conforto</v>
      </c>
      <c r="E438" s="21" t="s">
        <v>1978</v>
      </c>
      <c r="F438" s="20">
        <v>117500</v>
      </c>
      <c r="G438" s="20"/>
      <c r="I438" s="37"/>
    </row>
    <row r="439" spans="1:9" s="14" customFormat="1" ht="15" customHeight="1">
      <c r="A439" s="10">
        <v>43861</v>
      </c>
      <c r="B439" s="8" t="s">
        <v>1949</v>
      </c>
      <c r="C439" s="11">
        <v>43103</v>
      </c>
      <c r="D439" s="12" t="str">
        <f>IF(C439&gt;0,(VLOOKUP(C439,'Blnct AR'!$C$2:$D$2255,2,0))," ")</f>
        <v>Milénnium 500471734904 Kz</v>
      </c>
      <c r="E439" s="21" t="s">
        <v>43</v>
      </c>
      <c r="F439" s="20"/>
      <c r="G439" s="20">
        <v>117384.95999999999</v>
      </c>
      <c r="I439" s="37"/>
    </row>
    <row r="440" spans="1:9" s="14" customFormat="1" ht="15" customHeight="1">
      <c r="A440" s="10">
        <v>43861</v>
      </c>
      <c r="B440" s="8" t="s">
        <v>1949</v>
      </c>
      <c r="C440" s="11">
        <v>75216</v>
      </c>
      <c r="D440" s="12" t="str">
        <f>IF(C440&gt;0,(VLOOKUP(C440,'Blnct AR'!$C$2:$D$2255,2,0))," ")</f>
        <v>Ferrament.e utensílios desg.rápido</v>
      </c>
      <c r="E440" s="21" t="s">
        <v>43</v>
      </c>
      <c r="F440" s="20">
        <v>117384.95999999999</v>
      </c>
      <c r="G440" s="20"/>
      <c r="I440" s="37"/>
    </row>
    <row r="441" spans="1:9" s="14" customFormat="1" ht="15" customHeight="1">
      <c r="A441" s="10">
        <v>43861</v>
      </c>
      <c r="B441" s="8" t="s">
        <v>1981</v>
      </c>
      <c r="C441" s="11">
        <v>43103</v>
      </c>
      <c r="D441" s="12" t="str">
        <f>IF(C441&gt;0,(VLOOKUP(C441,'Blnct AR'!$C$2:$D$2255,2,0))," ")</f>
        <v>Milénnium 500471734904 Kz</v>
      </c>
      <c r="E441" s="21" t="s">
        <v>1980</v>
      </c>
      <c r="F441" s="20"/>
      <c r="G441" s="20">
        <v>428157.75</v>
      </c>
      <c r="I441" s="37"/>
    </row>
    <row r="442" spans="1:9" s="14" customFormat="1" ht="15" customHeight="1">
      <c r="A442" s="10">
        <v>43861</v>
      </c>
      <c r="B442" s="8" t="s">
        <v>1981</v>
      </c>
      <c r="C442" s="11">
        <v>1151</v>
      </c>
      <c r="D442" s="12" t="str">
        <f>IF(C442&gt;0,(VLOOKUP(C442,'Blnct AR'!$C$2:$D$2255,2,0))," ")</f>
        <v>Equipamento informatico</v>
      </c>
      <c r="E442" s="21" t="s">
        <v>1980</v>
      </c>
      <c r="F442" s="20">
        <v>428157.75</v>
      </c>
      <c r="G442" s="20"/>
      <c r="I442" s="37"/>
    </row>
    <row r="443" spans="1:9" s="14" customFormat="1" ht="15" customHeight="1">
      <c r="A443" s="10">
        <v>43861</v>
      </c>
      <c r="B443" s="8" t="s">
        <v>59</v>
      </c>
      <c r="C443" s="11">
        <v>43103</v>
      </c>
      <c r="D443" s="12" t="str">
        <f>IF(C443&gt;0,(VLOOKUP(C443,'Blnct AR'!$C$2:$D$2255,2,0))," ")</f>
        <v>Milénnium 500471734904 Kz</v>
      </c>
      <c r="E443" s="21" t="s">
        <v>1982</v>
      </c>
      <c r="F443" s="20"/>
      <c r="G443" s="20">
        <v>67130.12</v>
      </c>
      <c r="I443" s="37"/>
    </row>
    <row r="444" spans="1:9" s="14" customFormat="1" ht="15" customHeight="1">
      <c r="A444" s="10">
        <v>43861</v>
      </c>
      <c r="B444" s="8" t="s">
        <v>59</v>
      </c>
      <c r="C444" s="11">
        <v>75217</v>
      </c>
      <c r="D444" s="12" t="str">
        <f>IF(C444&gt;0,(VLOOKUP(C444,'Blnct AR'!$C$2:$D$2255,2,0))," ")</f>
        <v>Material de escritório</v>
      </c>
      <c r="E444" s="21" t="s">
        <v>1982</v>
      </c>
      <c r="F444" s="20">
        <v>67130.12</v>
      </c>
      <c r="G444" s="20"/>
      <c r="I444" s="37"/>
    </row>
    <row r="445" spans="1:9" s="14" customFormat="1" ht="15" customHeight="1">
      <c r="A445" s="10">
        <v>43861</v>
      </c>
      <c r="B445" s="8" t="s">
        <v>1922</v>
      </c>
      <c r="C445" s="11">
        <v>43103</v>
      </c>
      <c r="D445" s="12" t="str">
        <f>IF(C445&gt;0,(VLOOKUP(C445,'Blnct AR'!$C$2:$D$2255,2,0))," ")</f>
        <v>Milénnium 500471734904 Kz</v>
      </c>
      <c r="E445" s="21" t="s">
        <v>1983</v>
      </c>
      <c r="F445" s="20"/>
      <c r="G445" s="20">
        <v>66000</v>
      </c>
      <c r="I445" s="37"/>
    </row>
    <row r="446" spans="1:9" s="14" customFormat="1" ht="15" customHeight="1">
      <c r="A446" s="10">
        <v>43861</v>
      </c>
      <c r="B446" s="8" t="s">
        <v>1922</v>
      </c>
      <c r="C446" s="11">
        <v>752202</v>
      </c>
      <c r="D446" s="12" t="str">
        <f>IF(C446&gt;0,(VLOOKUP(C446,'Blnct AR'!$C$2:$D$2255,2,0))," ")</f>
        <v>Telefone Móvel / Internet</v>
      </c>
      <c r="E446" s="21" t="s">
        <v>1983</v>
      </c>
      <c r="F446" s="20">
        <v>66000</v>
      </c>
      <c r="G446" s="20"/>
      <c r="I446" s="37"/>
    </row>
    <row r="447" spans="1:9" s="14" customFormat="1" ht="15" customHeight="1">
      <c r="A447" s="10">
        <v>43861</v>
      </c>
      <c r="B447" s="8" t="s">
        <v>1984</v>
      </c>
      <c r="C447" s="11">
        <v>43103</v>
      </c>
      <c r="D447" s="12" t="str">
        <f>IF(C447&gt;0,(VLOOKUP(C447,'Blnct AR'!$C$2:$D$2255,2,0))," ")</f>
        <v>Milénnium 500471734904 Kz</v>
      </c>
      <c r="E447" s="21" t="s">
        <v>1951</v>
      </c>
      <c r="F447" s="20"/>
      <c r="G447" s="20">
        <v>194900</v>
      </c>
      <c r="I447" s="37"/>
    </row>
    <row r="448" spans="1:9" s="14" customFormat="1" ht="15" customHeight="1">
      <c r="A448" s="10">
        <v>43861</v>
      </c>
      <c r="B448" s="8" t="s">
        <v>1984</v>
      </c>
      <c r="C448" s="11">
        <v>752231</v>
      </c>
      <c r="D448" s="12" t="str">
        <f>IF(C448&gt;0,(VLOOKUP(C448,'Blnct AR'!$C$2:$D$2255,2,0))," ")</f>
        <v>Refeições e estadas</v>
      </c>
      <c r="E448" s="21" t="s">
        <v>1951</v>
      </c>
      <c r="F448" s="20">
        <v>194900</v>
      </c>
      <c r="G448" s="20"/>
      <c r="I448" s="37"/>
    </row>
    <row r="449" spans="1:9" s="14" customFormat="1" ht="15" customHeight="1">
      <c r="A449" s="10">
        <v>43861</v>
      </c>
      <c r="B449" s="8" t="s">
        <v>41</v>
      </c>
      <c r="C449" s="11">
        <v>43103</v>
      </c>
      <c r="D449" s="12" t="str">
        <f>IF(C449&gt;0,(VLOOKUP(C449,'Blnct AR'!$C$2:$D$2255,2,0))," ")</f>
        <v>Milénnium 500471734904 Kz</v>
      </c>
      <c r="E449" s="21" t="s">
        <v>1985</v>
      </c>
      <c r="F449" s="20"/>
      <c r="G449" s="20">
        <v>31400</v>
      </c>
      <c r="I449" s="37"/>
    </row>
    <row r="450" spans="1:9" s="14" customFormat="1" ht="15" customHeight="1">
      <c r="A450" s="10">
        <v>43861</v>
      </c>
      <c r="B450" s="8" t="s">
        <v>41</v>
      </c>
      <c r="C450" s="11">
        <v>75224</v>
      </c>
      <c r="D450" s="12" t="str">
        <f>IF(C450&gt;0,(VLOOKUP(C450,'Blnct AR'!$C$2:$D$2255,2,0))," ")</f>
        <v>Despesas de representação</v>
      </c>
      <c r="E450" s="21" t="s">
        <v>1985</v>
      </c>
      <c r="F450" s="20">
        <v>31400</v>
      </c>
      <c r="G450" s="20"/>
      <c r="I450" s="37"/>
    </row>
    <row r="451" spans="1:9" s="14" customFormat="1" ht="15" customHeight="1">
      <c r="A451" s="10">
        <v>43861</v>
      </c>
      <c r="B451" s="8" t="s">
        <v>1921</v>
      </c>
      <c r="C451" s="11">
        <v>43103</v>
      </c>
      <c r="D451" s="12" t="str">
        <f>IF(C451&gt;0,(VLOOKUP(C451,'Blnct AR'!$C$2:$D$2255,2,0))," ")</f>
        <v>Milénnium 500471734904 Kz</v>
      </c>
      <c r="E451" s="21" t="s">
        <v>1860</v>
      </c>
      <c r="F451" s="20"/>
      <c r="G451" s="20">
        <v>35395.699999999997</v>
      </c>
      <c r="I451" s="37"/>
    </row>
    <row r="452" spans="1:9" s="14" customFormat="1" ht="15" customHeight="1">
      <c r="A452" s="10">
        <v>43861</v>
      </c>
      <c r="B452" s="8" t="s">
        <v>1921</v>
      </c>
      <c r="C452" s="11">
        <v>75228</v>
      </c>
      <c r="D452" s="12" t="str">
        <f>IF(C452&gt;0,(VLOOKUP(C452,'Blnct AR'!$C$2:$D$2255,2,0))," ")</f>
        <v>Limpeza, higiene e conforto</v>
      </c>
      <c r="E452" s="21" t="s">
        <v>1860</v>
      </c>
      <c r="F452" s="20">
        <v>35395.699999999997</v>
      </c>
      <c r="G452" s="20"/>
      <c r="I452" s="37"/>
    </row>
    <row r="453" spans="1:9" s="14" customFormat="1" ht="15" customHeight="1">
      <c r="A453" s="10">
        <v>43861</v>
      </c>
      <c r="B453" s="8" t="s">
        <v>1974</v>
      </c>
      <c r="C453" s="11">
        <v>43103</v>
      </c>
      <c r="D453" s="12" t="str">
        <f>IF(C453&gt;0,(VLOOKUP(C453,'Blnct AR'!$C$2:$D$2255,2,0))," ")</f>
        <v>Milénnium 500471734904 Kz</v>
      </c>
      <c r="E453" s="21" t="s">
        <v>2039</v>
      </c>
      <c r="F453" s="20"/>
      <c r="G453" s="20">
        <v>72000</v>
      </c>
      <c r="I453" s="37"/>
    </row>
    <row r="454" spans="1:9" s="14" customFormat="1" ht="15" customHeight="1">
      <c r="A454" s="10">
        <v>43861</v>
      </c>
      <c r="B454" s="8" t="s">
        <v>1974</v>
      </c>
      <c r="C454" s="11">
        <v>75230</v>
      </c>
      <c r="D454" s="12" t="str">
        <f>IF(C454&gt;0,(VLOOKUP(C454,'Blnct AR'!$C$2:$D$2255,2,0))," ")</f>
        <v>Contencioso e notariado</v>
      </c>
      <c r="E454" s="21" t="s">
        <v>2039</v>
      </c>
      <c r="F454" s="20">
        <v>72000</v>
      </c>
      <c r="G454" s="20"/>
      <c r="I454" s="37"/>
    </row>
    <row r="455" spans="1:9" s="14" customFormat="1" ht="15" customHeight="1">
      <c r="A455" s="10">
        <v>43861</v>
      </c>
      <c r="B455" s="8" t="s">
        <v>1955</v>
      </c>
      <c r="C455" s="11">
        <v>43103</v>
      </c>
      <c r="D455" s="12" t="str">
        <f>IF(C455&gt;0,(VLOOKUP(C455,'Blnct AR'!$C$2:$D$2255,2,0))," ")</f>
        <v>Milénnium 500471734904 Kz</v>
      </c>
      <c r="E455" s="21" t="s">
        <v>1861</v>
      </c>
      <c r="F455" s="20"/>
      <c r="G455" s="20">
        <v>81941.8</v>
      </c>
      <c r="I455" s="37"/>
    </row>
    <row r="456" spans="1:9" s="14" customFormat="1" ht="15" customHeight="1">
      <c r="A456" s="10">
        <v>43861</v>
      </c>
      <c r="B456" s="8" t="s">
        <v>1955</v>
      </c>
      <c r="C456" s="11">
        <v>752131</v>
      </c>
      <c r="D456" s="12" t="str">
        <f>IF(C456&gt;0,(VLOOKUP(C456,'Blnct AR'!$C$2:$D$2255,2,0))," ")</f>
        <v>Gasoleo</v>
      </c>
      <c r="E456" s="21" t="s">
        <v>1861</v>
      </c>
      <c r="F456" s="20">
        <v>81941.8</v>
      </c>
      <c r="G456" s="20"/>
      <c r="I456" s="37"/>
    </row>
    <row r="457" spans="1:9" s="14" customFormat="1" ht="15" customHeight="1">
      <c r="A457" s="10">
        <v>43861</v>
      </c>
      <c r="B457" s="8" t="s">
        <v>1955</v>
      </c>
      <c r="C457" s="11">
        <v>43103</v>
      </c>
      <c r="D457" s="12" t="str">
        <f>IF(C457&gt;0,(VLOOKUP(C457,'Blnct AR'!$C$2:$D$2255,2,0))," ")</f>
        <v>Milénnium 500471734904 Kz</v>
      </c>
      <c r="E457" s="21" t="s">
        <v>1861</v>
      </c>
      <c r="F457" s="20"/>
      <c r="G457" s="20">
        <v>23116.799999999999</v>
      </c>
      <c r="I457" s="37"/>
    </row>
    <row r="458" spans="1:9" s="14" customFormat="1" ht="15" customHeight="1">
      <c r="A458" s="10">
        <v>43861</v>
      </c>
      <c r="B458" s="8" t="s">
        <v>1955</v>
      </c>
      <c r="C458" s="11">
        <v>752132</v>
      </c>
      <c r="D458" s="12" t="str">
        <f>IF(C458&gt;0,(VLOOKUP(C458,'Blnct AR'!$C$2:$D$2255,2,0))," ")</f>
        <v>Gasolina</v>
      </c>
      <c r="E458" s="21" t="s">
        <v>1861</v>
      </c>
      <c r="F458" s="20">
        <v>23116.799999999999</v>
      </c>
      <c r="G458" s="20"/>
      <c r="I458" s="37"/>
    </row>
    <row r="459" spans="1:9" s="14" customFormat="1" ht="15" customHeight="1">
      <c r="A459" s="10">
        <v>43861</v>
      </c>
      <c r="B459" s="8" t="s">
        <v>1961</v>
      </c>
      <c r="C459" s="11">
        <v>43103</v>
      </c>
      <c r="D459" s="12" t="str">
        <f>IF(C459&gt;0,(VLOOKUP(C459,'Blnct AR'!$C$2:$D$2255,2,0))," ")</f>
        <v>Milénnium 500471734904 Kz</v>
      </c>
      <c r="E459" s="21" t="s">
        <v>1872</v>
      </c>
      <c r="F459" s="20"/>
      <c r="G459" s="20">
        <v>1263847.5900000001</v>
      </c>
      <c r="I459" s="37"/>
    </row>
    <row r="460" spans="1:9" s="14" customFormat="1" ht="15" customHeight="1">
      <c r="A460" s="10">
        <v>43861</v>
      </c>
      <c r="B460" s="8" t="s">
        <v>1961</v>
      </c>
      <c r="C460" s="11">
        <v>752144</v>
      </c>
      <c r="D460" s="12" t="str">
        <f>IF(C460&gt;0,(VLOOKUP(C460,'Blnct AR'!$C$2:$D$2255,2,0))," ")</f>
        <v>Equipamento de carga e transporte</v>
      </c>
      <c r="E460" s="21" t="s">
        <v>1872</v>
      </c>
      <c r="F460" s="20">
        <v>1263847.5900000001</v>
      </c>
      <c r="G460" s="20"/>
      <c r="I460" s="37"/>
    </row>
    <row r="461" spans="1:9" s="14" customFormat="1" ht="15" customHeight="1">
      <c r="A461" s="10">
        <v>43861</v>
      </c>
      <c r="B461" s="8" t="s">
        <v>1873</v>
      </c>
      <c r="C461" s="11">
        <v>43103</v>
      </c>
      <c r="D461" s="12" t="str">
        <f>IF(C461&gt;0,(VLOOKUP(C461,'Blnct AR'!$C$2:$D$2255,2,0))," ")</f>
        <v>Milénnium 500471734904 Kz</v>
      </c>
      <c r="E461" s="21" t="s">
        <v>1997</v>
      </c>
      <c r="F461" s="20"/>
      <c r="G461" s="20">
        <v>358011.2</v>
      </c>
      <c r="I461" s="37"/>
    </row>
    <row r="462" spans="1:9" s="14" customFormat="1" ht="15" customHeight="1">
      <c r="A462" s="10">
        <v>43861</v>
      </c>
      <c r="B462" s="8" t="s">
        <v>1873</v>
      </c>
      <c r="C462" s="11">
        <v>752211</v>
      </c>
      <c r="D462" s="12" t="str">
        <f>IF(C462&gt;0,(VLOOKUP(C462,'Blnct AR'!$C$2:$D$2255,2,0))," ")</f>
        <v>Rendas de imóveis Prefor</v>
      </c>
      <c r="E462" s="21" t="s">
        <v>1997</v>
      </c>
      <c r="F462" s="20">
        <v>358011.2</v>
      </c>
      <c r="G462" s="20"/>
      <c r="I462" s="37"/>
    </row>
    <row r="463" spans="1:9" s="14" customFormat="1" ht="15" customHeight="1">
      <c r="A463" s="10">
        <v>43861</v>
      </c>
      <c r="B463" s="8" t="s">
        <v>1986</v>
      </c>
      <c r="C463" s="11">
        <v>43103</v>
      </c>
      <c r="D463" s="12" t="str">
        <f>IF(C463&gt;0,(VLOOKUP(C463,'Blnct AR'!$C$2:$D$2255,2,0))," ")</f>
        <v>Milénnium 500471734904 Kz</v>
      </c>
      <c r="E463" s="21" t="s">
        <v>1987</v>
      </c>
      <c r="F463" s="20"/>
      <c r="G463" s="20">
        <v>10000</v>
      </c>
      <c r="I463" s="37"/>
    </row>
    <row r="464" spans="1:9" s="14" customFormat="1" ht="15" customHeight="1">
      <c r="A464" s="10">
        <v>43861</v>
      </c>
      <c r="B464" s="8" t="s">
        <v>1986</v>
      </c>
      <c r="C464" s="11">
        <v>752263</v>
      </c>
      <c r="D464" s="12" t="str">
        <f>IF(C464&gt;0,(VLOOKUP(C464,'Blnct AR'!$C$2:$D$2255,2,0))," ")</f>
        <v>Equipamento básico</v>
      </c>
      <c r="E464" s="21" t="s">
        <v>1987</v>
      </c>
      <c r="F464" s="20">
        <v>10000</v>
      </c>
      <c r="G464" s="20"/>
      <c r="I464" s="37"/>
    </row>
    <row r="465" spans="1:9" s="14" customFormat="1" ht="15" customHeight="1">
      <c r="A465" s="10">
        <v>43861</v>
      </c>
      <c r="B465" s="8" t="s">
        <v>1961</v>
      </c>
      <c r="C465" s="11">
        <v>43103</v>
      </c>
      <c r="D465" s="12" t="str">
        <f>IF(C465&gt;0,(VLOOKUP(C465,'Blnct AR'!$C$2:$D$2255,2,0))," ")</f>
        <v>Milénnium 500471734904 Kz</v>
      </c>
      <c r="E465" s="21" t="s">
        <v>1988</v>
      </c>
      <c r="F465" s="20"/>
      <c r="G465" s="20">
        <v>120000</v>
      </c>
      <c r="I465" s="37"/>
    </row>
    <row r="466" spans="1:9" s="14" customFormat="1" ht="15" customHeight="1">
      <c r="A466" s="10">
        <v>43861</v>
      </c>
      <c r="B466" s="8" t="s">
        <v>1961</v>
      </c>
      <c r="C466" s="11">
        <v>752264</v>
      </c>
      <c r="D466" s="12" t="str">
        <f>IF(C466&gt;0,(VLOOKUP(C466,'Blnct AR'!$C$2:$D$2255,2,0))," ")</f>
        <v>Equipamento de carga e transporte</v>
      </c>
      <c r="E466" s="21" t="s">
        <v>1989</v>
      </c>
      <c r="F466" s="20">
        <v>120000</v>
      </c>
      <c r="G466" s="20"/>
      <c r="I466" s="37"/>
    </row>
    <row r="467" spans="1:9" s="14" customFormat="1" ht="15" customHeight="1">
      <c r="A467" s="10">
        <v>43861</v>
      </c>
      <c r="B467" s="8" t="s">
        <v>1869</v>
      </c>
      <c r="C467" s="11">
        <v>43103</v>
      </c>
      <c r="D467" s="12" t="str">
        <f>IF(C467&gt;0,(VLOOKUP(C467,'Blnct AR'!$C$2:$D$2255,2,0))," ")</f>
        <v>Milénnium 500471734904 Kz</v>
      </c>
      <c r="E467" s="21" t="s">
        <v>1869</v>
      </c>
      <c r="F467" s="20"/>
      <c r="G467" s="20">
        <v>84</v>
      </c>
      <c r="I467" s="37"/>
    </row>
    <row r="468" spans="1:9" s="14" customFormat="1" ht="15" customHeight="1">
      <c r="A468" s="10">
        <v>43861</v>
      </c>
      <c r="B468" s="8" t="s">
        <v>1869</v>
      </c>
      <c r="C468" s="11">
        <v>75314</v>
      </c>
      <c r="D468" s="12" t="str">
        <f>IF(C468&gt;0,(VLOOKUP(C468,'Blnct AR'!$C$2:$D$2255,2,0))," ")</f>
        <v>IVA Suportado</v>
      </c>
      <c r="E468" s="21" t="s">
        <v>1869</v>
      </c>
      <c r="F468" s="20">
        <v>84</v>
      </c>
      <c r="G468" s="20"/>
      <c r="I468" s="37"/>
    </row>
    <row r="469" spans="1:9" s="14" customFormat="1" ht="15" customHeight="1">
      <c r="A469" s="10">
        <v>43861</v>
      </c>
      <c r="B469" s="8" t="s">
        <v>1409</v>
      </c>
      <c r="C469" s="11">
        <v>43103</v>
      </c>
      <c r="D469" s="12" t="str">
        <f>IF(C469&gt;0,(VLOOKUP(C469,'Blnct AR'!$C$2:$D$2255,2,0))," ")</f>
        <v>Milénnium 500471734904 Kz</v>
      </c>
      <c r="E469" s="21" t="s">
        <v>1843</v>
      </c>
      <c r="F469" s="20"/>
      <c r="G469" s="20">
        <v>5247733</v>
      </c>
      <c r="I469" s="37"/>
    </row>
    <row r="470" spans="1:9" s="14" customFormat="1" ht="15" customHeight="1">
      <c r="A470" s="10">
        <v>43861</v>
      </c>
      <c r="B470" s="8" t="s">
        <v>1990</v>
      </c>
      <c r="C470" s="11">
        <v>3454112111</v>
      </c>
      <c r="D470" s="12" t="str">
        <f>IF(C470&gt;0,(VLOOKUP(C470,'Blnct AR'!$C$2:$D$2255,2,0))," ")</f>
        <v>IVA Reg. Emp. - Op. gerais - Prest. Serv. - M.interno - 14%</v>
      </c>
      <c r="E470" s="21" t="s">
        <v>1843</v>
      </c>
      <c r="F470" s="20">
        <v>5247733</v>
      </c>
      <c r="G470" s="20"/>
      <c r="I470" s="37"/>
    </row>
    <row r="471" spans="1:9" s="14" customFormat="1" ht="15" customHeight="1">
      <c r="A471" s="10"/>
      <c r="B471" s="8" t="s">
        <v>2008</v>
      </c>
      <c r="C471" s="11"/>
      <c r="D471" s="12"/>
      <c r="E471" s="21"/>
      <c r="F471" s="20"/>
      <c r="G471" s="20"/>
      <c r="I471" s="37"/>
    </row>
    <row r="472" spans="1:9" s="14" customFormat="1" ht="15" customHeight="1">
      <c r="A472" s="10">
        <v>43890</v>
      </c>
      <c r="B472" s="8" t="s">
        <v>1653</v>
      </c>
      <c r="C472" s="11">
        <v>43101</v>
      </c>
      <c r="D472" s="12" t="str">
        <f>IF(C472&gt;0,(VLOOKUP(C472,'Blnct AR'!$C$2:$D$2255,2,0))," ")</f>
        <v>Banco - BFA</v>
      </c>
      <c r="E472" s="21" t="s">
        <v>1907</v>
      </c>
      <c r="F472" s="20"/>
      <c r="G472" s="20">
        <v>94275.75</v>
      </c>
      <c r="I472" s="37"/>
    </row>
    <row r="473" spans="1:9" s="14" customFormat="1" ht="15" customHeight="1">
      <c r="A473" s="10">
        <v>43890</v>
      </c>
      <c r="B473" s="8" t="s">
        <v>1653</v>
      </c>
      <c r="C473" s="11">
        <v>45111</v>
      </c>
      <c r="D473" s="12" t="str">
        <f>IF(C473&gt;0,(VLOOKUP(C473,'Blnct AR'!$C$2:$D$2255,2,0))," ")</f>
        <v>Caixa Geral</v>
      </c>
      <c r="E473" s="21" t="s">
        <v>1907</v>
      </c>
      <c r="F473" s="20">
        <v>94275.75</v>
      </c>
      <c r="G473" s="20"/>
      <c r="I473" s="37"/>
    </row>
    <row r="474" spans="1:9" s="14" customFormat="1" ht="15" customHeight="1">
      <c r="A474" s="10">
        <v>43890</v>
      </c>
      <c r="B474" s="8" t="s">
        <v>1116</v>
      </c>
      <c r="C474" s="11">
        <v>43101</v>
      </c>
      <c r="D474" s="12" t="str">
        <f>IF(C474&gt;0,(VLOOKUP(C474,'Blnct AR'!$C$2:$D$2255,2,0))," ")</f>
        <v>Banco - BFA</v>
      </c>
      <c r="E474" s="21" t="s">
        <v>1920</v>
      </c>
      <c r="F474" s="20"/>
      <c r="G474" s="20">
        <v>97000</v>
      </c>
      <c r="I474" s="37"/>
    </row>
    <row r="475" spans="1:9" s="14" customFormat="1" ht="15" customHeight="1">
      <c r="A475" s="10">
        <v>43890</v>
      </c>
      <c r="B475" s="8" t="s">
        <v>1116</v>
      </c>
      <c r="C475" s="11">
        <v>72211</v>
      </c>
      <c r="D475" s="12" t="str">
        <f>IF(C475&gt;0,(VLOOKUP(C475,'Blnct AR'!$C$2:$D$2255,2,0))," ")</f>
        <v>Ordenados</v>
      </c>
      <c r="E475" s="21" t="s">
        <v>1907</v>
      </c>
      <c r="F475" s="20">
        <v>97000</v>
      </c>
      <c r="G475" s="20"/>
      <c r="I475" s="37"/>
    </row>
    <row r="476" spans="1:9" s="14" customFormat="1" ht="15" customHeight="1">
      <c r="A476" s="10">
        <v>43890</v>
      </c>
      <c r="B476" s="8" t="s">
        <v>1841</v>
      </c>
      <c r="C476" s="11">
        <v>43101</v>
      </c>
      <c r="D476" s="12" t="str">
        <f>IF(C476&gt;0,(VLOOKUP(C476,'Blnct AR'!$C$2:$D$2255,2,0))," ")</f>
        <v>Banco - BFA</v>
      </c>
      <c r="E476" s="21" t="s">
        <v>1842</v>
      </c>
      <c r="F476" s="20"/>
      <c r="G476" s="20">
        <v>18000</v>
      </c>
      <c r="I476" s="37"/>
    </row>
    <row r="477" spans="1:9" s="14" customFormat="1" ht="15" customHeight="1">
      <c r="A477" s="10">
        <v>43890</v>
      </c>
      <c r="B477" s="8" t="s">
        <v>1841</v>
      </c>
      <c r="C477" s="11">
        <v>75211</v>
      </c>
      <c r="D477" s="12" t="str">
        <f>IF(C477&gt;0,(VLOOKUP(C477,'Blnct AR'!$C$2:$D$2255,2,0))," ")</f>
        <v>Água</v>
      </c>
      <c r="E477" s="21" t="s">
        <v>1842</v>
      </c>
      <c r="F477" s="20">
        <v>18000</v>
      </c>
      <c r="G477" s="20"/>
      <c r="I477" s="37"/>
    </row>
    <row r="478" spans="1:9" s="14" customFormat="1" ht="15" customHeight="1">
      <c r="A478" s="10">
        <v>43890</v>
      </c>
      <c r="B478" s="8" t="s">
        <v>1922</v>
      </c>
      <c r="C478" s="11">
        <v>43101</v>
      </c>
      <c r="D478" s="12" t="str">
        <f>IF(C478&gt;0,(VLOOKUP(C478,'Blnct AR'!$C$2:$D$2255,2,0))," ")</f>
        <v>Banco - BFA</v>
      </c>
      <c r="E478" s="21" t="s">
        <v>1911</v>
      </c>
      <c r="F478" s="20"/>
      <c r="G478" s="20">
        <v>38699.919999999998</v>
      </c>
      <c r="I478" s="37"/>
    </row>
    <row r="479" spans="1:9" s="14" customFormat="1" ht="15" customHeight="1">
      <c r="A479" s="10">
        <v>43890</v>
      </c>
      <c r="B479" s="8" t="s">
        <v>1922</v>
      </c>
      <c r="C479" s="11">
        <v>752202</v>
      </c>
      <c r="D479" s="12" t="str">
        <f>IF(C479&gt;0,(VLOOKUP(C479,'Blnct AR'!$C$2:$D$2255,2,0))," ")</f>
        <v>Telefone Móvel / Internet</v>
      </c>
      <c r="E479" s="21" t="s">
        <v>1911</v>
      </c>
      <c r="F479" s="20">
        <v>38699.919999999998</v>
      </c>
      <c r="G479" s="20"/>
      <c r="I479" s="37"/>
    </row>
    <row r="480" spans="1:9" s="14" customFormat="1" ht="15" customHeight="1">
      <c r="A480" s="10">
        <v>43890</v>
      </c>
      <c r="B480" s="8" t="s">
        <v>1916</v>
      </c>
      <c r="C480" s="11">
        <v>43101</v>
      </c>
      <c r="D480" s="12" t="str">
        <f>IF(C480&gt;0,(VLOOKUP(C480,'Blnct AR'!$C$2:$D$2255,2,0))," ")</f>
        <v>Banco - BFA</v>
      </c>
      <c r="E480" s="21" t="s">
        <v>1913</v>
      </c>
      <c r="F480" s="20"/>
      <c r="G480" s="20">
        <v>84600</v>
      </c>
      <c r="I480" s="37"/>
    </row>
    <row r="481" spans="1:9" s="14" customFormat="1" ht="15" customHeight="1">
      <c r="A481" s="10">
        <v>43890</v>
      </c>
      <c r="B481" s="8" t="s">
        <v>1916</v>
      </c>
      <c r="C481" s="11">
        <v>752131</v>
      </c>
      <c r="D481" s="12" t="str">
        <f>IF(C481&gt;0,(VLOOKUP(C481,'Blnct AR'!$C$2:$D$2255,2,0))," ")</f>
        <v>Gasoleo</v>
      </c>
      <c r="E481" s="21" t="s">
        <v>1913</v>
      </c>
      <c r="F481" s="20">
        <v>84600</v>
      </c>
      <c r="G481" s="20"/>
      <c r="I481" s="37"/>
    </row>
    <row r="482" spans="1:9" s="14" customFormat="1" ht="15" customHeight="1">
      <c r="A482" s="10"/>
      <c r="B482" s="8" t="s">
        <v>2009</v>
      </c>
      <c r="C482" s="11"/>
      <c r="D482" s="12"/>
      <c r="E482" s="21"/>
      <c r="F482" s="20"/>
      <c r="G482" s="20"/>
      <c r="I482" s="37"/>
    </row>
    <row r="483" spans="1:9" s="14" customFormat="1" ht="15" customHeight="1">
      <c r="A483" s="10">
        <v>43890</v>
      </c>
      <c r="B483" s="8" t="s">
        <v>1932</v>
      </c>
      <c r="C483" s="11">
        <v>43106</v>
      </c>
      <c r="D483" s="12" t="str">
        <f>IF(C483&gt;0,(VLOOKUP(C483,'Blnct AR'!$C$2:$D$2255,2,0))," ")</f>
        <v>Banco BIC - 118133685.15.1</v>
      </c>
      <c r="E483" s="21" t="s">
        <v>1937</v>
      </c>
      <c r="F483" s="20"/>
      <c r="G483" s="20">
        <v>136851.37</v>
      </c>
      <c r="I483" s="37"/>
    </row>
    <row r="484" spans="1:9" s="14" customFormat="1" ht="15" customHeight="1">
      <c r="A484" s="10">
        <v>43890</v>
      </c>
      <c r="B484" s="8" t="s">
        <v>1932</v>
      </c>
      <c r="C484" s="11">
        <v>7111</v>
      </c>
      <c r="D484" s="12" t="str">
        <f>IF(C484&gt;0,(VLOOKUP(C484,'Blnct AR'!$C$2:$D$2255,2,0))," ")</f>
        <v>Mp - cevc</v>
      </c>
      <c r="E484" s="21" t="s">
        <v>1937</v>
      </c>
      <c r="F484" s="20">
        <v>136851.37</v>
      </c>
      <c r="G484" s="20"/>
      <c r="I484" s="37"/>
    </row>
    <row r="485" spans="1:9" s="14" customFormat="1" ht="15" customHeight="1">
      <c r="A485" s="10">
        <v>43890</v>
      </c>
      <c r="B485" s="8" t="s">
        <v>1869</v>
      </c>
      <c r="C485" s="11">
        <v>43106</v>
      </c>
      <c r="D485" s="12" t="str">
        <f>IF(C485&gt;0,(VLOOKUP(C485,'Blnct AR'!$C$2:$D$2255,2,0))," ")</f>
        <v>Banco BIC - 118133685.15.1</v>
      </c>
      <c r="E485" s="21" t="s">
        <v>1869</v>
      </c>
      <c r="F485" s="20"/>
      <c r="G485" s="20">
        <v>3000</v>
      </c>
      <c r="I485" s="37"/>
    </row>
    <row r="486" spans="1:9" s="14" customFormat="1" ht="15" customHeight="1">
      <c r="A486" s="10">
        <v>43890</v>
      </c>
      <c r="B486" s="8" t="s">
        <v>1869</v>
      </c>
      <c r="C486" s="11">
        <v>767801</v>
      </c>
      <c r="D486" s="12" t="str">
        <f>IF(C486&gt;0,(VLOOKUP(C486,'Blnct AR'!$C$2:$D$2255,2,0))," ")</f>
        <v>Despesas Operacionais</v>
      </c>
      <c r="E486" s="21" t="s">
        <v>1869</v>
      </c>
      <c r="F486" s="20">
        <v>3000</v>
      </c>
      <c r="G486" s="20"/>
      <c r="I486" s="37"/>
    </row>
    <row r="487" spans="1:9" s="14" customFormat="1" ht="15" customHeight="1">
      <c r="A487" s="10">
        <v>43890</v>
      </c>
      <c r="B487" s="8" t="s">
        <v>1116</v>
      </c>
      <c r="C487" s="11">
        <v>43106</v>
      </c>
      <c r="D487" s="12" t="str">
        <f>IF(C487&gt;0,(VLOOKUP(C487,'Blnct AR'!$C$2:$D$2255,2,0))," ")</f>
        <v>Banco BIC - 118133685.15.1</v>
      </c>
      <c r="E487" s="21" t="s">
        <v>1938</v>
      </c>
      <c r="F487" s="20"/>
      <c r="G487" s="20">
        <v>287690.91000000003</v>
      </c>
      <c r="I487" s="37"/>
    </row>
    <row r="488" spans="1:9" s="14" customFormat="1" ht="15" customHeight="1">
      <c r="A488" s="10">
        <v>43890</v>
      </c>
      <c r="B488" s="8" t="s">
        <v>1116</v>
      </c>
      <c r="C488" s="11">
        <v>72221</v>
      </c>
      <c r="D488" s="12" t="str">
        <f>IF(C488&gt;0,(VLOOKUP(C488,'Blnct AR'!$C$2:$D$2255,2,0))," ")</f>
        <v>Ordenados</v>
      </c>
      <c r="E488" s="21" t="s">
        <v>1938</v>
      </c>
      <c r="F488" s="20">
        <v>287690.91000000003</v>
      </c>
      <c r="G488" s="20"/>
      <c r="I488" s="37"/>
    </row>
    <row r="489" spans="1:9" s="14" customFormat="1" ht="15" customHeight="1">
      <c r="A489" s="10">
        <v>43890</v>
      </c>
      <c r="B489" s="8" t="s">
        <v>132</v>
      </c>
      <c r="C489" s="11">
        <v>43106</v>
      </c>
      <c r="D489" s="12" t="str">
        <f>IF(C489&gt;0,(VLOOKUP(C489,'Blnct AR'!$C$2:$D$2255,2,0))," ")</f>
        <v>Banco BIC - 118133685.15.1</v>
      </c>
      <c r="E489" s="21" t="s">
        <v>1939</v>
      </c>
      <c r="F489" s="20"/>
      <c r="G489" s="20">
        <v>141857.41</v>
      </c>
      <c r="I489" s="37"/>
    </row>
    <row r="490" spans="1:9" s="14" customFormat="1" ht="15" customHeight="1">
      <c r="A490" s="10">
        <v>43890</v>
      </c>
      <c r="B490" s="8" t="s">
        <v>132</v>
      </c>
      <c r="C490" s="11">
        <v>72522</v>
      </c>
      <c r="D490" s="12" t="str">
        <f>IF(C490&gt;0,(VLOOKUP(C490,'Blnct AR'!$C$2:$D$2255,2,0))," ")</f>
        <v>Produção Seg. Social</v>
      </c>
      <c r="E490" s="21" t="s">
        <v>1939</v>
      </c>
      <c r="F490" s="20">
        <v>141857.41</v>
      </c>
      <c r="G490" s="20"/>
      <c r="I490" s="37"/>
    </row>
    <row r="491" spans="1:9" s="14" customFormat="1" ht="15" customHeight="1">
      <c r="A491" s="10">
        <v>43890</v>
      </c>
      <c r="B491" s="8" t="s">
        <v>1949</v>
      </c>
      <c r="C491" s="11">
        <v>43106</v>
      </c>
      <c r="D491" s="12" t="str">
        <f>IF(C491&gt;0,(VLOOKUP(C491,'Blnct AR'!$C$2:$D$2255,2,0))," ")</f>
        <v>Banco BIC - 118133685.15.1</v>
      </c>
      <c r="E491" s="21" t="s">
        <v>1937</v>
      </c>
      <c r="F491" s="20"/>
      <c r="G491" s="20">
        <v>363933.04</v>
      </c>
      <c r="I491" s="37"/>
    </row>
    <row r="492" spans="1:9" s="14" customFormat="1" ht="15" customHeight="1">
      <c r="A492" s="10">
        <v>43890</v>
      </c>
      <c r="B492" s="8" t="s">
        <v>1949</v>
      </c>
      <c r="C492" s="11">
        <v>75216</v>
      </c>
      <c r="D492" s="12" t="str">
        <f>IF(C492&gt;0,(VLOOKUP(C492,'Blnct AR'!$C$2:$D$2255,2,0))," ")</f>
        <v>Ferrament.e utensílios desg.rápido</v>
      </c>
      <c r="E492" s="21" t="s">
        <v>1937</v>
      </c>
      <c r="F492" s="20">
        <v>363933.04</v>
      </c>
      <c r="G492" s="20"/>
      <c r="I492" s="37"/>
    </row>
    <row r="493" spans="1:9" s="14" customFormat="1" ht="15" customHeight="1">
      <c r="A493" s="10">
        <v>43890</v>
      </c>
      <c r="B493" s="8" t="s">
        <v>1841</v>
      </c>
      <c r="C493" s="11">
        <v>43106</v>
      </c>
      <c r="D493" s="12" t="str">
        <f>IF(C493&gt;0,(VLOOKUP(C493,'Blnct AR'!$C$2:$D$2255,2,0))," ")</f>
        <v>Banco BIC - 118133685.15.1</v>
      </c>
      <c r="E493" s="21" t="s">
        <v>1940</v>
      </c>
      <c r="F493" s="20"/>
      <c r="G493" s="20">
        <v>260148</v>
      </c>
      <c r="I493" s="37"/>
    </row>
    <row r="494" spans="1:9" s="14" customFormat="1" ht="15" customHeight="1">
      <c r="A494" s="10">
        <v>43890</v>
      </c>
      <c r="B494" s="8" t="s">
        <v>1841</v>
      </c>
      <c r="C494" s="11">
        <v>752232</v>
      </c>
      <c r="D494" s="12" t="str">
        <f>IF(C494&gt;0,(VLOOKUP(C494,'Blnct AR'!$C$2:$D$2255,2,0))," ")</f>
        <v>Viagens</v>
      </c>
      <c r="E494" s="21" t="s">
        <v>1940</v>
      </c>
      <c r="F494" s="20">
        <v>260148</v>
      </c>
      <c r="G494" s="20"/>
      <c r="I494" s="37"/>
    </row>
    <row r="495" spans="1:9" s="14" customFormat="1" ht="15" customHeight="1">
      <c r="A495" s="10">
        <v>43890</v>
      </c>
      <c r="B495" s="8" t="s">
        <v>1841</v>
      </c>
      <c r="C495" s="11">
        <v>43106</v>
      </c>
      <c r="D495" s="12" t="str">
        <f>IF(C495&gt;0,(VLOOKUP(C495,'Blnct AR'!$C$2:$D$2255,2,0))," ")</f>
        <v>Banco BIC - 118133685.15.1</v>
      </c>
      <c r="E495" s="21" t="s">
        <v>1941</v>
      </c>
      <c r="F495" s="20"/>
      <c r="G495" s="20">
        <v>207369</v>
      </c>
      <c r="I495" s="37"/>
    </row>
    <row r="496" spans="1:9" s="14" customFormat="1" ht="15" customHeight="1">
      <c r="A496" s="10">
        <v>43890</v>
      </c>
      <c r="B496" s="8" t="s">
        <v>1841</v>
      </c>
      <c r="C496" s="11">
        <v>752233</v>
      </c>
      <c r="D496" s="12" t="str">
        <f>IF(C496&gt;0,(VLOOKUP(C496,'Blnct AR'!$C$2:$D$2255,2,0))," ")</f>
        <v>Deslocações e estadas</v>
      </c>
      <c r="E496" s="21" t="s">
        <v>1942</v>
      </c>
      <c r="F496" s="20">
        <v>207369</v>
      </c>
      <c r="G496" s="20"/>
      <c r="I496" s="37"/>
    </row>
    <row r="497" spans="1:9" s="14" customFormat="1" ht="15" customHeight="1">
      <c r="A497" s="10">
        <v>43890</v>
      </c>
      <c r="B497" s="8" t="s">
        <v>1848</v>
      </c>
      <c r="C497" s="11">
        <v>43106</v>
      </c>
      <c r="D497" s="12" t="str">
        <f>IF(C497&gt;0,(VLOOKUP(C497,'Blnct AR'!$C$2:$D$2255,2,0))," ")</f>
        <v>Banco BIC - 118133685.15.1</v>
      </c>
      <c r="E497" s="21" t="s">
        <v>1943</v>
      </c>
      <c r="F497" s="20"/>
      <c r="G497" s="20">
        <v>266475</v>
      </c>
      <c r="I497" s="37"/>
    </row>
    <row r="498" spans="1:9" s="14" customFormat="1" ht="15" customHeight="1">
      <c r="A498" s="10">
        <v>43890</v>
      </c>
      <c r="B498" s="8" t="s">
        <v>1848</v>
      </c>
      <c r="C498" s="11">
        <v>75227</v>
      </c>
      <c r="D498" s="12" t="str">
        <f>IF(C498&gt;0,(VLOOKUP(C498,'Blnct AR'!$C$2:$D$2255,2,0))," ")</f>
        <v>Vigilância e segurança</v>
      </c>
      <c r="E498" s="21" t="s">
        <v>1943</v>
      </c>
      <c r="F498" s="20">
        <v>266475</v>
      </c>
      <c r="G498" s="20"/>
      <c r="I498" s="37"/>
    </row>
    <row r="499" spans="1:9" s="14" customFormat="1" ht="15" customHeight="1">
      <c r="A499" s="10">
        <v>43890</v>
      </c>
      <c r="B499" s="8" t="s">
        <v>1841</v>
      </c>
      <c r="C499" s="11">
        <v>43106</v>
      </c>
      <c r="D499" s="12" t="str">
        <f>IF(C499&gt;0,(VLOOKUP(C499,'Blnct AR'!$C$2:$D$2255,2,0))," ")</f>
        <v>Banco BIC - 118133685.15.1</v>
      </c>
      <c r="E499" s="21" t="s">
        <v>1944</v>
      </c>
      <c r="F499" s="20"/>
      <c r="G499" s="20">
        <v>878198.75</v>
      </c>
      <c r="I499" s="37"/>
    </row>
    <row r="500" spans="1:9" s="14" customFormat="1" ht="15" customHeight="1">
      <c r="A500" s="10">
        <v>43890</v>
      </c>
      <c r="B500" s="8" t="s">
        <v>1841</v>
      </c>
      <c r="C500" s="11">
        <v>75225</v>
      </c>
      <c r="D500" s="12" t="str">
        <f>IF(C500&gt;0,(VLOOKUP(C500,'Blnct AR'!$C$2:$D$2255,2,0))," ")</f>
        <v>Transporte materiais</v>
      </c>
      <c r="E500" s="21" t="s">
        <v>1944</v>
      </c>
      <c r="F500" s="20">
        <v>878198.75</v>
      </c>
      <c r="G500" s="20"/>
      <c r="I500" s="37"/>
    </row>
    <row r="501" spans="1:9" s="14" customFormat="1" ht="15" customHeight="1">
      <c r="A501" s="10">
        <v>43890</v>
      </c>
      <c r="B501" s="8" t="s">
        <v>1869</v>
      </c>
      <c r="C501" s="11">
        <v>43106</v>
      </c>
      <c r="D501" s="12" t="str">
        <f>IF(C501&gt;0,(VLOOKUP(C501,'Blnct AR'!$C$2:$D$2255,2,0))," ")</f>
        <v>Banco BIC - 118133685.15.1</v>
      </c>
      <c r="E501" s="21" t="s">
        <v>1869</v>
      </c>
      <c r="F501" s="20"/>
      <c r="G501" s="20">
        <v>420</v>
      </c>
      <c r="I501" s="37"/>
    </row>
    <row r="502" spans="1:9" s="14" customFormat="1" ht="15" customHeight="1">
      <c r="A502" s="10">
        <v>43890</v>
      </c>
      <c r="B502" s="8" t="s">
        <v>1869</v>
      </c>
      <c r="C502" s="11">
        <v>75314</v>
      </c>
      <c r="D502" s="12" t="str">
        <f>IF(C502&gt;0,(VLOOKUP(C502,'Blnct AR'!$C$2:$D$2255,2,0))," ")</f>
        <v>IVA Suportado</v>
      </c>
      <c r="E502" s="21" t="s">
        <v>1869</v>
      </c>
      <c r="F502" s="20">
        <v>420</v>
      </c>
      <c r="G502" s="20"/>
      <c r="I502" s="37"/>
    </row>
    <row r="503" spans="1:9" s="14" customFormat="1" ht="15" customHeight="1">
      <c r="A503" s="10"/>
      <c r="B503" s="8" t="s">
        <v>2010</v>
      </c>
      <c r="C503" s="11"/>
      <c r="D503" s="12"/>
      <c r="E503" s="21"/>
      <c r="F503" s="20"/>
      <c r="G503" s="20"/>
      <c r="I503" s="37"/>
    </row>
    <row r="504" spans="1:9" s="14" customFormat="1" ht="15" customHeight="1">
      <c r="A504" s="10">
        <v>43890</v>
      </c>
      <c r="B504" s="8" t="s">
        <v>1653</v>
      </c>
      <c r="C504" s="11">
        <v>43103</v>
      </c>
      <c r="D504" s="12" t="str">
        <f>IF(C504&gt;0,(VLOOKUP(C504,'Blnct AR'!$C$2:$D$2255,2,0))," ")</f>
        <v>Milénnium 500471734904 Kz</v>
      </c>
      <c r="E504" s="21" t="s">
        <v>1907</v>
      </c>
      <c r="F504" s="20"/>
      <c r="G504" s="20">
        <v>1420000</v>
      </c>
      <c r="I504" s="37"/>
    </row>
    <row r="505" spans="1:9" s="14" customFormat="1" ht="15" customHeight="1">
      <c r="A505" s="10">
        <v>43890</v>
      </c>
      <c r="B505" s="8" t="s">
        <v>1653</v>
      </c>
      <c r="C505" s="11">
        <v>45111</v>
      </c>
      <c r="D505" s="12" t="str">
        <f>IF(C505&gt;0,(VLOOKUP(C505,'Blnct AR'!$C$2:$D$2255,2,0))," ")</f>
        <v>Caixa Geral</v>
      </c>
      <c r="E505" s="21" t="s">
        <v>1907</v>
      </c>
      <c r="F505" s="20">
        <v>1420000</v>
      </c>
      <c r="G505" s="20"/>
      <c r="I505" s="37"/>
    </row>
    <row r="506" spans="1:9" s="14" customFormat="1" ht="15" customHeight="1">
      <c r="A506" s="10">
        <v>43890</v>
      </c>
      <c r="B506" s="8" t="s">
        <v>1932</v>
      </c>
      <c r="C506" s="11">
        <v>43103</v>
      </c>
      <c r="D506" s="12" t="str">
        <f>IF(C506&gt;0,(VLOOKUP(C506,'Blnct AR'!$C$2:$D$2255,2,0))," ")</f>
        <v>Milénnium 500471734904 Kz</v>
      </c>
      <c r="E506" s="21" t="s">
        <v>1945</v>
      </c>
      <c r="F506" s="20"/>
      <c r="G506" s="20">
        <v>20000</v>
      </c>
      <c r="I506" s="37"/>
    </row>
    <row r="507" spans="1:9" s="14" customFormat="1" ht="15" customHeight="1">
      <c r="A507" s="10">
        <v>43890</v>
      </c>
      <c r="B507" s="8" t="s">
        <v>1932</v>
      </c>
      <c r="C507" s="11">
        <v>7111</v>
      </c>
      <c r="D507" s="12" t="str">
        <f>IF(C507&gt;0,(VLOOKUP(C507,'Blnct AR'!$C$2:$D$2255,2,0))," ")</f>
        <v>Mp - cevc</v>
      </c>
      <c r="E507" s="21" t="s">
        <v>1945</v>
      </c>
      <c r="F507" s="20">
        <v>20000</v>
      </c>
      <c r="G507" s="20"/>
      <c r="I507" s="37"/>
    </row>
    <row r="508" spans="1:9" s="14" customFormat="1" ht="15" customHeight="1">
      <c r="A508" s="10">
        <v>43890</v>
      </c>
      <c r="B508" s="8" t="s">
        <v>1946</v>
      </c>
      <c r="C508" s="11">
        <v>43103</v>
      </c>
      <c r="D508" s="12" t="str">
        <f>IF(C508&gt;0,(VLOOKUP(C508,'Blnct AR'!$C$2:$D$2255,2,0))," ")</f>
        <v>Milénnium 500471734904 Kz</v>
      </c>
      <c r="E508" s="21" t="s">
        <v>1857</v>
      </c>
      <c r="F508" s="20"/>
      <c r="G508" s="20">
        <v>188210.4</v>
      </c>
      <c r="I508" s="37"/>
    </row>
    <row r="509" spans="1:9" s="14" customFormat="1" ht="15" customHeight="1">
      <c r="A509" s="10">
        <v>43890</v>
      </c>
      <c r="B509" s="8" t="s">
        <v>1946</v>
      </c>
      <c r="C509" s="11">
        <v>728220</v>
      </c>
      <c r="D509" s="12" t="str">
        <f>IF(C509&gt;0,(VLOOKUP(C509,'Blnct AR'!$C$2:$D$2255,2,0))," ")</f>
        <v>Saúde</v>
      </c>
      <c r="E509" s="21" t="s">
        <v>1857</v>
      </c>
      <c r="F509" s="20">
        <v>188210.4</v>
      </c>
      <c r="G509" s="20"/>
      <c r="I509" s="37"/>
    </row>
    <row r="510" spans="1:9" s="14" customFormat="1" ht="15" customHeight="1">
      <c r="A510" s="10">
        <v>43890</v>
      </c>
      <c r="B510" s="8" t="s">
        <v>1844</v>
      </c>
      <c r="C510" s="11">
        <v>43103</v>
      </c>
      <c r="D510" s="12" t="str">
        <f>IF(C510&gt;0,(VLOOKUP(C510,'Blnct AR'!$C$2:$D$2255,2,0))," ")</f>
        <v>Milénnium 500471734904 Kz</v>
      </c>
      <c r="E510" s="21" t="s">
        <v>1947</v>
      </c>
      <c r="F510" s="20"/>
      <c r="G510" s="20">
        <v>339780.38</v>
      </c>
      <c r="I510" s="37"/>
    </row>
    <row r="511" spans="1:9" s="14" customFormat="1" ht="15" customHeight="1">
      <c r="A511" s="10">
        <v>43890</v>
      </c>
      <c r="B511" s="8" t="s">
        <v>1844</v>
      </c>
      <c r="C511" s="11">
        <v>7522122</v>
      </c>
      <c r="D511" s="12" t="str">
        <f>IF(C511&gt;0,(VLOOKUP(C511,'Blnct AR'!$C$2:$D$2255,2,0))," ")</f>
        <v>Aluguer de Viatura</v>
      </c>
      <c r="E511" s="21" t="s">
        <v>1947</v>
      </c>
      <c r="F511" s="20">
        <v>339780.38</v>
      </c>
      <c r="G511" s="20"/>
      <c r="I511" s="37"/>
    </row>
    <row r="512" spans="1:9" s="14" customFormat="1" ht="15" customHeight="1">
      <c r="A512" s="10">
        <v>43890</v>
      </c>
      <c r="B512" s="8" t="s">
        <v>1869</v>
      </c>
      <c r="C512" s="11">
        <v>43103</v>
      </c>
      <c r="D512" s="12" t="str">
        <f>IF(C512&gt;0,(VLOOKUP(C512,'Blnct AR'!$C$2:$D$2255,2,0))," ")</f>
        <v>Milénnium 500471734904 Kz</v>
      </c>
      <c r="E512" s="21" t="s">
        <v>1869</v>
      </c>
      <c r="F512" s="20"/>
      <c r="G512" s="20">
        <v>6900</v>
      </c>
      <c r="I512" s="37"/>
    </row>
    <row r="513" spans="1:9" s="14" customFormat="1" ht="15" customHeight="1">
      <c r="A513" s="10">
        <v>43890</v>
      </c>
      <c r="B513" s="8" t="s">
        <v>1869</v>
      </c>
      <c r="C513" s="11">
        <v>767801</v>
      </c>
      <c r="D513" s="12" t="str">
        <f>IF(C513&gt;0,(VLOOKUP(C513,'Blnct AR'!$C$2:$D$2255,2,0))," ")</f>
        <v>Despesas Operacionais</v>
      </c>
      <c r="E513" s="21" t="s">
        <v>1869</v>
      </c>
      <c r="F513" s="20">
        <v>6900</v>
      </c>
      <c r="G513" s="20"/>
      <c r="I513" s="37"/>
    </row>
    <row r="514" spans="1:9" s="14" customFormat="1" ht="15" customHeight="1">
      <c r="A514" s="10">
        <v>43890</v>
      </c>
      <c r="B514" s="8" t="s">
        <v>1116</v>
      </c>
      <c r="C514" s="11">
        <v>43103</v>
      </c>
      <c r="D514" s="12" t="str">
        <f>IF(C514&gt;0,(VLOOKUP(C514,'Blnct AR'!$C$2:$D$2255,2,0))," ")</f>
        <v>Milénnium 500471734904 Kz</v>
      </c>
      <c r="E514" s="21" t="s">
        <v>1948</v>
      </c>
      <c r="F514" s="20"/>
      <c r="G514" s="20">
        <v>2171345.4900000002</v>
      </c>
      <c r="I514" s="37"/>
    </row>
    <row r="515" spans="1:9" s="14" customFormat="1" ht="15" customHeight="1">
      <c r="A515" s="10">
        <v>43890</v>
      </c>
      <c r="B515" s="8" t="s">
        <v>1116</v>
      </c>
      <c r="C515" s="11">
        <v>72221</v>
      </c>
      <c r="D515" s="12" t="str">
        <f>IF(C515&gt;0,(VLOOKUP(C515,'Blnct AR'!$C$2:$D$2255,2,0))," ")</f>
        <v>Ordenados</v>
      </c>
      <c r="E515" s="21" t="s">
        <v>1948</v>
      </c>
      <c r="F515" s="20">
        <v>2171345.4900000002</v>
      </c>
      <c r="G515" s="20"/>
      <c r="I515" s="37"/>
    </row>
    <row r="516" spans="1:9" s="14" customFormat="1" ht="15" customHeight="1">
      <c r="A516" s="10">
        <v>43890</v>
      </c>
      <c r="B516" s="8" t="s">
        <v>1949</v>
      </c>
      <c r="C516" s="11">
        <v>43103</v>
      </c>
      <c r="D516" s="12" t="str">
        <f>IF(C516&gt;0,(VLOOKUP(C516,'Blnct AR'!$C$2:$D$2255,2,0))," ")</f>
        <v>Milénnium 500471734904 Kz</v>
      </c>
      <c r="E516" s="21" t="s">
        <v>43</v>
      </c>
      <c r="F516" s="20"/>
      <c r="G516" s="20">
        <v>5000</v>
      </c>
      <c r="I516" s="37"/>
    </row>
    <row r="517" spans="1:9" s="14" customFormat="1" ht="15" customHeight="1">
      <c r="A517" s="10">
        <v>43890</v>
      </c>
      <c r="B517" s="8" t="s">
        <v>1949</v>
      </c>
      <c r="C517" s="11">
        <v>75216</v>
      </c>
      <c r="D517" s="12" t="str">
        <f>IF(C517&gt;0,(VLOOKUP(C517,'Blnct AR'!$C$2:$D$2255,2,0))," ")</f>
        <v>Ferrament.e utensílios desg.rápido</v>
      </c>
      <c r="E517" s="21" t="s">
        <v>43</v>
      </c>
      <c r="F517" s="20">
        <v>5000</v>
      </c>
      <c r="G517" s="20"/>
      <c r="I517" s="37"/>
    </row>
    <row r="518" spans="1:9" s="14" customFormat="1" ht="15" customHeight="1">
      <c r="A518" s="10">
        <v>43890</v>
      </c>
      <c r="B518" s="8" t="s">
        <v>1922</v>
      </c>
      <c r="C518" s="11">
        <v>43103</v>
      </c>
      <c r="D518" s="12" t="str">
        <f>IF(C518&gt;0,(VLOOKUP(C518,'Blnct AR'!$C$2:$D$2255,2,0))," ")</f>
        <v>Milénnium 500471734904 Kz</v>
      </c>
      <c r="E518" s="21" t="s">
        <v>1950</v>
      </c>
      <c r="F518" s="20"/>
      <c r="G518" s="20">
        <v>31500</v>
      </c>
      <c r="I518" s="37"/>
    </row>
    <row r="519" spans="1:9" s="14" customFormat="1" ht="15" customHeight="1">
      <c r="A519" s="10">
        <v>43890</v>
      </c>
      <c r="B519" s="8" t="s">
        <v>1922</v>
      </c>
      <c r="C519" s="11">
        <v>752202</v>
      </c>
      <c r="D519" s="12" t="str">
        <f>IF(C519&gt;0,(VLOOKUP(C519,'Blnct AR'!$C$2:$D$2255,2,0))," ")</f>
        <v>Telefone Móvel / Internet</v>
      </c>
      <c r="E519" s="21" t="s">
        <v>1950</v>
      </c>
      <c r="F519" s="20">
        <v>31500</v>
      </c>
      <c r="G519" s="20"/>
      <c r="I519" s="37"/>
    </row>
    <row r="520" spans="1:9" s="14" customFormat="1" ht="15" customHeight="1">
      <c r="A520" s="10">
        <v>43890</v>
      </c>
      <c r="B520" s="8" t="s">
        <v>1841</v>
      </c>
      <c r="C520" s="11">
        <v>43103</v>
      </c>
      <c r="D520" s="12" t="str">
        <f>IF(C520&gt;0,(VLOOKUP(C520,'Blnct AR'!$C$2:$D$2255,2,0))," ")</f>
        <v>Milénnium 500471734904 Kz</v>
      </c>
      <c r="E520" s="21" t="s">
        <v>1951</v>
      </c>
      <c r="F520" s="20"/>
      <c r="G520" s="20">
        <v>371002.45999999996</v>
      </c>
      <c r="I520" s="37"/>
    </row>
    <row r="521" spans="1:9" s="14" customFormat="1" ht="15" customHeight="1">
      <c r="A521" s="10">
        <v>43890</v>
      </c>
      <c r="B521" s="8" t="s">
        <v>1841</v>
      </c>
      <c r="C521" s="11">
        <v>752233</v>
      </c>
      <c r="D521" s="12" t="str">
        <f>IF(C521&gt;0,(VLOOKUP(C521,'Blnct AR'!$C$2:$D$2255,2,0))," ")</f>
        <v>Deslocações e estadas</v>
      </c>
      <c r="E521" s="21" t="s">
        <v>1951</v>
      </c>
      <c r="F521" s="20">
        <v>371002.45999999996</v>
      </c>
      <c r="G521" s="20"/>
      <c r="I521" s="37"/>
    </row>
    <row r="522" spans="1:9" s="14" customFormat="1" ht="15" customHeight="1">
      <c r="A522" s="10">
        <v>43890</v>
      </c>
      <c r="B522" s="8" t="s">
        <v>1921</v>
      </c>
      <c r="C522" s="11">
        <v>43103</v>
      </c>
      <c r="D522" s="12" t="str">
        <f>IF(C522&gt;0,(VLOOKUP(C522,'Blnct AR'!$C$2:$D$2255,2,0))," ")</f>
        <v>Milénnium 500471734904 Kz</v>
      </c>
      <c r="E522" s="21" t="s">
        <v>1952</v>
      </c>
      <c r="F522" s="20"/>
      <c r="G522" s="20">
        <v>49974.9</v>
      </c>
      <c r="I522" s="37"/>
    </row>
    <row r="523" spans="1:9" s="14" customFormat="1" ht="15" customHeight="1">
      <c r="A523" s="10">
        <v>43890</v>
      </c>
      <c r="B523" s="8" t="s">
        <v>1921</v>
      </c>
      <c r="C523" s="11">
        <v>75228</v>
      </c>
      <c r="D523" s="12" t="str">
        <f>IF(C523&gt;0,(VLOOKUP(C523,'Blnct AR'!$C$2:$D$2255,2,0))," ")</f>
        <v>Limpeza, higiene e conforto</v>
      </c>
      <c r="E523" s="21" t="s">
        <v>1952</v>
      </c>
      <c r="F523" s="20">
        <v>49974.9</v>
      </c>
      <c r="G523" s="20"/>
      <c r="I523" s="37"/>
    </row>
    <row r="524" spans="1:9" s="14" customFormat="1" ht="15" customHeight="1">
      <c r="A524" s="10">
        <v>43890</v>
      </c>
      <c r="B524" s="8" t="s">
        <v>1921</v>
      </c>
      <c r="C524" s="11">
        <v>43103</v>
      </c>
      <c r="D524" s="12" t="str">
        <f>IF(C524&gt;0,(VLOOKUP(C524,'Blnct AR'!$C$2:$D$2255,2,0))," ")</f>
        <v>Milénnium 500471734904 Kz</v>
      </c>
      <c r="E524" s="21" t="s">
        <v>1953</v>
      </c>
      <c r="F524" s="20"/>
      <c r="G524" s="20">
        <v>115698.75</v>
      </c>
      <c r="I524" s="37"/>
    </row>
    <row r="525" spans="1:9" s="14" customFormat="1" ht="15" customHeight="1">
      <c r="A525" s="10">
        <v>43890</v>
      </c>
      <c r="B525" s="8" t="s">
        <v>1921</v>
      </c>
      <c r="C525" s="11">
        <v>75228</v>
      </c>
      <c r="D525" s="12" t="str">
        <f>IF(C525&gt;0,(VLOOKUP(C525,'Blnct AR'!$C$2:$D$2255,2,0))," ")</f>
        <v>Limpeza, higiene e conforto</v>
      </c>
      <c r="E525" s="21" t="s">
        <v>1954</v>
      </c>
      <c r="F525" s="20">
        <v>115698.75</v>
      </c>
      <c r="G525" s="20"/>
      <c r="I525" s="37"/>
    </row>
    <row r="526" spans="1:9" s="14" customFormat="1" ht="15" customHeight="1">
      <c r="A526" s="10">
        <v>43890</v>
      </c>
      <c r="B526" s="8" t="s">
        <v>1955</v>
      </c>
      <c r="C526" s="11">
        <v>43103</v>
      </c>
      <c r="D526" s="12" t="str">
        <f>IF(C526&gt;0,(VLOOKUP(C526,'Blnct AR'!$C$2:$D$2255,2,0))," ")</f>
        <v>Milénnium 500471734904 Kz</v>
      </c>
      <c r="E526" s="21" t="s">
        <v>1956</v>
      </c>
      <c r="F526" s="20"/>
      <c r="G526" s="20">
        <v>131502.79999999999</v>
      </c>
      <c r="I526" s="37"/>
    </row>
    <row r="527" spans="1:9" s="14" customFormat="1" ht="15" customHeight="1">
      <c r="A527" s="10">
        <v>43890</v>
      </c>
      <c r="B527" s="8" t="s">
        <v>1955</v>
      </c>
      <c r="C527" s="11">
        <v>752131</v>
      </c>
      <c r="D527" s="12" t="str">
        <f>IF(C527&gt;0,(VLOOKUP(C527,'Blnct AR'!$C$2:$D$2255,2,0))," ")</f>
        <v>Gasoleo</v>
      </c>
      <c r="E527" s="21" t="s">
        <v>1956</v>
      </c>
      <c r="F527" s="20">
        <v>131502.79999999999</v>
      </c>
      <c r="G527" s="20"/>
      <c r="I527" s="37"/>
    </row>
    <row r="528" spans="1:9" s="14" customFormat="1" ht="15" customHeight="1">
      <c r="A528" s="10">
        <v>43890</v>
      </c>
      <c r="B528" s="8" t="s">
        <v>1955</v>
      </c>
      <c r="C528" s="11">
        <v>43103</v>
      </c>
      <c r="D528" s="12" t="str">
        <f>IF(C528&gt;0,(VLOOKUP(C528,'Blnct AR'!$C$2:$D$2255,2,0))," ")</f>
        <v>Milénnium 500471734904 Kz</v>
      </c>
      <c r="E528" s="21" t="s">
        <v>1914</v>
      </c>
      <c r="F528" s="20"/>
      <c r="G528" s="20">
        <v>30516</v>
      </c>
      <c r="I528" s="37"/>
    </row>
    <row r="529" spans="1:9" s="14" customFormat="1" ht="15" customHeight="1">
      <c r="A529" s="10">
        <v>43890</v>
      </c>
      <c r="B529" s="8" t="s">
        <v>1955</v>
      </c>
      <c r="C529" s="11">
        <v>752132</v>
      </c>
      <c r="D529" s="12" t="str">
        <f>IF(C529&gt;0,(VLOOKUP(C529,'Blnct AR'!$C$2:$D$2255,2,0))," ")</f>
        <v>Gasolina</v>
      </c>
      <c r="E529" s="21" t="s">
        <v>1914</v>
      </c>
      <c r="F529" s="20">
        <v>30516</v>
      </c>
      <c r="G529" s="20"/>
      <c r="I529" s="37"/>
    </row>
    <row r="530" spans="1:9" s="14" customFormat="1" ht="15" customHeight="1">
      <c r="A530" s="10">
        <v>43890</v>
      </c>
      <c r="B530" s="8" t="s">
        <v>1957</v>
      </c>
      <c r="C530" s="11">
        <v>43103</v>
      </c>
      <c r="D530" s="12" t="str">
        <f>IF(C530&gt;0,(VLOOKUP(C530,'Blnct AR'!$C$2:$D$2255,2,0))," ")</f>
        <v>Milénnium 500471734904 Kz</v>
      </c>
      <c r="E530" s="21" t="s">
        <v>1958</v>
      </c>
      <c r="F530" s="20"/>
      <c r="G530" s="20">
        <v>25000</v>
      </c>
      <c r="I530" s="37"/>
    </row>
    <row r="531" spans="1:9" s="14" customFormat="1" ht="15" customHeight="1">
      <c r="A531" s="10">
        <v>43890</v>
      </c>
      <c r="B531" s="8" t="s">
        <v>1957</v>
      </c>
      <c r="C531" s="11">
        <v>752133</v>
      </c>
      <c r="D531" s="12" t="str">
        <f>IF(C531&gt;0,(VLOOKUP(C531,'Blnct AR'!$C$2:$D$2255,2,0))," ")</f>
        <v>Gás</v>
      </c>
      <c r="E531" s="21" t="s">
        <v>1958</v>
      </c>
      <c r="F531" s="20">
        <v>25000</v>
      </c>
      <c r="G531" s="20"/>
      <c r="I531" s="37"/>
    </row>
    <row r="532" spans="1:9" s="14" customFormat="1" ht="15" customHeight="1">
      <c r="A532" s="10">
        <v>43890</v>
      </c>
      <c r="B532" s="8" t="s">
        <v>1959</v>
      </c>
      <c r="C532" s="11">
        <v>43103</v>
      </c>
      <c r="D532" s="12" t="str">
        <f>IF(C532&gt;0,(VLOOKUP(C532,'Blnct AR'!$C$2:$D$2255,2,0))," ")</f>
        <v>Milénnium 500471734904 Kz</v>
      </c>
      <c r="E532" s="21" t="s">
        <v>1960</v>
      </c>
      <c r="F532" s="20"/>
      <c r="G532" s="20">
        <v>233844.37</v>
      </c>
      <c r="I532" s="37"/>
    </row>
    <row r="533" spans="1:9" s="14" customFormat="1" ht="15" customHeight="1">
      <c r="A533" s="10">
        <v>43890</v>
      </c>
      <c r="B533" s="8" t="s">
        <v>1959</v>
      </c>
      <c r="C533" s="11">
        <v>752143</v>
      </c>
      <c r="D533" s="12" t="str">
        <f>IF(C533&gt;0,(VLOOKUP(C533,'Blnct AR'!$C$2:$D$2255,2,0))," ")</f>
        <v>Equipamento básico</v>
      </c>
      <c r="E533" s="21" t="s">
        <v>1960</v>
      </c>
      <c r="F533" s="20">
        <v>233844.37</v>
      </c>
      <c r="G533" s="20"/>
      <c r="I533" s="37"/>
    </row>
    <row r="534" spans="1:9" s="14" customFormat="1" ht="15" customHeight="1">
      <c r="A534" s="10">
        <v>43890</v>
      </c>
      <c r="B534" s="8" t="s">
        <v>1961</v>
      </c>
      <c r="C534" s="11">
        <v>43103</v>
      </c>
      <c r="D534" s="12" t="str">
        <f>IF(C534&gt;0,(VLOOKUP(C534,'Blnct AR'!$C$2:$D$2255,2,0))," ")</f>
        <v>Milénnium 500471734904 Kz</v>
      </c>
      <c r="E534" s="21" t="s">
        <v>1840</v>
      </c>
      <c r="F534" s="20"/>
      <c r="G534" s="20">
        <v>2012360</v>
      </c>
      <c r="I534" s="37"/>
    </row>
    <row r="535" spans="1:9" s="14" customFormat="1" ht="15" customHeight="1">
      <c r="A535" s="10">
        <v>43890</v>
      </c>
      <c r="B535" s="8" t="s">
        <v>1961</v>
      </c>
      <c r="C535" s="11">
        <v>752144</v>
      </c>
      <c r="D535" s="12" t="str">
        <f>IF(C535&gt;0,(VLOOKUP(C535,'Blnct AR'!$C$2:$D$2255,2,0))," ")</f>
        <v>Equipamento de carga e transporte</v>
      </c>
      <c r="E535" s="21" t="s">
        <v>1840</v>
      </c>
      <c r="F535" s="20">
        <v>2012360</v>
      </c>
      <c r="G535" s="20"/>
      <c r="I535" s="37"/>
    </row>
    <row r="536" spans="1:9" s="14" customFormat="1" ht="15" customHeight="1">
      <c r="A536" s="10">
        <v>43890</v>
      </c>
      <c r="B536" s="8" t="s">
        <v>1873</v>
      </c>
      <c r="C536" s="11">
        <v>43103</v>
      </c>
      <c r="D536" s="12" t="str">
        <f>IF(C536&gt;0,(VLOOKUP(C536,'Blnct AR'!$C$2:$D$2255,2,0))," ")</f>
        <v>Milénnium 500471734904 Kz</v>
      </c>
      <c r="E536" s="21" t="s">
        <v>1997</v>
      </c>
      <c r="F536" s="20"/>
      <c r="G536" s="20">
        <v>352057</v>
      </c>
      <c r="I536" s="37"/>
    </row>
    <row r="537" spans="1:9" s="14" customFormat="1" ht="15" customHeight="1">
      <c r="A537" s="10">
        <v>43890</v>
      </c>
      <c r="B537" s="8" t="s">
        <v>1873</v>
      </c>
      <c r="C537" s="11">
        <v>752211</v>
      </c>
      <c r="D537" s="12" t="str">
        <f>IF(C537&gt;0,(VLOOKUP(C537,'Blnct AR'!$C$2:$D$2255,2,0))," ")</f>
        <v>Rendas de imóveis Prefor</v>
      </c>
      <c r="E537" s="21" t="s">
        <v>1997</v>
      </c>
      <c r="F537" s="20">
        <v>352057</v>
      </c>
      <c r="G537" s="20"/>
      <c r="I537" s="37"/>
    </row>
    <row r="538" spans="1:9" s="14" customFormat="1" ht="15" customHeight="1">
      <c r="A538" s="10">
        <v>43890</v>
      </c>
      <c r="B538" s="8" t="s">
        <v>1841</v>
      </c>
      <c r="C538" s="11">
        <v>43103</v>
      </c>
      <c r="D538" s="12" t="str">
        <f>IF(C538&gt;0,(VLOOKUP(C538,'Blnct AR'!$C$2:$D$2255,2,0))," ")</f>
        <v>Milénnium 500471734904 Kz</v>
      </c>
      <c r="E538" s="21" t="s">
        <v>1962</v>
      </c>
      <c r="F538" s="20"/>
      <c r="G538" s="20">
        <v>3740000</v>
      </c>
      <c r="I538" s="37"/>
    </row>
    <row r="539" spans="1:9" s="14" customFormat="1" ht="15" customHeight="1">
      <c r="A539" s="10">
        <v>43890</v>
      </c>
      <c r="B539" s="8" t="s">
        <v>1841</v>
      </c>
      <c r="C539" s="11">
        <v>752213</v>
      </c>
      <c r="D539" s="12" t="str">
        <f>IF(C539&gt;0,(VLOOKUP(C539,'Blnct AR'!$C$2:$D$2255,2,0))," ")</f>
        <v>Aluguer meios de elevação</v>
      </c>
      <c r="E539" s="21" t="s">
        <v>1962</v>
      </c>
      <c r="F539" s="20">
        <v>3740000</v>
      </c>
      <c r="G539" s="20"/>
      <c r="I539" s="37"/>
    </row>
    <row r="540" spans="1:9" s="14" customFormat="1" ht="15" customHeight="1">
      <c r="A540" s="10">
        <v>43890</v>
      </c>
      <c r="B540" s="8" t="s">
        <v>1873</v>
      </c>
      <c r="C540" s="11">
        <v>43103</v>
      </c>
      <c r="D540" s="12" t="str">
        <f>IF(C540&gt;0,(VLOOKUP(C540,'Blnct AR'!$C$2:$D$2255,2,0))," ")</f>
        <v>Milénnium 500471734904 Kz</v>
      </c>
      <c r="E540" s="21" t="s">
        <v>1998</v>
      </c>
      <c r="F540" s="20"/>
      <c r="G540" s="20">
        <v>528000</v>
      </c>
      <c r="I540" s="37"/>
    </row>
    <row r="541" spans="1:9" s="14" customFormat="1" ht="15" customHeight="1">
      <c r="A541" s="10">
        <v>43890</v>
      </c>
      <c r="B541" s="8" t="s">
        <v>1873</v>
      </c>
      <c r="C541" s="11">
        <v>752212</v>
      </c>
      <c r="D541" s="12" t="str">
        <f>IF(C541&gt;0,(VLOOKUP(C541,'Blnct AR'!$C$2:$D$2255,2,0))," ")</f>
        <v>Rendas de imóveis Cofrialarme</v>
      </c>
      <c r="E541" s="21" t="s">
        <v>1998</v>
      </c>
      <c r="F541" s="20">
        <v>528000</v>
      </c>
      <c r="G541" s="20"/>
      <c r="I541" s="37"/>
    </row>
    <row r="542" spans="1:9" s="14" customFormat="1" ht="15" customHeight="1">
      <c r="A542" s="10">
        <v>43890</v>
      </c>
      <c r="B542" s="8" t="s">
        <v>1918</v>
      </c>
      <c r="C542" s="11">
        <v>43103</v>
      </c>
      <c r="D542" s="12" t="str">
        <f>IF(C542&gt;0,(VLOOKUP(C542,'Blnct AR'!$C$2:$D$2255,2,0))," ")</f>
        <v>Milénnium 500471734904 Kz</v>
      </c>
      <c r="E542" s="21" t="s">
        <v>1876</v>
      </c>
      <c r="F542" s="20"/>
      <c r="G542" s="20">
        <v>51256.98</v>
      </c>
      <c r="I542" s="37"/>
    </row>
    <row r="543" spans="1:9" s="14" customFormat="1" ht="15" customHeight="1">
      <c r="A543" s="10">
        <v>43890</v>
      </c>
      <c r="B543" s="8" t="s">
        <v>1918</v>
      </c>
      <c r="C543" s="11">
        <v>752224</v>
      </c>
      <c r="D543" s="12" t="str">
        <f>IF(C543&gt;0,(VLOOKUP(C543,'Blnct AR'!$C$2:$D$2255,2,0))," ")</f>
        <v>Ramo viaturas</v>
      </c>
      <c r="E543" s="21" t="s">
        <v>1876</v>
      </c>
      <c r="F543" s="20">
        <v>51256.98</v>
      </c>
      <c r="G543" s="20"/>
      <c r="I543" s="37"/>
    </row>
    <row r="544" spans="1:9" s="14" customFormat="1" ht="15" customHeight="1">
      <c r="A544" s="10">
        <v>43890</v>
      </c>
      <c r="B544" s="8" t="s">
        <v>1961</v>
      </c>
      <c r="C544" s="11">
        <v>43103</v>
      </c>
      <c r="D544" s="12" t="str">
        <f>IF(C544&gt;0,(VLOOKUP(C544,'Blnct AR'!$C$2:$D$2255,2,0))," ")</f>
        <v>Milénnium 500471734904 Kz</v>
      </c>
      <c r="E544" s="21" t="s">
        <v>1963</v>
      </c>
      <c r="F544" s="20"/>
      <c r="G544" s="20">
        <v>175000</v>
      </c>
      <c r="I544" s="37"/>
    </row>
    <row r="545" spans="1:9" s="14" customFormat="1" ht="15" customHeight="1">
      <c r="A545" s="10">
        <v>43890</v>
      </c>
      <c r="B545" s="8" t="s">
        <v>1961</v>
      </c>
      <c r="C545" s="11">
        <v>752264</v>
      </c>
      <c r="D545" s="12" t="str">
        <f>IF(C545&gt;0,(VLOOKUP(C545,'Blnct AR'!$C$2:$D$2255,2,0))," ")</f>
        <v>Equipamento de carga e transporte</v>
      </c>
      <c r="E545" s="21" t="s">
        <v>1963</v>
      </c>
      <c r="F545" s="20">
        <v>175000</v>
      </c>
      <c r="G545" s="20"/>
      <c r="I545" s="37"/>
    </row>
    <row r="546" spans="1:9" s="14" customFormat="1" ht="15" customHeight="1">
      <c r="A546" s="10">
        <v>43890</v>
      </c>
      <c r="B546" s="8" t="s">
        <v>1409</v>
      </c>
      <c r="C546" s="11">
        <v>43103</v>
      </c>
      <c r="D546" s="12" t="str">
        <f>IF(C546&gt;0,(VLOOKUP(C546,'Blnct AR'!$C$2:$D$2255,2,0))," ")</f>
        <v>Milénnium 500471734904 Kz</v>
      </c>
      <c r="E546" s="21" t="s">
        <v>135</v>
      </c>
      <c r="F546" s="20"/>
      <c r="G546" s="20">
        <v>144328</v>
      </c>
      <c r="I546" s="37"/>
    </row>
    <row r="547" spans="1:9" s="14" customFormat="1" ht="15" customHeight="1">
      <c r="A547" s="10">
        <v>43890</v>
      </c>
      <c r="B547" s="8" t="s">
        <v>1409</v>
      </c>
      <c r="C547" s="11">
        <v>72523</v>
      </c>
      <c r="D547" s="12" t="str">
        <f>IF(C547&gt;0,(VLOOKUP(C547,'Blnct AR'!$C$2:$D$2255,2,0))," ")</f>
        <v>Produção IRT</v>
      </c>
      <c r="E547" s="21" t="s">
        <v>135</v>
      </c>
      <c r="F547" s="20">
        <v>144328</v>
      </c>
      <c r="G547" s="20"/>
      <c r="I547" s="37"/>
    </row>
    <row r="548" spans="1:9" s="14" customFormat="1" ht="15" customHeight="1">
      <c r="A548" s="10">
        <v>43890</v>
      </c>
      <c r="B548" s="8" t="s">
        <v>1409</v>
      </c>
      <c r="C548" s="11">
        <v>43103</v>
      </c>
      <c r="D548" s="12" t="str">
        <f>IF(C548&gt;0,(VLOOKUP(C548,'Blnct AR'!$C$2:$D$2255,2,0))," ")</f>
        <v>Milénnium 500471734904 Kz</v>
      </c>
      <c r="E548" s="21" t="s">
        <v>1964</v>
      </c>
      <c r="F548" s="20"/>
      <c r="G548" s="20">
        <v>18525</v>
      </c>
      <c r="I548" s="37"/>
    </row>
    <row r="549" spans="1:9" s="14" customFormat="1" ht="15" customHeight="1">
      <c r="A549" s="10">
        <v>43890</v>
      </c>
      <c r="B549" s="8" t="s">
        <v>1409</v>
      </c>
      <c r="C549" s="11">
        <v>75318</v>
      </c>
      <c r="D549" s="12" t="str">
        <f>IF(C549&gt;0,(VLOOKUP(C549,'Blnct AR'!$C$2:$D$2255,2,0))," ")</f>
        <v>Lei 19/14 Rf 6,5%</v>
      </c>
      <c r="E549" s="21" t="s">
        <v>1964</v>
      </c>
      <c r="F549" s="20">
        <v>18525</v>
      </c>
      <c r="G549" s="20"/>
      <c r="I549" s="37"/>
    </row>
    <row r="550" spans="1:9" s="14" customFormat="1" ht="15" customHeight="1">
      <c r="A550" s="10">
        <v>43890</v>
      </c>
      <c r="B550" s="8" t="s">
        <v>1409</v>
      </c>
      <c r="C550" s="11">
        <v>43103</v>
      </c>
      <c r="D550" s="12" t="str">
        <f>IF(C550&gt;0,(VLOOKUP(C550,'Blnct AR'!$C$2:$D$2255,2,0))," ")</f>
        <v>Milénnium 500471734904 Kz</v>
      </c>
      <c r="E550" s="21" t="s">
        <v>1965</v>
      </c>
      <c r="F550" s="20"/>
      <c r="G550" s="20">
        <v>52500</v>
      </c>
      <c r="I550" s="37"/>
    </row>
    <row r="551" spans="1:9" s="14" customFormat="1" ht="15" customHeight="1">
      <c r="A551" s="10">
        <v>43890</v>
      </c>
      <c r="B551" s="8" t="s">
        <v>1409</v>
      </c>
      <c r="C551" s="11">
        <v>75317</v>
      </c>
      <c r="D551" s="12" t="str">
        <f>IF(C551&gt;0,(VLOOKUP(C551,'Blnct AR'!$C$2:$D$2255,2,0))," ")</f>
        <v>IPU</v>
      </c>
      <c r="E551" s="21" t="s">
        <v>1965</v>
      </c>
      <c r="F551" s="20">
        <v>52500</v>
      </c>
      <c r="G551" s="20"/>
      <c r="I551" s="37"/>
    </row>
    <row r="552" spans="1:9" s="14" customFormat="1" ht="15" customHeight="1">
      <c r="A552" s="10">
        <v>43890</v>
      </c>
      <c r="B552" s="8" t="s">
        <v>1869</v>
      </c>
      <c r="C552" s="11">
        <v>43103</v>
      </c>
      <c r="D552" s="12" t="str">
        <f>IF(C552&gt;0,(VLOOKUP(C552,'Blnct AR'!$C$2:$D$2255,2,0))," ")</f>
        <v>Milénnium 500471734904 Kz</v>
      </c>
      <c r="E552" s="21" t="s">
        <v>1869</v>
      </c>
      <c r="F552" s="20"/>
      <c r="G552" s="20">
        <v>966</v>
      </c>
      <c r="I552" s="37"/>
    </row>
    <row r="553" spans="1:9" s="14" customFormat="1" ht="15" customHeight="1">
      <c r="A553" s="10">
        <v>43890</v>
      </c>
      <c r="B553" s="8" t="s">
        <v>1869</v>
      </c>
      <c r="C553" s="11">
        <v>75314</v>
      </c>
      <c r="D553" s="12" t="str">
        <f>IF(C553&gt;0,(VLOOKUP(C553,'Blnct AR'!$C$2:$D$2255,2,0))," ")</f>
        <v>IVA Suportado</v>
      </c>
      <c r="E553" s="21" t="s">
        <v>1869</v>
      </c>
      <c r="F553" s="20">
        <v>966</v>
      </c>
      <c r="G553" s="20"/>
      <c r="I553" s="37"/>
    </row>
    <row r="554" spans="1:9" s="14" customFormat="1" ht="15" customHeight="1">
      <c r="A554" s="10"/>
      <c r="B554" s="8" t="s">
        <v>2008</v>
      </c>
      <c r="C554" s="11"/>
      <c r="D554" s="12"/>
      <c r="E554" s="21"/>
      <c r="F554" s="20"/>
      <c r="G554" s="20"/>
      <c r="I554" s="37"/>
    </row>
    <row r="555" spans="1:9" s="14" customFormat="1" ht="15" customHeight="1">
      <c r="A555" s="10">
        <v>43921</v>
      </c>
      <c r="B555" s="8" t="s">
        <v>1653</v>
      </c>
      <c r="C555" s="11">
        <v>43101</v>
      </c>
      <c r="D555" s="12" t="str">
        <f>IF(C555&gt;0,(VLOOKUP(C555,'Blnct AR'!$C$2:$D$2255,2,0))," ")</f>
        <v>Banco - BFA</v>
      </c>
      <c r="E555" s="21" t="s">
        <v>1907</v>
      </c>
      <c r="F555" s="20"/>
      <c r="G555" s="20">
        <v>120000</v>
      </c>
      <c r="I555" s="37"/>
    </row>
    <row r="556" spans="1:9" s="14" customFormat="1" ht="15" customHeight="1">
      <c r="A556" s="10">
        <v>43921</v>
      </c>
      <c r="B556" s="8" t="s">
        <v>1653</v>
      </c>
      <c r="C556" s="11">
        <v>45111</v>
      </c>
      <c r="D556" s="12" t="str">
        <f>IF(C556&gt;0,(VLOOKUP(C556,'Blnct AR'!$C$2:$D$2255,2,0))," ")</f>
        <v>Caixa Geral</v>
      </c>
      <c r="E556" s="21" t="s">
        <v>1907</v>
      </c>
      <c r="F556" s="20">
        <v>120000</v>
      </c>
      <c r="G556" s="20"/>
      <c r="I556" s="37"/>
    </row>
    <row r="557" spans="1:9" s="14" customFormat="1" ht="15" customHeight="1">
      <c r="A557" s="10">
        <v>43921</v>
      </c>
      <c r="B557" s="8" t="s">
        <v>1116</v>
      </c>
      <c r="C557" s="11">
        <v>43101</v>
      </c>
      <c r="D557" s="12" t="str">
        <f>IF(C557&gt;0,(VLOOKUP(C557,'Blnct AR'!$C$2:$D$2255,2,0))," ")</f>
        <v>Banco - BFA</v>
      </c>
      <c r="E557" s="21" t="s">
        <v>1923</v>
      </c>
      <c r="F557" s="20"/>
      <c r="G557" s="20">
        <v>320000</v>
      </c>
      <c r="I557" s="37"/>
    </row>
    <row r="558" spans="1:9" s="14" customFormat="1" ht="15" customHeight="1">
      <c r="A558" s="10">
        <v>43921</v>
      </c>
      <c r="B558" s="8" t="s">
        <v>1116</v>
      </c>
      <c r="C558" s="11">
        <v>72221</v>
      </c>
      <c r="D558" s="12" t="str">
        <f>IF(C558&gt;0,(VLOOKUP(C558,'Blnct AR'!$C$2:$D$2255,2,0))," ")</f>
        <v>Ordenados</v>
      </c>
      <c r="E558" s="21" t="s">
        <v>1923</v>
      </c>
      <c r="F558" s="20">
        <v>320000</v>
      </c>
      <c r="G558" s="20"/>
      <c r="I558" s="37"/>
    </row>
    <row r="559" spans="1:9" s="14" customFormat="1" ht="15" customHeight="1">
      <c r="A559" s="10">
        <v>43921</v>
      </c>
      <c r="B559" s="8" t="s">
        <v>1922</v>
      </c>
      <c r="C559" s="11">
        <v>43101</v>
      </c>
      <c r="D559" s="12" t="str">
        <f>IF(C559&gt;0,(VLOOKUP(C559,'Blnct AR'!$C$2:$D$2255,2,0))," ")</f>
        <v>Banco - BFA</v>
      </c>
      <c r="E559" s="21" t="s">
        <v>1911</v>
      </c>
      <c r="F559" s="20"/>
      <c r="G559" s="20">
        <v>38699.919999999998</v>
      </c>
      <c r="I559" s="37"/>
    </row>
    <row r="560" spans="1:9" s="14" customFormat="1" ht="15" customHeight="1">
      <c r="A560" s="10">
        <v>43921</v>
      </c>
      <c r="B560" s="8" t="s">
        <v>1922</v>
      </c>
      <c r="C560" s="11">
        <v>752202</v>
      </c>
      <c r="D560" s="12" t="str">
        <f>IF(C560&gt;0,(VLOOKUP(C560,'Blnct AR'!$C$2:$D$2255,2,0))," ")</f>
        <v>Telefone Móvel / Internet</v>
      </c>
      <c r="E560" s="21" t="s">
        <v>1911</v>
      </c>
      <c r="F560" s="20">
        <v>38699.919999999998</v>
      </c>
      <c r="G560" s="20"/>
      <c r="I560" s="37"/>
    </row>
    <row r="561" spans="1:9" s="14" customFormat="1" ht="15" customHeight="1">
      <c r="A561" s="10">
        <v>43921</v>
      </c>
      <c r="B561" s="8" t="s">
        <v>1841</v>
      </c>
      <c r="C561" s="11">
        <v>43101</v>
      </c>
      <c r="D561" s="12" t="str">
        <f>IF(C561&gt;0,(VLOOKUP(C561,'Blnct AR'!$C$2:$D$2255,2,0))," ")</f>
        <v>Banco - BFA</v>
      </c>
      <c r="E561" s="21" t="s">
        <v>1924</v>
      </c>
      <c r="F561" s="20"/>
      <c r="G561" s="20">
        <v>2000</v>
      </c>
      <c r="I561" s="37"/>
    </row>
    <row r="562" spans="1:9" s="14" customFormat="1" ht="15" customHeight="1">
      <c r="A562" s="10">
        <v>43921</v>
      </c>
      <c r="B562" s="8" t="s">
        <v>1841</v>
      </c>
      <c r="C562" s="11">
        <v>752232</v>
      </c>
      <c r="D562" s="12" t="str">
        <f>IF(C562&gt;0,(VLOOKUP(C562,'Blnct AR'!$C$2:$D$2255,2,0))," ")</f>
        <v>Viagens</v>
      </c>
      <c r="E562" s="21" t="s">
        <v>1924</v>
      </c>
      <c r="F562" s="20">
        <v>2000</v>
      </c>
      <c r="G562" s="20"/>
      <c r="I562" s="37"/>
    </row>
    <row r="563" spans="1:9" s="14" customFormat="1" ht="15" customHeight="1">
      <c r="A563" s="10">
        <v>43921</v>
      </c>
      <c r="B563" s="8" t="s">
        <v>1915</v>
      </c>
      <c r="C563" s="11">
        <v>43101</v>
      </c>
      <c r="D563" s="12" t="str">
        <f>IF(C563&gt;0,(VLOOKUP(C563,'Blnct AR'!$C$2:$D$2255,2,0))," ")</f>
        <v>Banco - BFA</v>
      </c>
      <c r="E563" s="21" t="s">
        <v>42</v>
      </c>
      <c r="F563" s="20"/>
      <c r="G563" s="20">
        <v>1425</v>
      </c>
      <c r="I563" s="37"/>
    </row>
    <row r="564" spans="1:9" s="14" customFormat="1" ht="15" customHeight="1">
      <c r="A564" s="10">
        <v>43921</v>
      </c>
      <c r="B564" s="8" t="s">
        <v>1915</v>
      </c>
      <c r="C564" s="11">
        <v>75229</v>
      </c>
      <c r="D564" s="12" t="str">
        <f>IF(C564&gt;0,(VLOOKUP(C564,'Blnct AR'!$C$2:$D$2255,2,0))," ")</f>
        <v>Publicidade e propaganda</v>
      </c>
      <c r="E564" s="21" t="s">
        <v>42</v>
      </c>
      <c r="F564" s="20">
        <v>1425</v>
      </c>
      <c r="G564" s="20"/>
      <c r="I564" s="37"/>
    </row>
    <row r="565" spans="1:9" s="14" customFormat="1" ht="15" customHeight="1">
      <c r="A565" s="10"/>
      <c r="B565" s="8" t="s">
        <v>2009</v>
      </c>
      <c r="C565" s="11"/>
      <c r="D565" s="12"/>
      <c r="E565" s="21"/>
      <c r="F565" s="20"/>
      <c r="G565" s="20"/>
      <c r="I565" s="37"/>
    </row>
    <row r="566" spans="1:9" s="14" customFormat="1" ht="15" customHeight="1">
      <c r="A566" s="10">
        <v>43921</v>
      </c>
      <c r="B566" s="8" t="s">
        <v>1932</v>
      </c>
      <c r="C566" s="11">
        <v>43106</v>
      </c>
      <c r="D566" s="12" t="str">
        <f>IF(C566&gt;0,(VLOOKUP(C566,'Blnct AR'!$C$2:$D$2255,2,0))," ")</f>
        <v>Banco BIC - 118133685.15.1</v>
      </c>
      <c r="E566" s="21" t="s">
        <v>1937</v>
      </c>
      <c r="F566" s="20"/>
      <c r="G566" s="20">
        <v>1890677.46</v>
      </c>
      <c r="I566" s="37"/>
    </row>
    <row r="567" spans="1:9" s="14" customFormat="1" ht="15" customHeight="1">
      <c r="A567" s="10">
        <v>43921</v>
      </c>
      <c r="B567" s="8" t="s">
        <v>1932</v>
      </c>
      <c r="C567" s="11">
        <v>7111</v>
      </c>
      <c r="D567" s="12" t="str">
        <f>IF(C567&gt;0,(VLOOKUP(C567,'Blnct AR'!$C$2:$D$2255,2,0))," ")</f>
        <v>Mp - cevc</v>
      </c>
      <c r="E567" s="21" t="s">
        <v>1937</v>
      </c>
      <c r="F567" s="20">
        <v>1890677.46</v>
      </c>
      <c r="G567" s="20"/>
      <c r="I567" s="37"/>
    </row>
    <row r="568" spans="1:9" s="14" customFormat="1" ht="15" customHeight="1">
      <c r="A568" s="10">
        <v>43921</v>
      </c>
      <c r="B568" s="8" t="s">
        <v>1869</v>
      </c>
      <c r="C568" s="11">
        <v>43106</v>
      </c>
      <c r="D568" s="12" t="str">
        <f>IF(C568&gt;0,(VLOOKUP(C568,'Blnct AR'!$C$2:$D$2255,2,0))," ")</f>
        <v>Banco BIC - 118133685.15.1</v>
      </c>
      <c r="E568" s="21" t="s">
        <v>1869</v>
      </c>
      <c r="F568" s="20"/>
      <c r="G568" s="20">
        <v>600</v>
      </c>
      <c r="I568" s="37"/>
    </row>
    <row r="569" spans="1:9" s="14" customFormat="1" ht="15" customHeight="1">
      <c r="A569" s="10">
        <v>43921</v>
      </c>
      <c r="B569" s="8" t="s">
        <v>1869</v>
      </c>
      <c r="C569" s="11">
        <v>767801</v>
      </c>
      <c r="D569" s="12" t="str">
        <f>IF(C569&gt;0,(VLOOKUP(C569,'Blnct AR'!$C$2:$D$2255,2,0))," ")</f>
        <v>Despesas Operacionais</v>
      </c>
      <c r="E569" s="21" t="s">
        <v>1869</v>
      </c>
      <c r="F569" s="20">
        <v>600</v>
      </c>
      <c r="G569" s="20"/>
      <c r="I569" s="37"/>
    </row>
    <row r="570" spans="1:9" s="14" customFormat="1" ht="15" customHeight="1">
      <c r="A570" s="10">
        <v>43921</v>
      </c>
      <c r="B570" s="8" t="s">
        <v>132</v>
      </c>
      <c r="C570" s="11">
        <v>43106</v>
      </c>
      <c r="D570" s="12" t="str">
        <f>IF(C570&gt;0,(VLOOKUP(C570,'Blnct AR'!$C$2:$D$2255,2,0))," ")</f>
        <v>Banco BIC - 118133685.15.1</v>
      </c>
      <c r="E570" s="21" t="s">
        <v>1966</v>
      </c>
      <c r="F570" s="20"/>
      <c r="G570" s="20">
        <v>171840.7</v>
      </c>
      <c r="I570" s="37"/>
    </row>
    <row r="571" spans="1:9" s="14" customFormat="1" ht="15" customHeight="1">
      <c r="A571" s="10">
        <v>43921</v>
      </c>
      <c r="B571" s="8" t="s">
        <v>132</v>
      </c>
      <c r="C571" s="11">
        <v>72522</v>
      </c>
      <c r="D571" s="12" t="str">
        <f>IF(C571&gt;0,(VLOOKUP(C571,'Blnct AR'!$C$2:$D$2255,2,0))," ")</f>
        <v>Produção Seg. Social</v>
      </c>
      <c r="E571" s="21" t="s">
        <v>1966</v>
      </c>
      <c r="F571" s="20">
        <v>171840.7</v>
      </c>
      <c r="G571" s="20"/>
      <c r="I571" s="37"/>
    </row>
    <row r="572" spans="1:9" s="14" customFormat="1" ht="15" customHeight="1">
      <c r="A572" s="10">
        <v>43921</v>
      </c>
      <c r="B572" s="8" t="s">
        <v>1928</v>
      </c>
      <c r="C572" s="11">
        <v>43106</v>
      </c>
      <c r="D572" s="12" t="str">
        <f>IF(C572&gt;0,(VLOOKUP(C572,'Blnct AR'!$C$2:$D$2255,2,0))," ")</f>
        <v>Banco BIC - 118133685.15.1</v>
      </c>
      <c r="E572" s="21" t="s">
        <v>1967</v>
      </c>
      <c r="F572" s="20"/>
      <c r="G572" s="20">
        <v>181619.1</v>
      </c>
      <c r="I572" s="37"/>
    </row>
    <row r="573" spans="1:9" s="14" customFormat="1" ht="15" customHeight="1">
      <c r="A573" s="10">
        <v>43921</v>
      </c>
      <c r="B573" s="8" t="s">
        <v>1928</v>
      </c>
      <c r="C573" s="11">
        <v>75215</v>
      </c>
      <c r="D573" s="12" t="str">
        <f>IF(C573&gt;0,(VLOOKUP(C573,'Blnct AR'!$C$2:$D$2255,2,0))," ")</f>
        <v>Material protecção, seg.e conforto</v>
      </c>
      <c r="E573" s="21" t="s">
        <v>1967</v>
      </c>
      <c r="F573" s="20">
        <v>181619.1</v>
      </c>
      <c r="G573" s="20"/>
      <c r="I573" s="37"/>
    </row>
    <row r="574" spans="1:9" s="14" customFormat="1" ht="15" customHeight="1">
      <c r="A574" s="10">
        <v>43921</v>
      </c>
      <c r="B574" s="8" t="s">
        <v>1949</v>
      </c>
      <c r="C574" s="11">
        <v>43106</v>
      </c>
      <c r="D574" s="12" t="str">
        <f>IF(C574&gt;0,(VLOOKUP(C574,'Blnct AR'!$C$2:$D$2255,2,0))," ")</f>
        <v>Banco BIC - 118133685.15.1</v>
      </c>
      <c r="E574" s="21" t="s">
        <v>1937</v>
      </c>
      <c r="F574" s="20"/>
      <c r="G574" s="20">
        <v>233715.7</v>
      </c>
      <c r="I574" s="37"/>
    </row>
    <row r="575" spans="1:9" s="14" customFormat="1" ht="15" customHeight="1">
      <c r="A575" s="10">
        <v>43921</v>
      </c>
      <c r="B575" s="8" t="s">
        <v>1949</v>
      </c>
      <c r="C575" s="11">
        <v>75216</v>
      </c>
      <c r="D575" s="12" t="str">
        <f>IF(C575&gt;0,(VLOOKUP(C575,'Blnct AR'!$C$2:$D$2255,2,0))," ")</f>
        <v>Ferrament.e utensílios desg.rápido</v>
      </c>
      <c r="E575" s="21" t="s">
        <v>1937</v>
      </c>
      <c r="F575" s="20">
        <v>233715.7</v>
      </c>
      <c r="G575" s="20"/>
      <c r="I575" s="37"/>
    </row>
    <row r="576" spans="1:9" s="14" customFormat="1" ht="15" customHeight="1">
      <c r="A576" s="10">
        <v>43921</v>
      </c>
      <c r="B576" s="8" t="s">
        <v>1848</v>
      </c>
      <c r="C576" s="11">
        <v>43106</v>
      </c>
      <c r="D576" s="12" t="str">
        <f>IF(C576&gt;0,(VLOOKUP(C576,'Blnct AR'!$C$2:$D$2255,2,0))," ")</f>
        <v>Banco BIC - 118133685.15.1</v>
      </c>
      <c r="E576" s="21" t="s">
        <v>1968</v>
      </c>
      <c r="F576" s="20"/>
      <c r="G576" s="20">
        <v>266475</v>
      </c>
      <c r="I576" s="37"/>
    </row>
    <row r="577" spans="1:9" s="14" customFormat="1" ht="15" customHeight="1">
      <c r="A577" s="10">
        <v>43921</v>
      </c>
      <c r="B577" s="8" t="s">
        <v>1848</v>
      </c>
      <c r="C577" s="11">
        <v>75227</v>
      </c>
      <c r="D577" s="12" t="str">
        <f>IF(C577&gt;0,(VLOOKUP(C577,'Blnct AR'!$C$2:$D$2255,2,0))," ")</f>
        <v>Vigilância e segurança</v>
      </c>
      <c r="E577" s="21" t="s">
        <v>1968</v>
      </c>
      <c r="F577" s="20">
        <v>266475</v>
      </c>
      <c r="G577" s="20"/>
      <c r="I577" s="37"/>
    </row>
    <row r="578" spans="1:9" s="14" customFormat="1" ht="15" customHeight="1">
      <c r="A578" s="10">
        <v>43921</v>
      </c>
      <c r="B578" s="8" t="s">
        <v>1841</v>
      </c>
      <c r="C578" s="11">
        <v>43106</v>
      </c>
      <c r="D578" s="12" t="str">
        <f>IF(C578&gt;0,(VLOOKUP(C578,'Blnct AR'!$C$2:$D$2255,2,0))," ")</f>
        <v>Banco BIC - 118133685.15.1</v>
      </c>
      <c r="E578" s="21" t="s">
        <v>1969</v>
      </c>
      <c r="F578" s="20"/>
      <c r="G578" s="20">
        <v>624500</v>
      </c>
      <c r="I578" s="37"/>
    </row>
    <row r="579" spans="1:9" s="14" customFormat="1" ht="15" customHeight="1">
      <c r="A579" s="10">
        <v>43921</v>
      </c>
      <c r="B579" s="8" t="s">
        <v>1841</v>
      </c>
      <c r="C579" s="11">
        <v>752213</v>
      </c>
      <c r="D579" s="12" t="str">
        <f>IF(C579&gt;0,(VLOOKUP(C579,'Blnct AR'!$C$2:$D$2255,2,0))," ")</f>
        <v>Aluguer meios de elevação</v>
      </c>
      <c r="E579" s="21" t="s">
        <v>1969</v>
      </c>
      <c r="F579" s="20">
        <v>624500</v>
      </c>
      <c r="G579" s="20"/>
      <c r="I579" s="37"/>
    </row>
    <row r="580" spans="1:9" s="14" customFormat="1" ht="15" customHeight="1">
      <c r="A580" s="10">
        <v>43921</v>
      </c>
      <c r="B580" s="8" t="s">
        <v>1869</v>
      </c>
      <c r="C580" s="11">
        <v>43106</v>
      </c>
      <c r="D580" s="12" t="str">
        <f>IF(C580&gt;0,(VLOOKUP(C580,'Blnct AR'!$C$2:$D$2255,2,0))," ")</f>
        <v>Banco BIC - 118133685.15.1</v>
      </c>
      <c r="E580" s="21" t="s">
        <v>1869</v>
      </c>
      <c r="F580" s="20"/>
      <c r="G580" s="20">
        <v>84</v>
      </c>
      <c r="I580" s="37"/>
    </row>
    <row r="581" spans="1:9" s="14" customFormat="1" ht="15" customHeight="1">
      <c r="A581" s="10">
        <v>43921</v>
      </c>
      <c r="B581" s="8" t="s">
        <v>1869</v>
      </c>
      <c r="C581" s="11">
        <v>75314</v>
      </c>
      <c r="D581" s="12" t="str">
        <f>IF(C581&gt;0,(VLOOKUP(C581,'Blnct AR'!$C$2:$D$2255,2,0))," ")</f>
        <v>IVA Suportado</v>
      </c>
      <c r="E581" s="21" t="s">
        <v>1869</v>
      </c>
      <c r="F581" s="20">
        <v>84</v>
      </c>
      <c r="G581" s="20"/>
      <c r="I581" s="37"/>
    </row>
    <row r="582" spans="1:9" s="14" customFormat="1" ht="15" customHeight="1">
      <c r="A582" s="10"/>
      <c r="B582" s="8" t="s">
        <v>2010</v>
      </c>
      <c r="C582" s="11"/>
      <c r="D582" s="12"/>
      <c r="E582" s="21"/>
      <c r="F582" s="20"/>
      <c r="G582" s="20"/>
      <c r="I582" s="37"/>
    </row>
    <row r="583" spans="1:9" s="14" customFormat="1" ht="15" customHeight="1">
      <c r="A583" s="10">
        <v>43921</v>
      </c>
      <c r="B583" s="8" t="s">
        <v>1653</v>
      </c>
      <c r="C583" s="11">
        <v>43103</v>
      </c>
      <c r="D583" s="12" t="str">
        <f>IF(C583&gt;0,(VLOOKUP(C583,'Blnct AR'!$C$2:$D$2255,2,0))," ")</f>
        <v>Milénnium 500471734904 Kz</v>
      </c>
      <c r="E583" s="21" t="s">
        <v>1907</v>
      </c>
      <c r="F583" s="20"/>
      <c r="G583" s="20">
        <v>1200000</v>
      </c>
      <c r="I583" s="37"/>
    </row>
    <row r="584" spans="1:9" s="14" customFormat="1" ht="15" customHeight="1">
      <c r="A584" s="10">
        <v>43921</v>
      </c>
      <c r="B584" s="8" t="s">
        <v>1653</v>
      </c>
      <c r="C584" s="11">
        <v>45111</v>
      </c>
      <c r="D584" s="12" t="str">
        <f>IF(C584&gt;0,(VLOOKUP(C584,'Blnct AR'!$C$2:$D$2255,2,0))," ")</f>
        <v>Caixa Geral</v>
      </c>
      <c r="E584" s="21" t="s">
        <v>1907</v>
      </c>
      <c r="F584" s="20">
        <v>1200000</v>
      </c>
      <c r="G584" s="20"/>
      <c r="I584" s="37"/>
    </row>
    <row r="585" spans="1:9" s="14" customFormat="1" ht="15" customHeight="1">
      <c r="A585" s="10">
        <v>43921</v>
      </c>
      <c r="B585" s="8" t="s">
        <v>1932</v>
      </c>
      <c r="C585" s="11">
        <v>43103</v>
      </c>
      <c r="D585" s="12" t="str">
        <f>IF(C585&gt;0,(VLOOKUP(C585,'Blnct AR'!$C$2:$D$2255,2,0))," ")</f>
        <v>Milénnium 500471734904 Kz</v>
      </c>
      <c r="E585" s="21" t="s">
        <v>1970</v>
      </c>
      <c r="F585" s="20"/>
      <c r="G585" s="20">
        <v>2229586.0100000002</v>
      </c>
      <c r="I585" s="37"/>
    </row>
    <row r="586" spans="1:9" s="14" customFormat="1" ht="15" customHeight="1">
      <c r="A586" s="10">
        <v>43921</v>
      </c>
      <c r="B586" s="8" t="s">
        <v>1932</v>
      </c>
      <c r="C586" s="11">
        <v>7111</v>
      </c>
      <c r="D586" s="12" t="str">
        <f>IF(C586&gt;0,(VLOOKUP(C586,'Blnct AR'!$C$2:$D$2255,2,0))," ")</f>
        <v>Mp - cevc</v>
      </c>
      <c r="E586" s="21" t="s">
        <v>1970</v>
      </c>
      <c r="F586" s="20">
        <v>2229586.0100000002</v>
      </c>
      <c r="G586" s="20"/>
      <c r="I586" s="37"/>
    </row>
    <row r="587" spans="1:9" s="14" customFormat="1" ht="15" customHeight="1">
      <c r="A587" s="10">
        <v>43921</v>
      </c>
      <c r="B587" s="8" t="s">
        <v>1946</v>
      </c>
      <c r="C587" s="11">
        <v>43103</v>
      </c>
      <c r="D587" s="12" t="str">
        <f>IF(C587&gt;0,(VLOOKUP(C587,'Blnct AR'!$C$2:$D$2255,2,0))," ")</f>
        <v>Milénnium 500471734904 Kz</v>
      </c>
      <c r="E587" s="21" t="s">
        <v>1857</v>
      </c>
      <c r="F587" s="20"/>
      <c r="G587" s="20">
        <v>2330</v>
      </c>
      <c r="I587" s="37"/>
    </row>
    <row r="588" spans="1:9" s="14" customFormat="1" ht="15" customHeight="1">
      <c r="A588" s="10">
        <v>43921</v>
      </c>
      <c r="B588" s="8" t="s">
        <v>1946</v>
      </c>
      <c r="C588" s="11">
        <v>728220</v>
      </c>
      <c r="D588" s="12" t="str">
        <f>IF(C588&gt;0,(VLOOKUP(C588,'Blnct AR'!$C$2:$D$2255,2,0))," ")</f>
        <v>Saúde</v>
      </c>
      <c r="E588" s="21" t="s">
        <v>1857</v>
      </c>
      <c r="F588" s="20">
        <v>2330</v>
      </c>
      <c r="G588" s="20"/>
      <c r="I588" s="37"/>
    </row>
    <row r="589" spans="1:9" s="14" customFormat="1" ht="15" customHeight="1">
      <c r="A589" s="10">
        <v>43921</v>
      </c>
      <c r="B589" s="8" t="s">
        <v>1844</v>
      </c>
      <c r="C589" s="11">
        <v>43103</v>
      </c>
      <c r="D589" s="12" t="str">
        <f>IF(C589&gt;0,(VLOOKUP(C589,'Blnct AR'!$C$2:$D$2255,2,0))," ")</f>
        <v>Milénnium 500471734904 Kz</v>
      </c>
      <c r="E589" s="21" t="s">
        <v>1947</v>
      </c>
      <c r="F589" s="20"/>
      <c r="G589" s="20">
        <v>340383.39</v>
      </c>
      <c r="I589" s="37"/>
    </row>
    <row r="590" spans="1:9" s="14" customFormat="1" ht="15" customHeight="1">
      <c r="A590" s="10">
        <v>43921</v>
      </c>
      <c r="B590" s="8" t="s">
        <v>1844</v>
      </c>
      <c r="C590" s="11">
        <v>7522122</v>
      </c>
      <c r="D590" s="12" t="str">
        <f>IF(C590&gt;0,(VLOOKUP(C590,'Blnct AR'!$C$2:$D$2255,2,0))," ")</f>
        <v>Aluguer de Viatura</v>
      </c>
      <c r="E590" s="21" t="s">
        <v>1947</v>
      </c>
      <c r="F590" s="20">
        <v>340383.39</v>
      </c>
      <c r="G590" s="20"/>
      <c r="I590" s="37"/>
    </row>
    <row r="591" spans="1:9" s="14" customFormat="1" ht="15" customHeight="1">
      <c r="A591" s="10">
        <v>43921</v>
      </c>
      <c r="B591" s="8" t="s">
        <v>1869</v>
      </c>
      <c r="C591" s="11">
        <v>43103</v>
      </c>
      <c r="D591" s="12" t="str">
        <f>IF(C591&gt;0,(VLOOKUP(C591,'Blnct AR'!$C$2:$D$2255,2,0))," ")</f>
        <v>Milénnium 500471734904 Kz</v>
      </c>
      <c r="E591" s="21" t="s">
        <v>1869</v>
      </c>
      <c r="F591" s="20"/>
      <c r="G591" s="20">
        <v>8200</v>
      </c>
      <c r="I591" s="37"/>
    </row>
    <row r="592" spans="1:9" s="14" customFormat="1" ht="15" customHeight="1">
      <c r="A592" s="10">
        <v>43921</v>
      </c>
      <c r="B592" s="8" t="s">
        <v>1869</v>
      </c>
      <c r="C592" s="11">
        <v>767801</v>
      </c>
      <c r="D592" s="12" t="str">
        <f>IF(C592&gt;0,(VLOOKUP(C592,'Blnct AR'!$C$2:$D$2255,2,0))," ")</f>
        <v>Despesas Operacionais</v>
      </c>
      <c r="E592" s="21" t="s">
        <v>1869</v>
      </c>
      <c r="F592" s="20">
        <v>8200</v>
      </c>
      <c r="G592" s="20"/>
      <c r="I592" s="37"/>
    </row>
    <row r="593" spans="1:9" s="14" customFormat="1" ht="15" customHeight="1">
      <c r="A593" s="10">
        <v>43921</v>
      </c>
      <c r="B593" s="8" t="s">
        <v>1116</v>
      </c>
      <c r="C593" s="11">
        <v>43103</v>
      </c>
      <c r="D593" s="12" t="str">
        <f>IF(C593&gt;0,(VLOOKUP(C593,'Blnct AR'!$C$2:$D$2255,2,0))," ")</f>
        <v>Milénnium 500471734904 Kz</v>
      </c>
      <c r="E593" s="21" t="s">
        <v>1971</v>
      </c>
      <c r="F593" s="20"/>
      <c r="G593" s="20">
        <v>2506096.6300000004</v>
      </c>
      <c r="I593" s="37"/>
    </row>
    <row r="594" spans="1:9" s="14" customFormat="1" ht="15" customHeight="1">
      <c r="A594" s="10">
        <v>43921</v>
      </c>
      <c r="B594" s="8" t="s">
        <v>1116</v>
      </c>
      <c r="C594" s="11">
        <v>72221</v>
      </c>
      <c r="D594" s="12" t="str">
        <f>IF(C594&gt;0,(VLOOKUP(C594,'Blnct AR'!$C$2:$D$2255,2,0))," ")</f>
        <v>Ordenados</v>
      </c>
      <c r="E594" s="21" t="s">
        <v>1971</v>
      </c>
      <c r="F594" s="20">
        <v>2506096.6300000004</v>
      </c>
      <c r="G594" s="20"/>
      <c r="I594" s="37"/>
    </row>
    <row r="595" spans="1:9" s="14" customFormat="1" ht="15" customHeight="1">
      <c r="A595" s="10">
        <v>43921</v>
      </c>
      <c r="B595" s="8" t="s">
        <v>1976</v>
      </c>
      <c r="C595" s="11">
        <v>43103</v>
      </c>
      <c r="D595" s="12" t="str">
        <f>IF(C595&gt;0,(VLOOKUP(C595,'Blnct AR'!$C$2:$D$2255,2,0))," ")</f>
        <v>Milénnium 500471734904 Kz</v>
      </c>
      <c r="E595" s="21" t="s">
        <v>1972</v>
      </c>
      <c r="F595" s="20"/>
      <c r="G595" s="20">
        <v>2276608.13</v>
      </c>
      <c r="I595" s="37"/>
    </row>
    <row r="596" spans="1:9" s="14" customFormat="1" ht="15" customHeight="1">
      <c r="A596" s="10">
        <v>43921</v>
      </c>
      <c r="B596" s="8" t="s">
        <v>1976</v>
      </c>
      <c r="C596" s="11">
        <v>75113</v>
      </c>
      <c r="D596" s="12" t="str">
        <f>IF(C596&gt;0,(VLOOKUP(C596,'Blnct AR'!$C$2:$D$2255,2,0))," ")</f>
        <v>Empreitada B13 Cimaleste</v>
      </c>
      <c r="E596" s="21" t="s">
        <v>1972</v>
      </c>
      <c r="F596" s="20">
        <v>2276608.13</v>
      </c>
      <c r="G596" s="20"/>
      <c r="I596" s="37"/>
    </row>
    <row r="597" spans="1:9" s="14" customFormat="1" ht="15" customHeight="1">
      <c r="A597" s="10">
        <v>43921</v>
      </c>
      <c r="B597" s="8" t="s">
        <v>1976</v>
      </c>
      <c r="C597" s="11">
        <v>43103</v>
      </c>
      <c r="D597" s="12" t="str">
        <f>IF(C597&gt;0,(VLOOKUP(C597,'Blnct AR'!$C$2:$D$2255,2,0))," ")</f>
        <v>Milénnium 500471734904 Kz</v>
      </c>
      <c r="E597" s="21" t="s">
        <v>1993</v>
      </c>
      <c r="F597" s="20"/>
      <c r="G597" s="20">
        <v>200000</v>
      </c>
      <c r="I597" s="37"/>
    </row>
    <row r="598" spans="1:9" s="14" customFormat="1" ht="15" customHeight="1">
      <c r="A598" s="10">
        <v>43921</v>
      </c>
      <c r="B598" s="8" t="s">
        <v>1976</v>
      </c>
      <c r="C598" s="11">
        <v>75114</v>
      </c>
      <c r="D598" s="12" t="str">
        <f>IF(C598&gt;0,(VLOOKUP(C598,'Blnct AR'!$C$2:$D$2255,2,0))," ")</f>
        <v>Empreitada B13 Sdavid</v>
      </c>
      <c r="E598" s="21" t="s">
        <v>1993</v>
      </c>
      <c r="F598" s="20">
        <v>200000</v>
      </c>
      <c r="G598" s="20"/>
      <c r="I598" s="37"/>
    </row>
    <row r="599" spans="1:9" s="14" customFormat="1" ht="15" customHeight="1">
      <c r="A599" s="10">
        <v>43921</v>
      </c>
      <c r="B599" s="8" t="s">
        <v>1928</v>
      </c>
      <c r="C599" s="11">
        <v>43103</v>
      </c>
      <c r="D599" s="12" t="str">
        <f>IF(C599&gt;0,(VLOOKUP(C599,'Blnct AR'!$C$2:$D$2255,2,0))," ")</f>
        <v>Milénnium 500471734904 Kz</v>
      </c>
      <c r="E599" s="21" t="s">
        <v>1994</v>
      </c>
      <c r="F599" s="20"/>
      <c r="G599" s="20">
        <v>47291</v>
      </c>
      <c r="I599" s="37"/>
    </row>
    <row r="600" spans="1:9" s="14" customFormat="1" ht="15" customHeight="1">
      <c r="A600" s="10">
        <v>43921</v>
      </c>
      <c r="B600" s="8" t="s">
        <v>1928</v>
      </c>
      <c r="C600" s="11">
        <v>75215</v>
      </c>
      <c r="D600" s="12" t="str">
        <f>IF(C600&gt;0,(VLOOKUP(C600,'Blnct AR'!$C$2:$D$2255,2,0))," ")</f>
        <v>Material protecção, seg.e conforto</v>
      </c>
      <c r="E600" s="21" t="s">
        <v>1994</v>
      </c>
      <c r="F600" s="20">
        <v>47291</v>
      </c>
      <c r="G600" s="20"/>
      <c r="I600" s="37"/>
    </row>
    <row r="601" spans="1:9" s="14" customFormat="1" ht="15" customHeight="1">
      <c r="A601" s="10">
        <v>43921</v>
      </c>
      <c r="B601" s="8" t="s">
        <v>1949</v>
      </c>
      <c r="C601" s="11">
        <v>43103</v>
      </c>
      <c r="D601" s="12" t="str">
        <f>IF(C601&gt;0,(VLOOKUP(C601,'Blnct AR'!$C$2:$D$2255,2,0))," ")</f>
        <v>Milénnium 500471734904 Kz</v>
      </c>
      <c r="E601" s="21" t="s">
        <v>1996</v>
      </c>
      <c r="F601" s="20" t="s">
        <v>1995</v>
      </c>
      <c r="G601" s="20">
        <v>151696.47</v>
      </c>
      <c r="I601" s="37"/>
    </row>
    <row r="602" spans="1:9" s="14" customFormat="1" ht="15" customHeight="1">
      <c r="A602" s="10">
        <v>43921</v>
      </c>
      <c r="B602" s="8" t="s">
        <v>1949</v>
      </c>
      <c r="C602" s="11">
        <v>75216</v>
      </c>
      <c r="D602" s="12" t="str">
        <f>IF(C602&gt;0,(VLOOKUP(C602,'Blnct AR'!$C$2:$D$2255,2,0))," ")</f>
        <v>Ferrament.e utensílios desg.rápido</v>
      </c>
      <c r="E602" s="21" t="s">
        <v>1996</v>
      </c>
      <c r="F602" s="20">
        <v>151696.47</v>
      </c>
      <c r="G602" s="20"/>
      <c r="I602" s="37"/>
    </row>
    <row r="603" spans="1:9" s="14" customFormat="1" ht="15" customHeight="1">
      <c r="A603" s="10">
        <v>43921</v>
      </c>
      <c r="B603" s="8" t="s">
        <v>1922</v>
      </c>
      <c r="C603" s="11">
        <v>43103</v>
      </c>
      <c r="D603" s="12" t="str">
        <f>IF(C603&gt;0,(VLOOKUP(C603,'Blnct AR'!$C$2:$D$2255,2,0))," ")</f>
        <v>Milénnium 500471734904 Kz</v>
      </c>
      <c r="E603" s="21" t="s">
        <v>1911</v>
      </c>
      <c r="F603" s="20"/>
      <c r="G603" s="20">
        <v>121780</v>
      </c>
      <c r="I603" s="37"/>
    </row>
    <row r="604" spans="1:9" s="14" customFormat="1" ht="15" customHeight="1">
      <c r="A604" s="10">
        <v>43921</v>
      </c>
      <c r="B604" s="8" t="s">
        <v>1922</v>
      </c>
      <c r="C604" s="11">
        <v>752202</v>
      </c>
      <c r="D604" s="12" t="str">
        <f>IF(C604&gt;0,(VLOOKUP(C604,'Blnct AR'!$C$2:$D$2255,2,0))," ")</f>
        <v>Telefone Móvel / Internet</v>
      </c>
      <c r="E604" s="21" t="s">
        <v>1911</v>
      </c>
      <c r="F604" s="20">
        <v>121780</v>
      </c>
      <c r="G604" s="20"/>
      <c r="I604" s="37"/>
    </row>
    <row r="605" spans="1:9" s="14" customFormat="1" ht="15" customHeight="1">
      <c r="A605" s="10">
        <v>43921</v>
      </c>
      <c r="B605" s="8" t="s">
        <v>1984</v>
      </c>
      <c r="C605" s="11">
        <v>43103</v>
      </c>
      <c r="D605" s="12" t="str">
        <f>IF(C605&gt;0,(VLOOKUP(C605,'Blnct AR'!$C$2:$D$2255,2,0))," ")</f>
        <v>Milénnium 500471734904 Kz</v>
      </c>
      <c r="E605" s="21" t="s">
        <v>1951</v>
      </c>
      <c r="F605" s="20"/>
      <c r="G605" s="20">
        <v>663001.64</v>
      </c>
      <c r="I605" s="37"/>
    </row>
    <row r="606" spans="1:9" s="14" customFormat="1" ht="15" customHeight="1">
      <c r="A606" s="10">
        <v>43921</v>
      </c>
      <c r="B606" s="8" t="s">
        <v>1984</v>
      </c>
      <c r="C606" s="11">
        <v>752231</v>
      </c>
      <c r="D606" s="12" t="str">
        <f>IF(C606&gt;0,(VLOOKUP(C606,'Blnct AR'!$C$2:$D$2255,2,0))," ")</f>
        <v>Refeições e estadas</v>
      </c>
      <c r="E606" s="21" t="s">
        <v>1951</v>
      </c>
      <c r="F606" s="20">
        <v>663001.64</v>
      </c>
      <c r="G606" s="20"/>
      <c r="I606" s="37"/>
    </row>
    <row r="607" spans="1:9" s="14" customFormat="1" ht="15" customHeight="1">
      <c r="A607" s="10">
        <v>43921</v>
      </c>
      <c r="B607" s="8" t="s">
        <v>1921</v>
      </c>
      <c r="C607" s="11">
        <v>43103</v>
      </c>
      <c r="D607" s="12" t="str">
        <f>IF(C607&gt;0,(VLOOKUP(C607,'Blnct AR'!$C$2:$D$2255,2,0))," ")</f>
        <v>Milénnium 500471734904 Kz</v>
      </c>
      <c r="E607" s="21" t="s">
        <v>1860</v>
      </c>
      <c r="F607" s="20"/>
      <c r="G607" s="20">
        <v>33464.14</v>
      </c>
      <c r="I607" s="37"/>
    </row>
    <row r="608" spans="1:9" s="14" customFormat="1" ht="15" customHeight="1">
      <c r="A608" s="10">
        <v>43921</v>
      </c>
      <c r="B608" s="8" t="s">
        <v>1921</v>
      </c>
      <c r="C608" s="11">
        <v>75228</v>
      </c>
      <c r="D608" s="12" t="str">
        <f>IF(C608&gt;0,(VLOOKUP(C608,'Blnct AR'!$C$2:$D$2255,2,0))," ")</f>
        <v>Limpeza, higiene e conforto</v>
      </c>
      <c r="E608" s="21" t="s">
        <v>1860</v>
      </c>
      <c r="F608" s="20">
        <v>33464.14</v>
      </c>
      <c r="G608" s="20"/>
      <c r="I608" s="37"/>
    </row>
    <row r="609" spans="1:9" s="14" customFormat="1" ht="15" customHeight="1">
      <c r="A609" s="10">
        <v>43921</v>
      </c>
      <c r="B609" s="8" t="s">
        <v>1955</v>
      </c>
      <c r="C609" s="11">
        <v>43103</v>
      </c>
      <c r="D609" s="12" t="str">
        <f>IF(C609&gt;0,(VLOOKUP(C609,'Blnct AR'!$C$2:$D$2255,2,0))," ")</f>
        <v>Milénnium 500471734904 Kz</v>
      </c>
      <c r="E609" s="21" t="s">
        <v>1861</v>
      </c>
      <c r="F609" s="20"/>
      <c r="G609" s="20">
        <v>86331.7</v>
      </c>
      <c r="I609" s="37"/>
    </row>
    <row r="610" spans="1:9" s="14" customFormat="1" ht="15" customHeight="1">
      <c r="A610" s="10">
        <v>43921</v>
      </c>
      <c r="B610" s="8" t="s">
        <v>1955</v>
      </c>
      <c r="C610" s="11">
        <v>752131</v>
      </c>
      <c r="D610" s="12" t="str">
        <f>IF(C610&gt;0,(VLOOKUP(C610,'Blnct AR'!$C$2:$D$2255,2,0))," ")</f>
        <v>Gasoleo</v>
      </c>
      <c r="E610" s="21" t="s">
        <v>1861</v>
      </c>
      <c r="F610" s="20">
        <v>86331.7</v>
      </c>
      <c r="G610" s="20"/>
      <c r="I610" s="37"/>
    </row>
    <row r="611" spans="1:9" s="14" customFormat="1" ht="15" customHeight="1">
      <c r="A611" s="10">
        <v>43921</v>
      </c>
      <c r="B611" s="8" t="s">
        <v>1955</v>
      </c>
      <c r="C611" s="11">
        <v>43103</v>
      </c>
      <c r="D611" s="12" t="str">
        <f>IF(C611&gt;0,(VLOOKUP(C611,'Blnct AR'!$C$2:$D$2255,2,0))," ")</f>
        <v>Milénnium 500471734904 Kz</v>
      </c>
      <c r="E611" s="21" t="s">
        <v>1861</v>
      </c>
      <c r="F611" s="20"/>
      <c r="G611" s="20">
        <v>43617.599999999999</v>
      </c>
      <c r="I611" s="37"/>
    </row>
    <row r="612" spans="1:9" s="14" customFormat="1" ht="15" customHeight="1">
      <c r="A612" s="10">
        <v>43921</v>
      </c>
      <c r="B612" s="8" t="s">
        <v>1955</v>
      </c>
      <c r="C612" s="11">
        <v>752132</v>
      </c>
      <c r="D612" s="12" t="str">
        <f>IF(C612&gt;0,(VLOOKUP(C612,'Blnct AR'!$C$2:$D$2255,2,0))," ")</f>
        <v>Gasolina</v>
      </c>
      <c r="E612" s="21" t="s">
        <v>1861</v>
      </c>
      <c r="F612" s="20">
        <v>43617.599999999999</v>
      </c>
      <c r="G612" s="20"/>
      <c r="I612" s="37"/>
    </row>
    <row r="613" spans="1:9" s="14" customFormat="1" ht="15" customHeight="1">
      <c r="A613" s="10">
        <v>43921</v>
      </c>
      <c r="B613" s="8" t="s">
        <v>1961</v>
      </c>
      <c r="C613" s="11">
        <v>43103</v>
      </c>
      <c r="D613" s="12" t="str">
        <f>IF(C613&gt;0,(VLOOKUP(C613,'Blnct AR'!$C$2:$D$2255,2,0))," ")</f>
        <v>Milénnium 500471734904 Kz</v>
      </c>
      <c r="E613" s="21" t="s">
        <v>1840</v>
      </c>
      <c r="F613" s="20"/>
      <c r="G613" s="20">
        <v>646765</v>
      </c>
      <c r="I613" s="37"/>
    </row>
    <row r="614" spans="1:9" s="14" customFormat="1" ht="15" customHeight="1">
      <c r="A614" s="10">
        <v>43921</v>
      </c>
      <c r="B614" s="8" t="s">
        <v>1961</v>
      </c>
      <c r="C614" s="11">
        <v>752144</v>
      </c>
      <c r="D614" s="12" t="str">
        <f>IF(C614&gt;0,(VLOOKUP(C614,'Blnct AR'!$C$2:$D$2255,2,0))," ")</f>
        <v>Equipamento de carga e transporte</v>
      </c>
      <c r="E614" s="21" t="s">
        <v>1840</v>
      </c>
      <c r="F614" s="20">
        <v>646765</v>
      </c>
      <c r="G614" s="20"/>
      <c r="I614" s="37"/>
    </row>
    <row r="615" spans="1:9" s="14" customFormat="1" ht="15" customHeight="1">
      <c r="A615" s="10">
        <v>43921</v>
      </c>
      <c r="B615" s="8" t="s">
        <v>1873</v>
      </c>
      <c r="C615" s="11">
        <v>43103</v>
      </c>
      <c r="D615" s="12" t="str">
        <f>IF(C615&gt;0,(VLOOKUP(C615,'Blnct AR'!$C$2:$D$2255,2,0))," ")</f>
        <v>Milénnium 500471734904 Kz</v>
      </c>
      <c r="E615" s="21" t="s">
        <v>1997</v>
      </c>
      <c r="F615" s="20"/>
      <c r="G615" s="20">
        <v>350863.4</v>
      </c>
      <c r="I615" s="37"/>
    </row>
    <row r="616" spans="1:9" s="14" customFormat="1" ht="15" customHeight="1">
      <c r="A616" s="10">
        <v>43921</v>
      </c>
      <c r="B616" s="8" t="s">
        <v>1873</v>
      </c>
      <c r="C616" s="11">
        <v>752211</v>
      </c>
      <c r="D616" s="12" t="str">
        <f>IF(C616&gt;0,(VLOOKUP(C616,'Blnct AR'!$C$2:$D$2255,2,0))," ")</f>
        <v>Rendas de imóveis Prefor</v>
      </c>
      <c r="E616" s="21" t="s">
        <v>1997</v>
      </c>
      <c r="F616" s="20">
        <v>350863.4</v>
      </c>
      <c r="G616" s="20"/>
      <c r="I616" s="37"/>
    </row>
    <row r="617" spans="1:9" s="14" customFormat="1" ht="15" customHeight="1">
      <c r="A617" s="10">
        <v>43921</v>
      </c>
      <c r="B617" s="8" t="s">
        <v>1961</v>
      </c>
      <c r="C617" s="11">
        <v>43103</v>
      </c>
      <c r="D617" s="12" t="str">
        <f>IF(C617&gt;0,(VLOOKUP(C617,'Blnct AR'!$C$2:$D$2255,2,0))," ")</f>
        <v>Milénnium 500471734904 Kz</v>
      </c>
      <c r="E617" s="21" t="s">
        <v>1999</v>
      </c>
      <c r="F617" s="20"/>
      <c r="G617" s="20">
        <v>121920</v>
      </c>
      <c r="I617" s="37"/>
    </row>
    <row r="618" spans="1:9" s="14" customFormat="1" ht="15" customHeight="1">
      <c r="A618" s="10">
        <v>43921</v>
      </c>
      <c r="B618" s="8" t="s">
        <v>1961</v>
      </c>
      <c r="C618" s="11">
        <v>752264</v>
      </c>
      <c r="D618" s="12" t="str">
        <f>IF(C618&gt;0,(VLOOKUP(C618,'Blnct AR'!$C$2:$D$2255,2,0))," ")</f>
        <v>Equipamento de carga e transporte</v>
      </c>
      <c r="E618" s="21" t="s">
        <v>1999</v>
      </c>
      <c r="F618" s="20">
        <v>121920</v>
      </c>
      <c r="G618" s="20"/>
      <c r="I618" s="37"/>
    </row>
    <row r="619" spans="1:9" s="14" customFormat="1" ht="15" customHeight="1">
      <c r="A619" s="10">
        <v>43921</v>
      </c>
      <c r="B619" s="8" t="s">
        <v>63</v>
      </c>
      <c r="C619" s="11">
        <v>43103</v>
      </c>
      <c r="D619" s="12" t="str">
        <f>IF(C619&gt;0,(VLOOKUP(C619,'Blnct AR'!$C$2:$D$2255,2,0))," ")</f>
        <v>Milénnium 500471734904 Kz</v>
      </c>
      <c r="E619" s="21" t="s">
        <v>2000</v>
      </c>
      <c r="F619" s="20"/>
      <c r="G619" s="20">
        <v>727558.62</v>
      </c>
      <c r="I619" s="37"/>
    </row>
    <row r="620" spans="1:9" s="14" customFormat="1" ht="15" customHeight="1">
      <c r="A620" s="10">
        <v>43921</v>
      </c>
      <c r="B620" s="8" t="s">
        <v>63</v>
      </c>
      <c r="C620" s="11">
        <v>75115</v>
      </c>
      <c r="D620" s="12" t="str">
        <f>IF(C620&gt;0,(VLOOKUP(C620,'Blnct AR'!$C$2:$D$2255,2,0))," ")</f>
        <v>Serviços Primavera</v>
      </c>
      <c r="E620" s="21" t="s">
        <v>2000</v>
      </c>
      <c r="F620" s="20">
        <v>727558.62</v>
      </c>
      <c r="G620" s="20"/>
      <c r="I620" s="37"/>
    </row>
    <row r="621" spans="1:9" s="14" customFormat="1" ht="15" customHeight="1">
      <c r="A621" s="10">
        <v>43921</v>
      </c>
      <c r="B621" s="8" t="s">
        <v>1409</v>
      </c>
      <c r="C621" s="11">
        <v>43103</v>
      </c>
      <c r="D621" s="12" t="str">
        <f>IF(C621&gt;0,(VLOOKUP(C621,'Blnct AR'!$C$2:$D$2255,2,0))," ")</f>
        <v>Milénnium 500471734904 Kz</v>
      </c>
      <c r="E621" s="21" t="s">
        <v>135</v>
      </c>
      <c r="F621" s="20"/>
      <c r="G621" s="20">
        <v>149401</v>
      </c>
      <c r="I621" s="37"/>
    </row>
    <row r="622" spans="1:9" s="14" customFormat="1" ht="15" customHeight="1">
      <c r="A622" s="10">
        <v>43921</v>
      </c>
      <c r="B622" s="8" t="s">
        <v>1409</v>
      </c>
      <c r="C622" s="11">
        <v>72523</v>
      </c>
      <c r="D622" s="12" t="str">
        <f>IF(C622&gt;0,(VLOOKUP(C622,'Blnct AR'!$C$2:$D$2255,2,0))," ")</f>
        <v>Produção IRT</v>
      </c>
      <c r="E622" s="21" t="s">
        <v>135</v>
      </c>
      <c r="F622" s="20">
        <v>149401</v>
      </c>
      <c r="G622" s="20"/>
      <c r="I622" s="37"/>
    </row>
    <row r="623" spans="1:9" s="14" customFormat="1" ht="15" customHeight="1">
      <c r="A623" s="10">
        <v>43921</v>
      </c>
      <c r="B623" s="8" t="s">
        <v>1409</v>
      </c>
      <c r="C623" s="11">
        <v>43103</v>
      </c>
      <c r="D623" s="12" t="str">
        <f>IF(C623&gt;0,(VLOOKUP(C623,'Blnct AR'!$C$2:$D$2255,2,0))," ")</f>
        <v>Milénnium 500471734904 Kz</v>
      </c>
      <c r="E623" s="21" t="s">
        <v>1965</v>
      </c>
      <c r="F623" s="20"/>
      <c r="G623" s="20">
        <v>124500</v>
      </c>
      <c r="I623" s="37"/>
    </row>
    <row r="624" spans="1:9" s="14" customFormat="1" ht="15" customHeight="1">
      <c r="A624" s="10">
        <v>43921</v>
      </c>
      <c r="B624" s="8" t="s">
        <v>1409</v>
      </c>
      <c r="C624" s="11">
        <v>75317</v>
      </c>
      <c r="D624" s="12" t="str">
        <f>IF(C624&gt;0,(VLOOKUP(C624,'Blnct AR'!$C$2:$D$2255,2,0))," ")</f>
        <v>IPU</v>
      </c>
      <c r="E624" s="21" t="s">
        <v>1965</v>
      </c>
      <c r="F624" s="20">
        <v>124500</v>
      </c>
      <c r="G624" s="20"/>
      <c r="I624" s="37"/>
    </row>
    <row r="625" spans="1:9" s="14" customFormat="1" ht="15" customHeight="1">
      <c r="A625" s="10">
        <v>43921</v>
      </c>
      <c r="B625" s="8" t="s">
        <v>1869</v>
      </c>
      <c r="C625" s="11">
        <v>43103</v>
      </c>
      <c r="D625" s="12" t="str">
        <f>IF(C625&gt;0,(VLOOKUP(C625,'Blnct AR'!$C$2:$D$2255,2,0))," ")</f>
        <v>Milénnium 500471734904 Kz</v>
      </c>
      <c r="E625" s="21" t="s">
        <v>1869</v>
      </c>
      <c r="F625" s="20"/>
      <c r="G625" s="20">
        <v>1148</v>
      </c>
      <c r="I625" s="37"/>
    </row>
    <row r="626" spans="1:9" s="14" customFormat="1" ht="15" customHeight="1">
      <c r="A626" s="10">
        <v>43921</v>
      </c>
      <c r="B626" s="8" t="s">
        <v>1869</v>
      </c>
      <c r="C626" s="11">
        <v>75314</v>
      </c>
      <c r="D626" s="12" t="str">
        <f>IF(C626&gt;0,(VLOOKUP(C626,'Blnct AR'!$C$2:$D$2255,2,0))," ")</f>
        <v>IVA Suportado</v>
      </c>
      <c r="E626" s="21" t="s">
        <v>1869</v>
      </c>
      <c r="F626" s="20">
        <v>1148</v>
      </c>
      <c r="G626" s="20"/>
      <c r="I626" s="37"/>
    </row>
    <row r="627" spans="1:9" s="14" customFormat="1" ht="15" customHeight="1">
      <c r="A627" s="10"/>
      <c r="B627" s="8" t="s">
        <v>2008</v>
      </c>
      <c r="C627" s="11"/>
      <c r="D627" s="12"/>
      <c r="E627" s="21"/>
      <c r="F627" s="20"/>
      <c r="G627" s="20"/>
      <c r="I627" s="37"/>
    </row>
    <row r="628" spans="1:9" s="14" customFormat="1" ht="15" customHeight="1">
      <c r="A628" s="10">
        <v>43951</v>
      </c>
      <c r="B628" s="8" t="s">
        <v>1922</v>
      </c>
      <c r="C628" s="11">
        <v>43101</v>
      </c>
      <c r="D628" s="12" t="str">
        <f>IF(C628&gt;0,(VLOOKUP(C628,'Blnct AR'!$C$2:$D$2255,2,0))," ")</f>
        <v>Banco - BFA</v>
      </c>
      <c r="E628" s="21" t="s">
        <v>1911</v>
      </c>
      <c r="F628" s="20"/>
      <c r="G628" s="20">
        <v>38699.919999999998</v>
      </c>
      <c r="I628" s="37"/>
    </row>
    <row r="629" spans="1:9" s="14" customFormat="1" ht="15" customHeight="1">
      <c r="A629" s="10">
        <v>43951</v>
      </c>
      <c r="B629" s="8" t="s">
        <v>1922</v>
      </c>
      <c r="C629" s="11">
        <v>752202</v>
      </c>
      <c r="D629" s="12" t="str">
        <f>IF(C629&gt;0,(VLOOKUP(C629,'Blnct AR'!$C$2:$D$2255,2,0))," ")</f>
        <v>Telefone Móvel / Internet</v>
      </c>
      <c r="E629" s="21" t="s">
        <v>1911</v>
      </c>
      <c r="F629" s="20">
        <v>38699.919999999998</v>
      </c>
      <c r="G629" s="20"/>
      <c r="I629" s="37"/>
    </row>
    <row r="630" spans="1:9" s="14" customFormat="1" ht="15" customHeight="1">
      <c r="A630" s="10"/>
      <c r="B630" s="8" t="s">
        <v>2009</v>
      </c>
      <c r="C630" s="11"/>
      <c r="D630" s="12"/>
      <c r="E630" s="21"/>
      <c r="F630" s="20"/>
      <c r="G630" s="20"/>
      <c r="I630" s="37"/>
    </row>
    <row r="631" spans="1:9" s="14" customFormat="1" ht="15" customHeight="1">
      <c r="A631" s="10">
        <v>43951</v>
      </c>
      <c r="B631" s="8" t="s">
        <v>102</v>
      </c>
      <c r="C631" s="11">
        <v>43106</v>
      </c>
      <c r="D631" s="12" t="str">
        <f>IF(C631&gt;0,(VLOOKUP(C631,'Blnct AR'!$C$2:$D$2255,2,0))," ")</f>
        <v>Banco BIC - 118133685.15.1</v>
      </c>
      <c r="E631" s="21" t="s">
        <v>1936</v>
      </c>
      <c r="F631" s="20"/>
      <c r="G631" s="20">
        <v>1500000</v>
      </c>
      <c r="I631" s="37"/>
    </row>
    <row r="632" spans="1:9" s="14" customFormat="1" ht="15" customHeight="1">
      <c r="A632" s="10">
        <v>43951</v>
      </c>
      <c r="B632" s="8" t="s">
        <v>102</v>
      </c>
      <c r="C632" s="11">
        <v>31121100</v>
      </c>
      <c r="D632" s="12" t="str">
        <f>IF(C632&gt;0,(VLOOKUP(C632,'Blnct AR'!$C$2:$D$2255,2,0))," ")</f>
        <v>Motortech serviços</v>
      </c>
      <c r="E632" s="21" t="s">
        <v>1936</v>
      </c>
      <c r="F632" s="20">
        <v>1500000</v>
      </c>
      <c r="G632" s="20"/>
      <c r="I632" s="37"/>
    </row>
    <row r="633" spans="1:9" s="14" customFormat="1" ht="15" customHeight="1">
      <c r="A633" s="10">
        <v>43951</v>
      </c>
      <c r="B633" s="8" t="s">
        <v>1848</v>
      </c>
      <c r="C633" s="11">
        <v>43106</v>
      </c>
      <c r="D633" s="12" t="str">
        <f>IF(C633&gt;0,(VLOOKUP(C633,'Blnct AR'!$C$2:$D$2255,2,0))," ")</f>
        <v>Banco BIC - 118133685.15.1</v>
      </c>
      <c r="E633" s="21" t="s">
        <v>2002</v>
      </c>
      <c r="F633" s="20"/>
      <c r="G633" s="20">
        <v>266475</v>
      </c>
      <c r="I633" s="37"/>
    </row>
    <row r="634" spans="1:9" s="14" customFormat="1" ht="15" customHeight="1">
      <c r="A634" s="10">
        <v>43951</v>
      </c>
      <c r="B634" s="8" t="s">
        <v>1848</v>
      </c>
      <c r="C634" s="11">
        <v>75227</v>
      </c>
      <c r="D634" s="12" t="str">
        <f>IF(C634&gt;0,(VLOOKUP(C634,'Blnct AR'!$C$2:$D$2255,2,0))," ")</f>
        <v>Vigilância e segurança</v>
      </c>
      <c r="E634" s="21" t="s">
        <v>2002</v>
      </c>
      <c r="F634" s="20">
        <v>266475</v>
      </c>
      <c r="G634" s="20"/>
      <c r="I634" s="37"/>
    </row>
    <row r="635" spans="1:9" s="14" customFormat="1" ht="15" customHeight="1">
      <c r="A635" s="10">
        <v>43951</v>
      </c>
      <c r="B635" s="8" t="s">
        <v>1409</v>
      </c>
      <c r="C635" s="11">
        <v>43106</v>
      </c>
      <c r="D635" s="12" t="str">
        <f>IF(C635&gt;0,(VLOOKUP(C635,'Blnct AR'!$C$2:$D$2255,2,0))," ")</f>
        <v>Banco BIC - 118133685.15.1</v>
      </c>
      <c r="E635" s="21" t="s">
        <v>135</v>
      </c>
      <c r="F635" s="20"/>
      <c r="G635" s="20">
        <v>192398</v>
      </c>
      <c r="I635" s="37"/>
    </row>
    <row r="636" spans="1:9" s="14" customFormat="1" ht="15" customHeight="1">
      <c r="A636" s="10">
        <v>43951</v>
      </c>
      <c r="B636" s="8" t="s">
        <v>1409</v>
      </c>
      <c r="C636" s="11">
        <v>3431</v>
      </c>
      <c r="D636" s="12" t="str">
        <f>IF(C636&gt;0,(VLOOKUP(C636,'Blnct AR'!$C$2:$D$2255,2,0))," ")</f>
        <v>IRT dependentes</v>
      </c>
      <c r="E636" s="21" t="s">
        <v>135</v>
      </c>
      <c r="F636" s="20">
        <v>192398</v>
      </c>
      <c r="G636" s="20"/>
      <c r="I636" s="37"/>
    </row>
    <row r="637" spans="1:9" s="14" customFormat="1" ht="15" customHeight="1">
      <c r="A637" s="10">
        <v>43951</v>
      </c>
      <c r="B637" s="8" t="s">
        <v>1409</v>
      </c>
      <c r="C637" s="11">
        <v>43106</v>
      </c>
      <c r="D637" s="12" t="str">
        <f>IF(C637&gt;0,(VLOOKUP(C637,'Blnct AR'!$C$2:$D$2255,2,0))," ")</f>
        <v>Banco BIC - 118133685.15.1</v>
      </c>
      <c r="E637" s="21" t="s">
        <v>1964</v>
      </c>
      <c r="F637" s="20"/>
      <c r="G637" s="20">
        <v>18525</v>
      </c>
      <c r="I637" s="37"/>
    </row>
    <row r="638" spans="1:9" s="14" customFormat="1" ht="15" customHeight="1">
      <c r="A638" s="10">
        <v>43951</v>
      </c>
      <c r="B638" s="8" t="s">
        <v>1409</v>
      </c>
      <c r="C638" s="11">
        <v>75318</v>
      </c>
      <c r="D638" s="12" t="str">
        <f>IF(C638&gt;0,(VLOOKUP(C638,'Blnct AR'!$C$2:$D$2255,2,0))," ")</f>
        <v>Lei 19/14 Rf 6,5%</v>
      </c>
      <c r="E638" s="21" t="s">
        <v>1964</v>
      </c>
      <c r="F638" s="20">
        <v>18525</v>
      </c>
      <c r="G638" s="20"/>
      <c r="I638" s="37"/>
    </row>
    <row r="639" spans="1:9" s="14" customFormat="1" ht="15" customHeight="1">
      <c r="A639" s="10">
        <v>43951</v>
      </c>
      <c r="B639" s="8" t="s">
        <v>1409</v>
      </c>
      <c r="C639" s="11">
        <v>43106</v>
      </c>
      <c r="D639" s="12" t="str">
        <f>IF(C639&gt;0,(VLOOKUP(C639,'Blnct AR'!$C$2:$D$2255,2,0))," ")</f>
        <v>Banco BIC - 118133685.15.1</v>
      </c>
      <c r="E639" s="21" t="s">
        <v>1965</v>
      </c>
      <c r="F639" s="20"/>
      <c r="G639" s="20">
        <v>52500</v>
      </c>
      <c r="I639" s="37"/>
    </row>
    <row r="640" spans="1:9" s="14" customFormat="1" ht="15" customHeight="1">
      <c r="A640" s="10">
        <v>43951</v>
      </c>
      <c r="B640" s="8" t="s">
        <v>1409</v>
      </c>
      <c r="C640" s="11">
        <v>75317</v>
      </c>
      <c r="D640" s="12" t="str">
        <f>IF(C640&gt;0,(VLOOKUP(C640,'Blnct AR'!$C$2:$D$2255,2,0))," ")</f>
        <v>IPU</v>
      </c>
      <c r="E640" s="21" t="s">
        <v>1965</v>
      </c>
      <c r="F640" s="20">
        <v>52500</v>
      </c>
      <c r="G640" s="20"/>
      <c r="I640" s="37"/>
    </row>
    <row r="641" spans="1:9" s="14" customFormat="1" ht="15" customHeight="1">
      <c r="A641" s="10">
        <v>43951</v>
      </c>
      <c r="B641" s="8" t="s">
        <v>1409</v>
      </c>
      <c r="C641" s="11">
        <v>43106</v>
      </c>
      <c r="D641" s="12" t="str">
        <f>IF(C641&gt;0,(VLOOKUP(C641,'Blnct AR'!$C$2:$D$2255,2,0))," ")</f>
        <v>Banco BIC - 118133685.15.1</v>
      </c>
      <c r="E641" s="21" t="s">
        <v>1843</v>
      </c>
      <c r="F641" s="20"/>
      <c r="G641" s="20">
        <v>11358798</v>
      </c>
      <c r="I641" s="37"/>
    </row>
    <row r="642" spans="1:9" s="14" customFormat="1" ht="15" customHeight="1">
      <c r="A642" s="10">
        <v>43951</v>
      </c>
      <c r="B642" s="8" t="s">
        <v>1409</v>
      </c>
      <c r="C642" s="11">
        <v>3454112111</v>
      </c>
      <c r="D642" s="12" t="str">
        <f>IF(C642&gt;0,(VLOOKUP(C642,'Blnct AR'!$C$2:$D$2255,2,0))," ")</f>
        <v>IVA Reg. Emp. - Op. gerais - Prest. Serv. - M.interno - 14%</v>
      </c>
      <c r="E642" s="21" t="s">
        <v>1843</v>
      </c>
      <c r="F642" s="20">
        <v>11358798</v>
      </c>
      <c r="G642" s="20"/>
      <c r="I642" s="37"/>
    </row>
    <row r="643" spans="1:9" s="14" customFormat="1" ht="15" customHeight="1">
      <c r="A643" s="10"/>
      <c r="B643" s="8" t="s">
        <v>2010</v>
      </c>
      <c r="C643" s="11"/>
      <c r="D643" s="12"/>
      <c r="E643" s="21"/>
      <c r="F643" s="20"/>
      <c r="G643" s="20"/>
      <c r="I643" s="37"/>
    </row>
    <row r="644" spans="1:9" s="14" customFormat="1" ht="15" customHeight="1">
      <c r="A644" s="10">
        <v>43951</v>
      </c>
      <c r="B644" s="8" t="s">
        <v>1946</v>
      </c>
      <c r="C644" s="11">
        <v>43103</v>
      </c>
      <c r="D644" s="12" t="str">
        <f>IF(C644&gt;0,(VLOOKUP(C644,'Blnct AR'!$C$2:$D$2255,2,0))," ")</f>
        <v>Milénnium 500471734904 Kz</v>
      </c>
      <c r="E644" s="21" t="s">
        <v>1857</v>
      </c>
      <c r="F644" s="20"/>
      <c r="G644" s="20">
        <v>1361857.8599999999</v>
      </c>
      <c r="I644" s="37"/>
    </row>
    <row r="645" spans="1:9" s="14" customFormat="1" ht="15" customHeight="1">
      <c r="A645" s="10">
        <v>43951</v>
      </c>
      <c r="B645" s="8" t="s">
        <v>1946</v>
      </c>
      <c r="C645" s="11">
        <v>728220</v>
      </c>
      <c r="D645" s="12" t="str">
        <f>IF(C645&gt;0,(VLOOKUP(C645,'Blnct AR'!$C$2:$D$2255,2,0))," ")</f>
        <v>Saúde</v>
      </c>
      <c r="E645" s="21" t="s">
        <v>1857</v>
      </c>
      <c r="F645" s="20">
        <v>1361857.8599999999</v>
      </c>
      <c r="G645" s="20"/>
      <c r="I645" s="37"/>
    </row>
    <row r="646" spans="1:9" s="14" customFormat="1" ht="15" customHeight="1">
      <c r="A646" s="10">
        <v>43951</v>
      </c>
      <c r="B646" s="8" t="s">
        <v>1844</v>
      </c>
      <c r="C646" s="11">
        <v>43103</v>
      </c>
      <c r="D646" s="12" t="str">
        <f>IF(C646&gt;0,(VLOOKUP(C646,'Blnct AR'!$C$2:$D$2255,2,0))," ")</f>
        <v>Milénnium 500471734904 Kz</v>
      </c>
      <c r="E646" s="21" t="s">
        <v>1947</v>
      </c>
      <c r="F646" s="20"/>
      <c r="G646" s="20">
        <v>340997.57999999996</v>
      </c>
      <c r="I646" s="37"/>
    </row>
    <row r="647" spans="1:9" s="14" customFormat="1" ht="15" customHeight="1">
      <c r="A647" s="10">
        <v>43951</v>
      </c>
      <c r="B647" s="8" t="s">
        <v>1844</v>
      </c>
      <c r="C647" s="11">
        <v>7522122</v>
      </c>
      <c r="D647" s="12" t="str">
        <f>IF(C647&gt;0,(VLOOKUP(C647,'Blnct AR'!$C$2:$D$2255,2,0))," ")</f>
        <v>Aluguer de Viatura</v>
      </c>
      <c r="E647" s="21" t="s">
        <v>1947</v>
      </c>
      <c r="F647" s="20">
        <v>340997.57999999996</v>
      </c>
      <c r="G647" s="20"/>
      <c r="I647" s="37"/>
    </row>
    <row r="648" spans="1:9" s="14" customFormat="1" ht="15" customHeight="1">
      <c r="A648" s="10">
        <v>43951</v>
      </c>
      <c r="B648" s="8" t="s">
        <v>1869</v>
      </c>
      <c r="C648" s="11">
        <v>43103</v>
      </c>
      <c r="D648" s="12" t="str">
        <f>IF(C648&gt;0,(VLOOKUP(C648,'Blnct AR'!$C$2:$D$2255,2,0))," ")</f>
        <v>Milénnium 500471734904 Kz</v>
      </c>
      <c r="E648" s="21" t="s">
        <v>1869</v>
      </c>
      <c r="F648" s="20"/>
      <c r="G648" s="20">
        <v>5400</v>
      </c>
      <c r="I648" s="37"/>
    </row>
    <row r="649" spans="1:9" s="14" customFormat="1" ht="15" customHeight="1">
      <c r="A649" s="10">
        <v>43951</v>
      </c>
      <c r="B649" s="8" t="s">
        <v>1869</v>
      </c>
      <c r="C649" s="11">
        <v>767801</v>
      </c>
      <c r="D649" s="12" t="str">
        <f>IF(C649&gt;0,(VLOOKUP(C649,'Blnct AR'!$C$2:$D$2255,2,0))," ")</f>
        <v>Despesas Operacionais</v>
      </c>
      <c r="E649" s="21" t="s">
        <v>1869</v>
      </c>
      <c r="F649" s="20">
        <v>5400</v>
      </c>
      <c r="G649" s="20"/>
      <c r="I649" s="37"/>
    </row>
    <row r="650" spans="1:9" s="14" customFormat="1" ht="15" customHeight="1">
      <c r="A650" s="10">
        <v>43951</v>
      </c>
      <c r="B650" s="8" t="s">
        <v>1116</v>
      </c>
      <c r="C650" s="11">
        <v>43103</v>
      </c>
      <c r="D650" s="12" t="str">
        <f>IF(C650&gt;0,(VLOOKUP(C650,'Blnct AR'!$C$2:$D$2255,2,0))," ")</f>
        <v>Milénnium 500471734904 Kz</v>
      </c>
      <c r="E650" s="21" t="s">
        <v>2003</v>
      </c>
      <c r="F650" s="20"/>
      <c r="G650" s="20">
        <v>1861823.22</v>
      </c>
      <c r="I650" s="37"/>
    </row>
    <row r="651" spans="1:9" s="14" customFormat="1" ht="15" customHeight="1">
      <c r="A651" s="10">
        <v>43951</v>
      </c>
      <c r="B651" s="8" t="s">
        <v>1116</v>
      </c>
      <c r="C651" s="11">
        <v>72221</v>
      </c>
      <c r="D651" s="12" t="str">
        <f>IF(C651&gt;0,(VLOOKUP(C651,'Blnct AR'!$C$2:$D$2255,2,0))," ")</f>
        <v>Ordenados</v>
      </c>
      <c r="E651" s="21" t="s">
        <v>2003</v>
      </c>
      <c r="F651" s="20">
        <v>1861823.22</v>
      </c>
      <c r="G651" s="20"/>
      <c r="I651" s="37"/>
    </row>
    <row r="652" spans="1:9" s="14" customFormat="1" ht="15" customHeight="1">
      <c r="A652" s="10">
        <v>43951</v>
      </c>
      <c r="B652" s="8" t="s">
        <v>132</v>
      </c>
      <c r="C652" s="11">
        <v>43103</v>
      </c>
      <c r="D652" s="12" t="str">
        <f>IF(C652&gt;0,(VLOOKUP(C652,'Blnct AR'!$C$2:$D$2255,2,0))," ")</f>
        <v>Milénnium 500471734904 Kz</v>
      </c>
      <c r="E652" s="21" t="s">
        <v>2004</v>
      </c>
      <c r="F652" s="20"/>
      <c r="G652" s="20">
        <v>198054.16</v>
      </c>
      <c r="I652" s="37"/>
    </row>
    <row r="653" spans="1:9" s="14" customFormat="1" ht="15" customHeight="1">
      <c r="A653" s="10">
        <v>43951</v>
      </c>
      <c r="B653" s="8" t="s">
        <v>132</v>
      </c>
      <c r="C653" s="11">
        <v>72522</v>
      </c>
      <c r="D653" s="12" t="str">
        <f>IF(C653&gt;0,(VLOOKUP(C653,'Blnct AR'!$C$2:$D$2255,2,0))," ")</f>
        <v>Produção Seg. Social</v>
      </c>
      <c r="E653" s="21" t="s">
        <v>2004</v>
      </c>
      <c r="F653" s="20">
        <v>198054.16</v>
      </c>
      <c r="G653" s="20"/>
      <c r="I653" s="37"/>
    </row>
    <row r="654" spans="1:9" s="14" customFormat="1" ht="15" customHeight="1">
      <c r="A654" s="10">
        <v>43951</v>
      </c>
      <c r="B654" s="8" t="s">
        <v>1976</v>
      </c>
      <c r="C654" s="11">
        <v>43103</v>
      </c>
      <c r="D654" s="12" t="str">
        <f>IF(C654&gt;0,(VLOOKUP(C654,'Blnct AR'!$C$2:$D$2255,2,0))," ")</f>
        <v>Milénnium 500471734904 Kz</v>
      </c>
      <c r="E654" s="21" t="s">
        <v>2005</v>
      </c>
      <c r="F654" s="20"/>
      <c r="G654" s="20">
        <v>1147296.43</v>
      </c>
      <c r="I654" s="37"/>
    </row>
    <row r="655" spans="1:9" s="14" customFormat="1" ht="15" customHeight="1">
      <c r="A655" s="10">
        <v>43951</v>
      </c>
      <c r="B655" s="8" t="s">
        <v>1976</v>
      </c>
      <c r="C655" s="11">
        <v>75113</v>
      </c>
      <c r="D655" s="12" t="str">
        <f>IF(C655&gt;0,(VLOOKUP(C655,'Blnct AR'!$C$2:$D$2255,2,0))," ")</f>
        <v>Empreitada B13 Cimaleste</v>
      </c>
      <c r="E655" s="21" t="s">
        <v>2005</v>
      </c>
      <c r="F655" s="20">
        <v>1147296.43</v>
      </c>
      <c r="G655" s="20"/>
      <c r="I655" s="37"/>
    </row>
    <row r="656" spans="1:9" s="14" customFormat="1" ht="15" customHeight="1">
      <c r="A656" s="10">
        <v>43951</v>
      </c>
      <c r="B656" s="8" t="s">
        <v>59</v>
      </c>
      <c r="C656" s="11">
        <v>43103</v>
      </c>
      <c r="D656" s="12" t="str">
        <f>IF(C656&gt;0,(VLOOKUP(C656,'Blnct AR'!$C$2:$D$2255,2,0))," ")</f>
        <v>Milénnium 500471734904 Kz</v>
      </c>
      <c r="E656" s="21" t="s">
        <v>1982</v>
      </c>
      <c r="F656" s="20"/>
      <c r="G656" s="20">
        <v>72000</v>
      </c>
      <c r="I656" s="37"/>
    </row>
    <row r="657" spans="1:9" s="14" customFormat="1" ht="15" customHeight="1">
      <c r="A657" s="10">
        <v>43951</v>
      </c>
      <c r="B657" s="8" t="s">
        <v>59</v>
      </c>
      <c r="C657" s="11">
        <v>75217</v>
      </c>
      <c r="D657" s="12" t="str">
        <f>IF(C657&gt;0,(VLOOKUP(C657,'Blnct AR'!$C$2:$D$2255,2,0))," ")</f>
        <v>Material de escritório</v>
      </c>
      <c r="E657" s="21" t="s">
        <v>1982</v>
      </c>
      <c r="F657" s="20">
        <v>72000</v>
      </c>
      <c r="G657" s="20"/>
      <c r="I657" s="37"/>
    </row>
    <row r="658" spans="1:9" s="14" customFormat="1" ht="15" customHeight="1">
      <c r="A658" s="10">
        <v>43951</v>
      </c>
      <c r="B658" s="8" t="s">
        <v>1922</v>
      </c>
      <c r="C658" s="11">
        <v>43103</v>
      </c>
      <c r="D658" s="12" t="str">
        <f>IF(C658&gt;0,(VLOOKUP(C658,'Blnct AR'!$C$2:$D$2255,2,0))," ")</f>
        <v>Milénnium 500471734904 Kz</v>
      </c>
      <c r="E658" s="21" t="s">
        <v>1911</v>
      </c>
      <c r="F658" s="20"/>
      <c r="G658" s="20">
        <v>31500</v>
      </c>
      <c r="I658" s="37"/>
    </row>
    <row r="659" spans="1:9" s="14" customFormat="1" ht="15" customHeight="1">
      <c r="A659" s="10">
        <v>43951</v>
      </c>
      <c r="B659" s="8" t="s">
        <v>1922</v>
      </c>
      <c r="C659" s="11">
        <v>752202</v>
      </c>
      <c r="D659" s="12" t="str">
        <f>IF(C659&gt;0,(VLOOKUP(C659,'Blnct AR'!$C$2:$D$2255,2,0))," ")</f>
        <v>Telefone Móvel / Internet</v>
      </c>
      <c r="E659" s="21" t="s">
        <v>1911</v>
      </c>
      <c r="F659" s="20">
        <v>31500</v>
      </c>
      <c r="G659" s="20"/>
      <c r="I659" s="37"/>
    </row>
    <row r="660" spans="1:9" s="14" customFormat="1" ht="15" customHeight="1">
      <c r="A660" s="10">
        <v>43951</v>
      </c>
      <c r="B660" s="8" t="s">
        <v>1984</v>
      </c>
      <c r="C660" s="11">
        <v>43103</v>
      </c>
      <c r="D660" s="12" t="str">
        <f>IF(C660&gt;0,(VLOOKUP(C660,'Blnct AR'!$C$2:$D$2255,2,0))," ")</f>
        <v>Milénnium 500471734904 Kz</v>
      </c>
      <c r="E660" s="21" t="s">
        <v>2006</v>
      </c>
      <c r="F660" s="20"/>
      <c r="G660" s="20">
        <v>6900</v>
      </c>
      <c r="I660" s="37"/>
    </row>
    <row r="661" spans="1:9" s="14" customFormat="1" ht="15" customHeight="1">
      <c r="A661" s="10">
        <v>43951</v>
      </c>
      <c r="B661" s="8" t="s">
        <v>1984</v>
      </c>
      <c r="C661" s="11">
        <v>752231</v>
      </c>
      <c r="D661" s="12" t="str">
        <f>IF(C661&gt;0,(VLOOKUP(C661,'Blnct AR'!$C$2:$D$2255,2,0))," ")</f>
        <v>Refeições e estadas</v>
      </c>
      <c r="E661" s="21" t="s">
        <v>2006</v>
      </c>
      <c r="F661" s="20">
        <v>6900</v>
      </c>
      <c r="G661" s="20"/>
      <c r="I661" s="37"/>
    </row>
    <row r="662" spans="1:9" s="14" customFormat="1" ht="15" customHeight="1">
      <c r="A662" s="10">
        <v>43951</v>
      </c>
      <c r="B662" s="8" t="s">
        <v>1955</v>
      </c>
      <c r="C662" s="11">
        <v>43103</v>
      </c>
      <c r="D662" s="12" t="str">
        <f>IF(C662&gt;0,(VLOOKUP(C662,'Blnct AR'!$C$2:$D$2255,2,0))," ")</f>
        <v>Milénnium 500471734904 Kz</v>
      </c>
      <c r="E662" s="21" t="s">
        <v>1861</v>
      </c>
      <c r="F662" s="20"/>
      <c r="G662" s="20">
        <v>16413.3</v>
      </c>
      <c r="I662" s="37"/>
    </row>
    <row r="663" spans="1:9" s="14" customFormat="1" ht="15" customHeight="1">
      <c r="A663" s="10">
        <v>43951</v>
      </c>
      <c r="B663" s="8" t="s">
        <v>1955</v>
      </c>
      <c r="C663" s="11">
        <v>752131</v>
      </c>
      <c r="D663" s="12" t="str">
        <f>IF(C663&gt;0,(VLOOKUP(C663,'Blnct AR'!$C$2:$D$2255,2,0))," ")</f>
        <v>Gasoleo</v>
      </c>
      <c r="E663" s="21" t="s">
        <v>1861</v>
      </c>
      <c r="F663" s="20">
        <v>16413.3</v>
      </c>
      <c r="G663" s="20"/>
      <c r="I663" s="37"/>
    </row>
    <row r="664" spans="1:9" s="14" customFormat="1" ht="15" customHeight="1">
      <c r="A664" s="10">
        <v>43951</v>
      </c>
      <c r="B664" s="8" t="s">
        <v>1961</v>
      </c>
      <c r="C664" s="11">
        <v>43103</v>
      </c>
      <c r="D664" s="12" t="str">
        <f>IF(C664&gt;0,(VLOOKUP(C664,'Blnct AR'!$C$2:$D$2255,2,0))," ")</f>
        <v>Milénnium 500471734904 Kz</v>
      </c>
      <c r="E664" s="21" t="s">
        <v>1840</v>
      </c>
      <c r="F664" s="20"/>
      <c r="G664" s="20">
        <v>2008043.03</v>
      </c>
      <c r="I664" s="37"/>
    </row>
    <row r="665" spans="1:9" s="14" customFormat="1" ht="15" customHeight="1">
      <c r="A665" s="10">
        <v>43951</v>
      </c>
      <c r="B665" s="8" t="s">
        <v>1961</v>
      </c>
      <c r="C665" s="11">
        <v>752144</v>
      </c>
      <c r="D665" s="12" t="str">
        <f>IF(C665&gt;0,(VLOOKUP(C665,'Blnct AR'!$C$2:$D$2255,2,0))," ")</f>
        <v>Equipamento de carga e transporte</v>
      </c>
      <c r="E665" s="21" t="s">
        <v>1840</v>
      </c>
      <c r="F665" s="20">
        <v>2008043.03</v>
      </c>
      <c r="G665" s="20"/>
      <c r="I665" s="37"/>
    </row>
    <row r="666" spans="1:9" s="14" customFormat="1" ht="15" customHeight="1">
      <c r="A666" s="10">
        <v>43951</v>
      </c>
      <c r="B666" s="8" t="s">
        <v>1873</v>
      </c>
      <c r="C666" s="11">
        <v>43103</v>
      </c>
      <c r="D666" s="12" t="str">
        <f>IF(C666&gt;0,(VLOOKUP(C666,'Blnct AR'!$C$2:$D$2255,2,0))," ")</f>
        <v>Milénnium 500471734904 Kz</v>
      </c>
      <c r="E666" s="21" t="s">
        <v>2007</v>
      </c>
      <c r="F666" s="20"/>
      <c r="G666" s="20">
        <v>354625.4</v>
      </c>
      <c r="I666" s="37"/>
    </row>
    <row r="667" spans="1:9" s="14" customFormat="1" ht="15" customHeight="1">
      <c r="A667" s="10">
        <v>43951</v>
      </c>
      <c r="B667" s="8" t="s">
        <v>1873</v>
      </c>
      <c r="C667" s="11">
        <v>752211</v>
      </c>
      <c r="D667" s="12" t="str">
        <f>IF(C667&gt;0,(VLOOKUP(C667,'Blnct AR'!$C$2:$D$2255,2,0))," ")</f>
        <v>Rendas de imóveis Prefor</v>
      </c>
      <c r="E667" s="21" t="s">
        <v>2007</v>
      </c>
      <c r="F667" s="20">
        <v>354625.4</v>
      </c>
      <c r="G667" s="20"/>
      <c r="I667" s="37"/>
    </row>
    <row r="668" spans="1:9" s="14" customFormat="1" ht="15" customHeight="1">
      <c r="A668" s="10">
        <v>43951</v>
      </c>
      <c r="B668" s="8" t="s">
        <v>1873</v>
      </c>
      <c r="C668" s="11">
        <v>43103</v>
      </c>
      <c r="D668" s="12" t="str">
        <f>IF(C668&gt;0,(VLOOKUP(C668,'Blnct AR'!$C$2:$D$2255,2,0))," ")</f>
        <v>Milénnium 500471734904 Kz</v>
      </c>
      <c r="E668" s="21" t="s">
        <v>1998</v>
      </c>
      <c r="F668" s="20"/>
      <c r="G668" s="20">
        <v>176000</v>
      </c>
      <c r="I668" s="37"/>
    </row>
    <row r="669" spans="1:9" s="14" customFormat="1" ht="15" customHeight="1">
      <c r="A669" s="10">
        <v>43951</v>
      </c>
      <c r="B669" s="8" t="s">
        <v>1873</v>
      </c>
      <c r="C669" s="11">
        <v>752212</v>
      </c>
      <c r="D669" s="12" t="str">
        <f>IF(C669&gt;0,(VLOOKUP(C669,'Blnct AR'!$C$2:$D$2255,2,0))," ")</f>
        <v>Rendas de imóveis Cofrialarme</v>
      </c>
      <c r="E669" s="21" t="s">
        <v>1998</v>
      </c>
      <c r="F669" s="20">
        <v>176000</v>
      </c>
      <c r="G669" s="20"/>
      <c r="I669" s="37"/>
    </row>
    <row r="670" spans="1:9" s="14" customFormat="1" ht="15" customHeight="1">
      <c r="A670" s="10">
        <v>43951</v>
      </c>
      <c r="B670" s="8" t="s">
        <v>1961</v>
      </c>
      <c r="C670" s="11">
        <v>43103</v>
      </c>
      <c r="D670" s="12" t="str">
        <f>IF(C670&gt;0,(VLOOKUP(C670,'Blnct AR'!$C$2:$D$2255,2,0))," ")</f>
        <v>Milénnium 500471734904 Kz</v>
      </c>
      <c r="E670" s="21" t="s">
        <v>1999</v>
      </c>
      <c r="F670" s="20"/>
      <c r="G670" s="20">
        <v>77500</v>
      </c>
      <c r="I670" s="37"/>
    </row>
    <row r="671" spans="1:9" s="14" customFormat="1" ht="15" customHeight="1">
      <c r="A671" s="10">
        <v>43951</v>
      </c>
      <c r="B671" s="8" t="s">
        <v>1961</v>
      </c>
      <c r="C671" s="11">
        <v>752264</v>
      </c>
      <c r="D671" s="12" t="str">
        <f>IF(C671&gt;0,(VLOOKUP(C671,'Blnct AR'!$C$2:$D$2255,2,0))," ")</f>
        <v>Equipamento de carga e transporte</v>
      </c>
      <c r="E671" s="21" t="s">
        <v>1999</v>
      </c>
      <c r="F671" s="20">
        <v>77500</v>
      </c>
      <c r="G671" s="20"/>
      <c r="I671" s="37"/>
    </row>
    <row r="672" spans="1:9" s="14" customFormat="1" ht="15" customHeight="1">
      <c r="A672" s="10">
        <v>43951</v>
      </c>
      <c r="B672" s="8" t="s">
        <v>1409</v>
      </c>
      <c r="C672" s="11">
        <v>43103</v>
      </c>
      <c r="D672" s="12" t="str">
        <f>IF(C672&gt;0,(VLOOKUP(C672,'Blnct AR'!$C$2:$D$2255,2,0))," ")</f>
        <v>Milénnium 500471734904 Kz</v>
      </c>
      <c r="E672" s="21" t="s">
        <v>135</v>
      </c>
      <c r="F672" s="20"/>
      <c r="G672" s="20">
        <v>8037</v>
      </c>
      <c r="I672" s="37"/>
    </row>
    <row r="673" spans="1:9" s="14" customFormat="1" ht="15" customHeight="1">
      <c r="A673" s="10">
        <v>43951</v>
      </c>
      <c r="B673" s="8" t="s">
        <v>1409</v>
      </c>
      <c r="C673" s="11">
        <v>72523</v>
      </c>
      <c r="D673" s="12" t="str">
        <f>IF(C673&gt;0,(VLOOKUP(C673,'Blnct AR'!$C$2:$D$2255,2,0))," ")</f>
        <v>Produção IRT</v>
      </c>
      <c r="E673" s="21" t="s">
        <v>135</v>
      </c>
      <c r="F673" s="20">
        <v>8037</v>
      </c>
      <c r="G673" s="20"/>
      <c r="I673" s="37"/>
    </row>
    <row r="674" spans="1:9" s="14" customFormat="1" ht="15" customHeight="1">
      <c r="A674" s="10">
        <v>43951</v>
      </c>
      <c r="B674" s="8" t="s">
        <v>1409</v>
      </c>
      <c r="C674" s="11">
        <v>43103</v>
      </c>
      <c r="D674" s="12" t="str">
        <f>IF(C674&gt;0,(VLOOKUP(C674,'Blnct AR'!$C$2:$D$2255,2,0))," ")</f>
        <v>Milénnium 500471734904 Kz</v>
      </c>
      <c r="E674" s="21" t="s">
        <v>1964</v>
      </c>
      <c r="F674" s="20"/>
      <c r="G674" s="20">
        <v>339577</v>
      </c>
      <c r="I674" s="37"/>
    </row>
    <row r="675" spans="1:9" s="14" customFormat="1" ht="15" customHeight="1">
      <c r="A675" s="10">
        <v>43951</v>
      </c>
      <c r="B675" s="8" t="s">
        <v>1409</v>
      </c>
      <c r="C675" s="11">
        <v>75318</v>
      </c>
      <c r="D675" s="12" t="str">
        <f>IF(C675&gt;0,(VLOOKUP(C675,'Blnct AR'!$C$2:$D$2255,2,0))," ")</f>
        <v>Lei 19/14 Rf 6,5%</v>
      </c>
      <c r="E675" s="21" t="s">
        <v>1964</v>
      </c>
      <c r="F675" s="20">
        <v>339577</v>
      </c>
      <c r="G675" s="20"/>
      <c r="I675" s="37"/>
    </row>
    <row r="676" spans="1:9" s="14" customFormat="1" ht="15" customHeight="1">
      <c r="A676" s="10">
        <v>43951</v>
      </c>
      <c r="B676" s="8" t="s">
        <v>1869</v>
      </c>
      <c r="C676" s="11">
        <v>43103</v>
      </c>
      <c r="D676" s="12" t="str">
        <f>IF(C676&gt;0,(VLOOKUP(C676,'Blnct AR'!$C$2:$D$2255,2,0))," ")</f>
        <v>Milénnium 500471734904 Kz</v>
      </c>
      <c r="E676" s="21" t="s">
        <v>1869</v>
      </c>
      <c r="F676" s="20"/>
      <c r="G676" s="20">
        <v>756</v>
      </c>
      <c r="I676" s="37"/>
    </row>
    <row r="677" spans="1:9" s="14" customFormat="1" ht="15" customHeight="1">
      <c r="A677" s="10">
        <v>43951</v>
      </c>
      <c r="B677" s="8" t="s">
        <v>1869</v>
      </c>
      <c r="C677" s="11">
        <v>75314</v>
      </c>
      <c r="D677" s="12" t="str">
        <f>IF(C677&gt;0,(VLOOKUP(C677,'Blnct AR'!$C$2:$D$2255,2,0))," ")</f>
        <v>IVA Suportado</v>
      </c>
      <c r="E677" s="21" t="s">
        <v>1869</v>
      </c>
      <c r="F677" s="20">
        <v>756</v>
      </c>
      <c r="G677" s="20"/>
      <c r="I677" s="37"/>
    </row>
    <row r="678" spans="1:9" s="14" customFormat="1" ht="15" customHeight="1">
      <c r="A678" s="10"/>
      <c r="B678" s="8" t="s">
        <v>2008</v>
      </c>
      <c r="C678" s="11"/>
      <c r="D678" s="12" t="str">
        <f>IF(C678&gt;0,(VLOOKUP(C678,'Blnct AR'!$C$2:$D$2255,2,0))," ")</f>
        <v xml:space="preserve"> </v>
      </c>
      <c r="E678" s="21"/>
      <c r="F678" s="20"/>
      <c r="G678" s="20"/>
      <c r="I678" s="37"/>
    </row>
    <row r="679" spans="1:9" s="14" customFormat="1" ht="15" customHeight="1">
      <c r="A679" s="10">
        <v>43982</v>
      </c>
      <c r="B679" s="8" t="s">
        <v>1841</v>
      </c>
      <c r="C679" s="11">
        <v>43101</v>
      </c>
      <c r="D679" s="12" t="str">
        <f>IF(C679&gt;0,(VLOOKUP(C679,'Blnct AR'!$C$2:$D$2255,2,0))," ")</f>
        <v>Banco - BFA</v>
      </c>
      <c r="E679" s="21" t="s">
        <v>1842</v>
      </c>
      <c r="F679" s="20"/>
      <c r="G679" s="20">
        <v>18000</v>
      </c>
      <c r="I679" s="37"/>
    </row>
    <row r="680" spans="1:9" s="14" customFormat="1" ht="15" customHeight="1">
      <c r="A680" s="10">
        <v>43982</v>
      </c>
      <c r="B680" s="8" t="s">
        <v>1841</v>
      </c>
      <c r="C680" s="11">
        <v>75211</v>
      </c>
      <c r="D680" s="12" t="str">
        <f>IF(C680&gt;0,(VLOOKUP(C680,'Blnct AR'!$C$2:$D$2255,2,0))," ")</f>
        <v>Água</v>
      </c>
      <c r="E680" s="21" t="s">
        <v>1842</v>
      </c>
      <c r="F680" s="20">
        <v>18000</v>
      </c>
      <c r="G680" s="20"/>
      <c r="I680" s="37"/>
    </row>
    <row r="681" spans="1:9" s="14" customFormat="1" ht="15" customHeight="1">
      <c r="A681" s="10">
        <v>43982</v>
      </c>
      <c r="B681" s="8" t="s">
        <v>1922</v>
      </c>
      <c r="C681" s="11">
        <v>43101</v>
      </c>
      <c r="D681" s="12" t="str">
        <f>IF(C681&gt;0,(VLOOKUP(C681,'Blnct AR'!$C$2:$D$2255,2,0))," ")</f>
        <v>Banco - BFA</v>
      </c>
      <c r="E681" s="21" t="s">
        <v>1911</v>
      </c>
      <c r="F681" s="20"/>
      <c r="G681" s="20">
        <v>38699.919999999998</v>
      </c>
      <c r="I681" s="37"/>
    </row>
    <row r="682" spans="1:9" s="14" customFormat="1" ht="15" customHeight="1">
      <c r="A682" s="10">
        <v>43982</v>
      </c>
      <c r="B682" s="8" t="s">
        <v>1922</v>
      </c>
      <c r="C682" s="11">
        <v>752202</v>
      </c>
      <c r="D682" s="12" t="str">
        <f>IF(C682&gt;0,(VLOOKUP(C682,'Blnct AR'!$C$2:$D$2255,2,0))," ")</f>
        <v>Telefone Móvel / Internet</v>
      </c>
      <c r="E682" s="21" t="s">
        <v>1911</v>
      </c>
      <c r="F682" s="20">
        <v>38699.919999999998</v>
      </c>
      <c r="G682" s="20"/>
      <c r="I682" s="37"/>
    </row>
    <row r="683" spans="1:9" s="14" customFormat="1" ht="15" customHeight="1">
      <c r="A683" s="10"/>
      <c r="B683" s="8" t="s">
        <v>2009</v>
      </c>
      <c r="C683" s="11"/>
      <c r="D683" s="12" t="str">
        <f>IF(C683&gt;0,(VLOOKUP(C683,'Blnct AR'!$C$2:$D$2255,2,0))," ")</f>
        <v xml:space="preserve"> </v>
      </c>
      <c r="E683" s="21"/>
      <c r="F683" s="20"/>
      <c r="G683" s="20"/>
      <c r="I683" s="37"/>
    </row>
    <row r="684" spans="1:9" s="14" customFormat="1" ht="15" customHeight="1">
      <c r="A684" s="10">
        <v>43982</v>
      </c>
      <c r="B684" s="8" t="s">
        <v>1932</v>
      </c>
      <c r="C684" s="11">
        <v>43106</v>
      </c>
      <c r="D684" s="12" t="str">
        <f>IF(C684&gt;0,(VLOOKUP(C684,'Blnct AR'!$C$2:$D$2255,2,0))," ")</f>
        <v>Banco BIC - 118133685.15.1</v>
      </c>
      <c r="E684" s="21" t="s">
        <v>2011</v>
      </c>
      <c r="F684" s="20"/>
      <c r="G684" s="20">
        <v>8588008.2300000004</v>
      </c>
      <c r="I684" s="37"/>
    </row>
    <row r="685" spans="1:9" s="14" customFormat="1" ht="15" customHeight="1">
      <c r="A685" s="10">
        <v>43982</v>
      </c>
      <c r="B685" s="8" t="s">
        <v>1932</v>
      </c>
      <c r="C685" s="11">
        <v>7111</v>
      </c>
      <c r="D685" s="12" t="str">
        <f>IF(C685&gt;0,(VLOOKUP(C685,'Blnct AR'!$C$2:$D$2255,2,0))," ")</f>
        <v>Mp - cevc</v>
      </c>
      <c r="E685" s="21" t="s">
        <v>2011</v>
      </c>
      <c r="F685" s="20">
        <v>8588008.2300000004</v>
      </c>
      <c r="G685" s="20"/>
      <c r="I685" s="37"/>
    </row>
    <row r="686" spans="1:9" s="14" customFormat="1" ht="15" customHeight="1">
      <c r="A686" s="10">
        <v>43982</v>
      </c>
      <c r="B686" s="8" t="s">
        <v>1869</v>
      </c>
      <c r="C686" s="11">
        <v>43106</v>
      </c>
      <c r="D686" s="12" t="str">
        <f>IF(C686&gt;0,(VLOOKUP(C686,'Blnct AR'!$C$2:$D$2255,2,0))," ")</f>
        <v>Banco BIC - 118133685.15.1</v>
      </c>
      <c r="E686" s="21" t="s">
        <v>1869</v>
      </c>
      <c r="F686" s="20"/>
      <c r="G686" s="20">
        <v>3000</v>
      </c>
      <c r="I686" s="37"/>
    </row>
    <row r="687" spans="1:9" s="14" customFormat="1" ht="15" customHeight="1">
      <c r="A687" s="10">
        <v>43982</v>
      </c>
      <c r="B687" s="8" t="s">
        <v>1869</v>
      </c>
      <c r="C687" s="11">
        <v>767801</v>
      </c>
      <c r="D687" s="12" t="str">
        <f>IF(C687&gt;0,(VLOOKUP(C687,'Blnct AR'!$C$2:$D$2255,2,0))," ")</f>
        <v>Despesas Operacionais</v>
      </c>
      <c r="E687" s="21" t="s">
        <v>1869</v>
      </c>
      <c r="F687" s="20">
        <v>3000</v>
      </c>
      <c r="G687" s="20"/>
      <c r="I687" s="37"/>
    </row>
    <row r="688" spans="1:9" s="14" customFormat="1" ht="15" customHeight="1">
      <c r="A688" s="10">
        <v>43982</v>
      </c>
      <c r="B688" s="8" t="s">
        <v>132</v>
      </c>
      <c r="C688" s="11">
        <v>43106</v>
      </c>
      <c r="D688" s="12" t="str">
        <f>IF(C688&gt;0,(VLOOKUP(C688,'Blnct AR'!$C$2:$D$2255,2,0))," ")</f>
        <v>Banco BIC - 118133685.15.1</v>
      </c>
      <c r="E688" s="21" t="s">
        <v>2012</v>
      </c>
      <c r="F688" s="20"/>
      <c r="G688" s="20">
        <v>120784.65</v>
      </c>
      <c r="I688" s="37"/>
    </row>
    <row r="689" spans="1:9" s="14" customFormat="1" ht="15" customHeight="1">
      <c r="A689" s="10">
        <v>43982</v>
      </c>
      <c r="B689" s="8" t="s">
        <v>132</v>
      </c>
      <c r="C689" s="11">
        <v>72522</v>
      </c>
      <c r="D689" s="12" t="str">
        <f>IF(C689&gt;0,(VLOOKUP(C689,'Blnct AR'!$C$2:$D$2255,2,0))," ")</f>
        <v>Produção Seg. Social</v>
      </c>
      <c r="E689" s="21" t="s">
        <v>2012</v>
      </c>
      <c r="F689" s="20">
        <v>120784.65</v>
      </c>
      <c r="G689" s="20"/>
      <c r="I689" s="37"/>
    </row>
    <row r="690" spans="1:9" s="14" customFormat="1" ht="15" customHeight="1">
      <c r="A690" s="10">
        <v>43982</v>
      </c>
      <c r="B690" s="8" t="s">
        <v>1976</v>
      </c>
      <c r="C690" s="11">
        <v>43106</v>
      </c>
      <c r="D690" s="12" t="str">
        <f>IF(C690&gt;0,(VLOOKUP(C690,'Blnct AR'!$C$2:$D$2255,2,0))," ")</f>
        <v>Banco BIC - 118133685.15.1</v>
      </c>
      <c r="E690" s="21" t="s">
        <v>1972</v>
      </c>
      <c r="F690" s="20"/>
      <c r="G690" s="20">
        <v>15500000</v>
      </c>
      <c r="I690" s="37"/>
    </row>
    <row r="691" spans="1:9" s="14" customFormat="1" ht="15" customHeight="1">
      <c r="A691" s="10">
        <v>43982</v>
      </c>
      <c r="B691" s="8" t="s">
        <v>1976</v>
      </c>
      <c r="C691" s="11">
        <v>75113</v>
      </c>
      <c r="D691" s="12" t="str">
        <f>IF(C691&gt;0,(VLOOKUP(C691,'Blnct AR'!$C$2:$D$2255,2,0))," ")</f>
        <v>Empreitada B13 Cimaleste</v>
      </c>
      <c r="E691" s="21" t="s">
        <v>1972</v>
      </c>
      <c r="F691" s="20">
        <v>15500000</v>
      </c>
      <c r="G691" s="20"/>
      <c r="I691" s="37"/>
    </row>
    <row r="692" spans="1:9" s="14" customFormat="1" ht="15" customHeight="1">
      <c r="A692" s="10">
        <v>43982</v>
      </c>
      <c r="B692" s="8" t="s">
        <v>1848</v>
      </c>
      <c r="C692" s="11">
        <v>43106</v>
      </c>
      <c r="D692" s="12" t="str">
        <f>IF(C692&gt;0,(VLOOKUP(C692,'Blnct AR'!$C$2:$D$2255,2,0))," ")</f>
        <v>Banco BIC - 118133685.15.1</v>
      </c>
      <c r="E692" s="21" t="s">
        <v>2013</v>
      </c>
      <c r="F692" s="20"/>
      <c r="G692" s="20">
        <v>266475</v>
      </c>
      <c r="I692" s="37"/>
    </row>
    <row r="693" spans="1:9" s="14" customFormat="1" ht="15" customHeight="1">
      <c r="A693" s="10">
        <v>43982</v>
      </c>
      <c r="B693" s="8" t="s">
        <v>1848</v>
      </c>
      <c r="C693" s="11">
        <v>75227</v>
      </c>
      <c r="D693" s="12" t="str">
        <f>IF(C693&gt;0,(VLOOKUP(C693,'Blnct AR'!$C$2:$D$2255,2,0))," ")</f>
        <v>Vigilância e segurança</v>
      </c>
      <c r="E693" s="21" t="s">
        <v>2013</v>
      </c>
      <c r="F693" s="20">
        <v>266475</v>
      </c>
      <c r="G693" s="20"/>
      <c r="I693" s="37"/>
    </row>
    <row r="694" spans="1:9" s="14" customFormat="1" ht="15" customHeight="1">
      <c r="A694" s="10">
        <v>43983</v>
      </c>
      <c r="B694" s="8" t="s">
        <v>1916</v>
      </c>
      <c r="C694" s="11">
        <v>43106</v>
      </c>
      <c r="D694" s="12" t="str">
        <f>IF(C694&gt;0,(VLOOKUP(C694,'Blnct AR'!$C$2:$D$2255,2,0))," ")</f>
        <v>Banco BIC - 118133685.15.1</v>
      </c>
      <c r="E694" s="21" t="s">
        <v>1913</v>
      </c>
      <c r="F694" s="20"/>
      <c r="G694" s="20">
        <v>143000</v>
      </c>
      <c r="I694" s="37"/>
    </row>
    <row r="695" spans="1:9" s="14" customFormat="1" ht="15" customHeight="1">
      <c r="A695" s="10">
        <v>43984</v>
      </c>
      <c r="B695" s="8" t="s">
        <v>1916</v>
      </c>
      <c r="C695" s="11">
        <v>752131</v>
      </c>
      <c r="D695" s="12" t="str">
        <f>IF(C695&gt;0,(VLOOKUP(C695,'Blnct AR'!$C$2:$D$2255,2,0))," ")</f>
        <v>Gasoleo</v>
      </c>
      <c r="E695" s="21" t="s">
        <v>1913</v>
      </c>
      <c r="F695" s="20">
        <v>143000</v>
      </c>
      <c r="G695" s="20"/>
      <c r="I695" s="37"/>
    </row>
    <row r="696" spans="1:9" s="14" customFormat="1" ht="15" customHeight="1">
      <c r="A696" s="10">
        <v>43985</v>
      </c>
      <c r="B696" s="8" t="s">
        <v>1959</v>
      </c>
      <c r="C696" s="11">
        <v>43106</v>
      </c>
      <c r="D696" s="12" t="str">
        <f>IF(C696&gt;0,(VLOOKUP(C696,'Blnct AR'!$C$2:$D$2255,2,0))," ")</f>
        <v>Banco BIC - 118133685.15.1</v>
      </c>
      <c r="E696" s="21" t="s">
        <v>1960</v>
      </c>
      <c r="F696" s="20"/>
      <c r="G696" s="20">
        <v>382037.55</v>
      </c>
      <c r="I696" s="37"/>
    </row>
    <row r="697" spans="1:9" s="14" customFormat="1" ht="15" customHeight="1">
      <c r="A697" s="10">
        <v>43982</v>
      </c>
      <c r="B697" s="8" t="s">
        <v>1959</v>
      </c>
      <c r="C697" s="11">
        <v>752143</v>
      </c>
      <c r="D697" s="12" t="str">
        <f>IF(C697&gt;0,(VLOOKUP(C697,'Blnct AR'!$C$2:$D$2255,2,0))," ")</f>
        <v>Equipamento básico</v>
      </c>
      <c r="E697" s="21" t="s">
        <v>1960</v>
      </c>
      <c r="F697" s="20">
        <v>382037.55</v>
      </c>
      <c r="G697" s="20"/>
      <c r="I697" s="37"/>
    </row>
    <row r="698" spans="1:9" s="14" customFormat="1" ht="15" customHeight="1">
      <c r="A698" s="10">
        <v>43982</v>
      </c>
      <c r="B698" s="8" t="s">
        <v>1961</v>
      </c>
      <c r="C698" s="11">
        <v>43106</v>
      </c>
      <c r="D698" s="12" t="str">
        <f>IF(C698&gt;0,(VLOOKUP(C698,'Blnct AR'!$C$2:$D$2255,2,0))," ")</f>
        <v>Banco BIC - 118133685.15.1</v>
      </c>
      <c r="E698" s="21" t="s">
        <v>2014</v>
      </c>
      <c r="F698" s="20"/>
      <c r="G698" s="20">
        <v>1000000</v>
      </c>
      <c r="I698" s="37"/>
    </row>
    <row r="699" spans="1:9" s="14" customFormat="1" ht="15" customHeight="1">
      <c r="A699" s="10">
        <v>43982</v>
      </c>
      <c r="B699" s="8" t="s">
        <v>1961</v>
      </c>
      <c r="C699" s="11">
        <v>752144</v>
      </c>
      <c r="D699" s="12" t="str">
        <f>IF(C699&gt;0,(VLOOKUP(C699,'Blnct AR'!$C$2:$D$2255,2,0))," ")</f>
        <v>Equipamento de carga e transporte</v>
      </c>
      <c r="E699" s="21" t="s">
        <v>2014</v>
      </c>
      <c r="F699" s="20">
        <v>1000000</v>
      </c>
      <c r="G699" s="20"/>
      <c r="I699" s="37"/>
    </row>
    <row r="700" spans="1:9" s="14" customFormat="1" ht="15" customHeight="1">
      <c r="A700" s="10">
        <v>43982</v>
      </c>
      <c r="B700" s="8" t="s">
        <v>1918</v>
      </c>
      <c r="C700" s="11">
        <v>43106</v>
      </c>
      <c r="D700" s="12" t="str">
        <f>IF(C700&gt;0,(VLOOKUP(C700,'Blnct AR'!$C$2:$D$2255,2,0))," ")</f>
        <v>Banco BIC - 118133685.15.1</v>
      </c>
      <c r="E700" s="21" t="s">
        <v>1876</v>
      </c>
      <c r="F700" s="20"/>
      <c r="G700" s="20">
        <v>144337.97</v>
      </c>
      <c r="I700" s="37"/>
    </row>
    <row r="701" spans="1:9" s="14" customFormat="1" ht="15" customHeight="1">
      <c r="A701" s="10">
        <v>43982</v>
      </c>
      <c r="B701" s="8" t="s">
        <v>1918</v>
      </c>
      <c r="C701" s="11">
        <v>752224</v>
      </c>
      <c r="D701" s="12" t="str">
        <f>IF(C701&gt;0,(VLOOKUP(C701,'Blnct AR'!$C$2:$D$2255,2,0))," ")</f>
        <v>Ramo viaturas</v>
      </c>
      <c r="E701" s="21" t="s">
        <v>1876</v>
      </c>
      <c r="F701" s="20">
        <v>144337.97</v>
      </c>
      <c r="G701" s="20"/>
      <c r="I701" s="37"/>
    </row>
    <row r="702" spans="1:9" s="14" customFormat="1" ht="15" customHeight="1">
      <c r="A702" s="10">
        <v>43982</v>
      </c>
      <c r="B702" s="8" t="s">
        <v>1409</v>
      </c>
      <c r="C702" s="11">
        <v>43106</v>
      </c>
      <c r="D702" s="12" t="str">
        <f>IF(C702&gt;0,(VLOOKUP(C702,'Blnct AR'!$C$2:$D$2255,2,0))," ")</f>
        <v>Banco BIC - 118133685.15.1</v>
      </c>
      <c r="E702" s="21" t="s">
        <v>135</v>
      </c>
      <c r="F702" s="20"/>
      <c r="G702" s="20">
        <v>166771</v>
      </c>
      <c r="I702" s="37"/>
    </row>
    <row r="703" spans="1:9" s="14" customFormat="1" ht="15" customHeight="1">
      <c r="A703" s="10">
        <v>43982</v>
      </c>
      <c r="B703" s="8" t="s">
        <v>1409</v>
      </c>
      <c r="C703" s="11">
        <v>3431</v>
      </c>
      <c r="D703" s="12" t="str">
        <f>IF(C703&gt;0,(VLOOKUP(C703,'Blnct AR'!$C$2:$D$2255,2,0))," ")</f>
        <v>IRT dependentes</v>
      </c>
      <c r="E703" s="21" t="s">
        <v>135</v>
      </c>
      <c r="F703" s="20">
        <v>166771</v>
      </c>
      <c r="G703" s="20"/>
      <c r="I703" s="37"/>
    </row>
    <row r="704" spans="1:9" s="14" customFormat="1" ht="15" customHeight="1">
      <c r="A704" s="10">
        <v>43982</v>
      </c>
      <c r="B704" s="8" t="s">
        <v>1409</v>
      </c>
      <c r="C704" s="11">
        <v>43106</v>
      </c>
      <c r="D704" s="12" t="str">
        <f>IF(C704&gt;0,(VLOOKUP(C704,'Blnct AR'!$C$2:$D$2255,2,0))," ")</f>
        <v>Banco BIC - 118133685.15.1</v>
      </c>
      <c r="E704" s="21" t="s">
        <v>1965</v>
      </c>
      <c r="F704" s="20"/>
      <c r="G704" s="20">
        <v>76500</v>
      </c>
      <c r="I704" s="37"/>
    </row>
    <row r="705" spans="1:9" s="14" customFormat="1" ht="15" customHeight="1">
      <c r="A705" s="10">
        <v>43982</v>
      </c>
      <c r="B705" s="8" t="s">
        <v>1409</v>
      </c>
      <c r="C705" s="11">
        <v>75317</v>
      </c>
      <c r="D705" s="12" t="str">
        <f>IF(C705&gt;0,(VLOOKUP(C705,'Blnct AR'!$C$2:$D$2255,2,0))," ")</f>
        <v>IPU</v>
      </c>
      <c r="E705" s="21" t="s">
        <v>1965</v>
      </c>
      <c r="F705" s="20">
        <v>76500</v>
      </c>
      <c r="G705" s="20"/>
      <c r="I705" s="37"/>
    </row>
    <row r="706" spans="1:9" s="14" customFormat="1" ht="15" customHeight="1">
      <c r="A706" s="10">
        <v>43982</v>
      </c>
      <c r="B706" s="8" t="s">
        <v>1869</v>
      </c>
      <c r="C706" s="11">
        <v>43106</v>
      </c>
      <c r="D706" s="12" t="str">
        <f>IF(C706&gt;0,(VLOOKUP(C706,'Blnct AR'!$C$2:$D$2255,2,0))," ")</f>
        <v>Banco BIC - 118133685.15.1</v>
      </c>
      <c r="E706" s="21" t="s">
        <v>1869</v>
      </c>
      <c r="F706" s="20"/>
      <c r="G706" s="20">
        <v>420</v>
      </c>
      <c r="I706" s="37"/>
    </row>
    <row r="707" spans="1:9" s="14" customFormat="1" ht="15" customHeight="1">
      <c r="A707" s="10">
        <v>43982</v>
      </c>
      <c r="B707" s="8" t="s">
        <v>1869</v>
      </c>
      <c r="C707" s="11">
        <v>75314</v>
      </c>
      <c r="D707" s="12" t="str">
        <f>IF(C707&gt;0,(VLOOKUP(C707,'Blnct AR'!$C$2:$D$2255,2,0))," ")</f>
        <v>IVA Suportado</v>
      </c>
      <c r="E707" s="21" t="s">
        <v>1869</v>
      </c>
      <c r="F707" s="20">
        <v>420</v>
      </c>
      <c r="G707" s="20"/>
      <c r="I707" s="37"/>
    </row>
    <row r="708" spans="1:9" s="14" customFormat="1" ht="15" customHeight="1">
      <c r="A708" s="10"/>
      <c r="B708" s="8" t="s">
        <v>2010</v>
      </c>
      <c r="C708" s="11"/>
      <c r="D708" s="12" t="str">
        <f>IF(C708&gt;0,(VLOOKUP(C708,'Blnct AR'!$C$2:$D$2255,2,0))," ")</f>
        <v xml:space="preserve"> </v>
      </c>
      <c r="E708" s="21"/>
      <c r="F708" s="20"/>
      <c r="G708" s="20"/>
      <c r="I708" s="37"/>
    </row>
    <row r="709" spans="1:9" s="14" customFormat="1" ht="15" customHeight="1">
      <c r="A709" s="10">
        <v>43982</v>
      </c>
      <c r="B709" s="8" t="s">
        <v>1932</v>
      </c>
      <c r="C709" s="11">
        <v>43103</v>
      </c>
      <c r="D709" s="12" t="str">
        <f>IF(C709&gt;0,(VLOOKUP(C709,'Blnct AR'!$C$2:$D$2255,2,0))," ")</f>
        <v>Milénnium 500471734904 Kz</v>
      </c>
      <c r="E709" s="21" t="s">
        <v>1945</v>
      </c>
      <c r="F709" s="20"/>
      <c r="G709" s="20">
        <v>205700</v>
      </c>
      <c r="I709" s="37"/>
    </row>
    <row r="710" spans="1:9" s="14" customFormat="1" ht="15" customHeight="1">
      <c r="A710" s="10">
        <v>43982</v>
      </c>
      <c r="B710" s="8" t="s">
        <v>1932</v>
      </c>
      <c r="C710" s="11">
        <v>7111</v>
      </c>
      <c r="D710" s="12" t="str">
        <f>IF(C710&gt;0,(VLOOKUP(C710,'Blnct AR'!$C$2:$D$2255,2,0))," ")</f>
        <v>Mp - cevc</v>
      </c>
      <c r="E710" s="21" t="s">
        <v>1945</v>
      </c>
      <c r="F710" s="20">
        <v>205700</v>
      </c>
      <c r="G710" s="20"/>
      <c r="I710" s="37"/>
    </row>
    <row r="711" spans="1:9" s="14" customFormat="1" ht="15" customHeight="1">
      <c r="A711" s="10">
        <v>43982</v>
      </c>
      <c r="B711" s="8" t="s">
        <v>1946</v>
      </c>
      <c r="C711" s="11">
        <v>43103</v>
      </c>
      <c r="D711" s="12" t="str">
        <f>IF(C711&gt;0,(VLOOKUP(C711,'Blnct AR'!$C$2:$D$2255,2,0))," ")</f>
        <v>Milénnium 500471734904 Kz</v>
      </c>
      <c r="E711" s="21" t="s">
        <v>1857</v>
      </c>
      <c r="F711" s="20"/>
      <c r="G711" s="20">
        <v>49756</v>
      </c>
      <c r="I711" s="37"/>
    </row>
    <row r="712" spans="1:9" s="14" customFormat="1" ht="15" customHeight="1">
      <c r="A712" s="10">
        <v>43982</v>
      </c>
      <c r="B712" s="8" t="s">
        <v>1946</v>
      </c>
      <c r="C712" s="11">
        <v>728220</v>
      </c>
      <c r="D712" s="12" t="str">
        <f>IF(C712&gt;0,(VLOOKUP(C712,'Blnct AR'!$C$2:$D$2255,2,0))," ")</f>
        <v>Saúde</v>
      </c>
      <c r="E712" s="21" t="s">
        <v>1857</v>
      </c>
      <c r="F712" s="20">
        <v>49756</v>
      </c>
      <c r="G712" s="20"/>
      <c r="I712" s="37"/>
    </row>
    <row r="713" spans="1:9" s="14" customFormat="1" ht="15" customHeight="1">
      <c r="A713" s="10">
        <v>43982</v>
      </c>
      <c r="B713" s="8" t="s">
        <v>1844</v>
      </c>
      <c r="C713" s="11">
        <v>43103</v>
      </c>
      <c r="D713" s="12" t="str">
        <f>IF(C713&gt;0,(VLOOKUP(C713,'Blnct AR'!$C$2:$D$2255,2,0))," ")</f>
        <v>Milénnium 500471734904 Kz</v>
      </c>
      <c r="E713" s="21" t="s">
        <v>1947</v>
      </c>
      <c r="F713" s="20"/>
      <c r="G713" s="20">
        <v>341623.16</v>
      </c>
      <c r="I713" s="37"/>
    </row>
    <row r="714" spans="1:9" s="14" customFormat="1" ht="15" customHeight="1">
      <c r="A714" s="10">
        <v>43982</v>
      </c>
      <c r="B714" s="8" t="s">
        <v>1844</v>
      </c>
      <c r="C714" s="11">
        <v>7522122</v>
      </c>
      <c r="D714" s="12" t="str">
        <f>IF(C714&gt;0,(VLOOKUP(C714,'Blnct AR'!$C$2:$D$2255,2,0))," ")</f>
        <v>Aluguer de Viatura</v>
      </c>
      <c r="E714" s="21" t="s">
        <v>1947</v>
      </c>
      <c r="F714" s="20">
        <v>341623.16</v>
      </c>
      <c r="G714" s="20"/>
      <c r="I714" s="37"/>
    </row>
    <row r="715" spans="1:9" s="14" customFormat="1" ht="15" customHeight="1">
      <c r="A715" s="10">
        <v>43982</v>
      </c>
      <c r="B715" s="8" t="s">
        <v>1869</v>
      </c>
      <c r="C715" s="11">
        <v>43103</v>
      </c>
      <c r="D715" s="12" t="str">
        <f>IF(C715&gt;0,(VLOOKUP(C715,'Blnct AR'!$C$2:$D$2255,2,0))," ")</f>
        <v>Milénnium 500471734904 Kz</v>
      </c>
      <c r="E715" s="21" t="s">
        <v>1869</v>
      </c>
      <c r="F715" s="20"/>
      <c r="G715" s="20">
        <v>5400</v>
      </c>
      <c r="I715" s="37"/>
    </row>
    <row r="716" spans="1:9" s="14" customFormat="1" ht="15" customHeight="1">
      <c r="A716" s="10">
        <v>43982</v>
      </c>
      <c r="B716" s="8" t="s">
        <v>1869</v>
      </c>
      <c r="C716" s="11">
        <v>767801</v>
      </c>
      <c r="D716" s="12" t="str">
        <f>IF(C716&gt;0,(VLOOKUP(C716,'Blnct AR'!$C$2:$D$2255,2,0))," ")</f>
        <v>Despesas Operacionais</v>
      </c>
      <c r="E716" s="21" t="s">
        <v>1869</v>
      </c>
      <c r="F716" s="20">
        <v>5400</v>
      </c>
      <c r="G716" s="20"/>
      <c r="I716" s="37"/>
    </row>
    <row r="717" spans="1:9" s="14" customFormat="1" ht="15" customHeight="1">
      <c r="A717" s="10">
        <v>43982</v>
      </c>
      <c r="B717" s="8" t="s">
        <v>1116</v>
      </c>
      <c r="C717" s="11">
        <v>43103</v>
      </c>
      <c r="D717" s="12" t="str">
        <f>IF(C717&gt;0,(VLOOKUP(C717,'Blnct AR'!$C$2:$D$2255,2,0))," ")</f>
        <v>Milénnium 500471734904 Kz</v>
      </c>
      <c r="E717" s="21" t="s">
        <v>2015</v>
      </c>
      <c r="F717" s="20"/>
      <c r="G717" s="20">
        <v>1815538</v>
      </c>
      <c r="I717" s="37"/>
    </row>
    <row r="718" spans="1:9" s="14" customFormat="1" ht="15" customHeight="1">
      <c r="A718" s="10">
        <v>43982</v>
      </c>
      <c r="B718" s="8" t="s">
        <v>1116</v>
      </c>
      <c r="C718" s="11">
        <v>72211</v>
      </c>
      <c r="D718" s="12" t="str">
        <f>IF(C718&gt;0,(VLOOKUP(C718,'Blnct AR'!$C$2:$D$2255,2,0))," ")</f>
        <v>Ordenados</v>
      </c>
      <c r="E718" s="21" t="s">
        <v>2015</v>
      </c>
      <c r="F718" s="20">
        <v>1815538</v>
      </c>
      <c r="G718" s="20"/>
      <c r="I718" s="37"/>
    </row>
    <row r="719" spans="1:9" s="14" customFormat="1" ht="15" customHeight="1">
      <c r="A719" s="10">
        <v>43982</v>
      </c>
      <c r="B719" s="8" t="s">
        <v>2018</v>
      </c>
      <c r="C719" s="11">
        <v>43103</v>
      </c>
      <c r="D719" s="12" t="str">
        <f>IF(C719&gt;0,(VLOOKUP(C719,'Blnct AR'!$C$2:$D$2255,2,0))," ")</f>
        <v>Milénnium 500471734904 Kz</v>
      </c>
      <c r="E719" s="21" t="s">
        <v>2019</v>
      </c>
      <c r="F719" s="20"/>
      <c r="G719" s="20">
        <v>3500000</v>
      </c>
      <c r="I719" s="37"/>
    </row>
    <row r="720" spans="1:9" s="14" customFormat="1" ht="15" customHeight="1">
      <c r="A720" s="10">
        <v>43982</v>
      </c>
      <c r="B720" s="8" t="s">
        <v>2018</v>
      </c>
      <c r="C720" s="11">
        <v>75112</v>
      </c>
      <c r="D720" s="12" t="str">
        <f>IF(C720&gt;0,(VLOOKUP(C720,'Blnct AR'!$C$2:$D$2255,2,0))," ")</f>
        <v>Empreitada Empedra</v>
      </c>
      <c r="E720" s="21" t="s">
        <v>2019</v>
      </c>
      <c r="F720" s="20">
        <v>3500000</v>
      </c>
      <c r="G720" s="20"/>
      <c r="I720" s="37"/>
    </row>
    <row r="721" spans="1:9" s="14" customFormat="1" ht="15" customHeight="1">
      <c r="A721" s="10">
        <v>43982</v>
      </c>
      <c r="B721" s="8" t="s">
        <v>1976</v>
      </c>
      <c r="C721" s="11">
        <v>43103</v>
      </c>
      <c r="D721" s="12" t="str">
        <f>IF(C721&gt;0,(VLOOKUP(C721,'Blnct AR'!$C$2:$D$2255,2,0))," ")</f>
        <v>Milénnium 500471734904 Kz</v>
      </c>
      <c r="E721" s="21" t="s">
        <v>1993</v>
      </c>
      <c r="F721" s="20"/>
      <c r="G721" s="20">
        <v>200000</v>
      </c>
      <c r="I721" s="37"/>
    </row>
    <row r="722" spans="1:9" s="14" customFormat="1" ht="15" customHeight="1">
      <c r="A722" s="10">
        <v>43982</v>
      </c>
      <c r="B722" s="8" t="s">
        <v>1976</v>
      </c>
      <c r="C722" s="11">
        <v>75114</v>
      </c>
      <c r="D722" s="12" t="str">
        <f>IF(C722&gt;0,(VLOOKUP(C722,'Blnct AR'!$C$2:$D$2255,2,0))," ")</f>
        <v>Empreitada B13 Sdavid</v>
      </c>
      <c r="E722" s="21" t="s">
        <v>1993</v>
      </c>
      <c r="F722" s="20">
        <v>200000</v>
      </c>
      <c r="G722" s="20"/>
      <c r="I722" s="37"/>
    </row>
    <row r="723" spans="1:9" s="14" customFormat="1" ht="15" customHeight="1">
      <c r="A723" s="10">
        <v>43982</v>
      </c>
      <c r="B723" s="8" t="s">
        <v>1928</v>
      </c>
      <c r="C723" s="11">
        <v>43103</v>
      </c>
      <c r="D723" s="12" t="str">
        <f>IF(C723&gt;0,(VLOOKUP(C723,'Blnct AR'!$C$2:$D$2255,2,0))," ")</f>
        <v>Milénnium 500471734904 Kz</v>
      </c>
      <c r="E723" s="21" t="s">
        <v>2020</v>
      </c>
      <c r="F723" s="20"/>
      <c r="G723" s="20">
        <v>32500</v>
      </c>
      <c r="I723" s="37"/>
    </row>
    <row r="724" spans="1:9" s="14" customFormat="1" ht="15" customHeight="1">
      <c r="A724" s="10">
        <v>43982</v>
      </c>
      <c r="B724" s="8" t="s">
        <v>1928</v>
      </c>
      <c r="C724" s="11">
        <v>75215</v>
      </c>
      <c r="D724" s="12" t="str">
        <f>IF(C724&gt;0,(VLOOKUP(C724,'Blnct AR'!$C$2:$D$2255,2,0))," ")</f>
        <v>Material protecção, seg.e conforto</v>
      </c>
      <c r="E724" s="21" t="s">
        <v>2020</v>
      </c>
      <c r="F724" s="20">
        <v>32500</v>
      </c>
      <c r="G724" s="20"/>
      <c r="I724" s="37"/>
    </row>
    <row r="725" spans="1:9" s="14" customFormat="1" ht="15" customHeight="1">
      <c r="A725" s="10">
        <v>43982</v>
      </c>
      <c r="B725" s="8" t="s">
        <v>1949</v>
      </c>
      <c r="C725" s="11">
        <v>43103</v>
      </c>
      <c r="D725" s="12" t="str">
        <f>IF(C725&gt;0,(VLOOKUP(C725,'Blnct AR'!$C$2:$D$2255,2,0))," ")</f>
        <v>Milénnium 500471734904 Kz</v>
      </c>
      <c r="E725" s="21" t="s">
        <v>43</v>
      </c>
      <c r="F725" s="20"/>
      <c r="G725" s="20">
        <v>21700</v>
      </c>
      <c r="I725" s="37"/>
    </row>
    <row r="726" spans="1:9" s="14" customFormat="1" ht="15" customHeight="1">
      <c r="A726" s="10">
        <v>43982</v>
      </c>
      <c r="B726" s="8" t="s">
        <v>1949</v>
      </c>
      <c r="C726" s="11">
        <v>75216</v>
      </c>
      <c r="D726" s="12" t="str">
        <f>IF(C726&gt;0,(VLOOKUP(C726,'Blnct AR'!$C$2:$D$2255,2,0))," ")</f>
        <v>Ferrament.e utensílios desg.rápido</v>
      </c>
      <c r="E726" s="21" t="s">
        <v>43</v>
      </c>
      <c r="F726" s="20">
        <v>21700</v>
      </c>
      <c r="G726" s="20"/>
      <c r="I726" s="37"/>
    </row>
    <row r="727" spans="1:9" s="14" customFormat="1" ht="15" customHeight="1">
      <c r="A727" s="10">
        <v>43982</v>
      </c>
      <c r="B727" s="8" t="s">
        <v>59</v>
      </c>
      <c r="C727" s="11">
        <v>43103</v>
      </c>
      <c r="D727" s="12" t="str">
        <f>IF(C727&gt;0,(VLOOKUP(C727,'Blnct AR'!$C$2:$D$2255,2,0))," ")</f>
        <v>Milénnium 500471734904 Kz</v>
      </c>
      <c r="E727" s="21" t="s">
        <v>1982</v>
      </c>
      <c r="F727" s="20"/>
      <c r="G727" s="20">
        <v>13420</v>
      </c>
      <c r="I727" s="37"/>
    </row>
    <row r="728" spans="1:9" s="14" customFormat="1" ht="15" customHeight="1">
      <c r="A728" s="10">
        <v>43982</v>
      </c>
      <c r="B728" s="8" t="s">
        <v>59</v>
      </c>
      <c r="C728" s="11">
        <v>75217</v>
      </c>
      <c r="D728" s="12" t="str">
        <f>IF(C728&gt;0,(VLOOKUP(C728,'Blnct AR'!$C$2:$D$2255,2,0))," ")</f>
        <v>Material de escritório</v>
      </c>
      <c r="E728" s="21" t="s">
        <v>1982</v>
      </c>
      <c r="F728" s="20">
        <v>13420</v>
      </c>
      <c r="G728" s="20"/>
      <c r="I728" s="37"/>
    </row>
    <row r="729" spans="1:9" s="14" customFormat="1" ht="15" customHeight="1">
      <c r="A729" s="10">
        <v>43982</v>
      </c>
      <c r="B729" s="8" t="s">
        <v>1922</v>
      </c>
      <c r="C729" s="11">
        <v>43103</v>
      </c>
      <c r="D729" s="12" t="str">
        <f>IF(C729&gt;0,(VLOOKUP(C729,'Blnct AR'!$C$2:$D$2255,2,0))," ")</f>
        <v>Milénnium 500471734904 Kz</v>
      </c>
      <c r="E729" s="21" t="s">
        <v>1911</v>
      </c>
      <c r="F729" s="20"/>
      <c r="G729" s="20">
        <v>64000</v>
      </c>
      <c r="I729" s="37"/>
    </row>
    <row r="730" spans="1:9" s="14" customFormat="1" ht="15" customHeight="1">
      <c r="A730" s="10">
        <v>43982</v>
      </c>
      <c r="B730" s="8" t="s">
        <v>1922</v>
      </c>
      <c r="C730" s="11">
        <v>752202</v>
      </c>
      <c r="D730" s="12" t="str">
        <f>IF(C730&gt;0,(VLOOKUP(C730,'Blnct AR'!$C$2:$D$2255,2,0))," ")</f>
        <v>Telefone Móvel / Internet</v>
      </c>
      <c r="E730" s="21" t="s">
        <v>1911</v>
      </c>
      <c r="F730" s="20">
        <v>64000</v>
      </c>
      <c r="G730" s="20"/>
      <c r="I730" s="37"/>
    </row>
    <row r="731" spans="1:9" s="14" customFormat="1" ht="15" customHeight="1">
      <c r="A731" s="10">
        <v>43982</v>
      </c>
      <c r="B731" s="8" t="s">
        <v>1921</v>
      </c>
      <c r="C731" s="11">
        <v>43103</v>
      </c>
      <c r="D731" s="12" t="str">
        <f>IF(C731&gt;0,(VLOOKUP(C731,'Blnct AR'!$C$2:$D$2255,2,0))," ")</f>
        <v>Milénnium 500471734904 Kz</v>
      </c>
      <c r="E731" s="21" t="s">
        <v>1860</v>
      </c>
      <c r="F731" s="20"/>
      <c r="G731" s="20">
        <v>32369.75</v>
      </c>
      <c r="I731" s="37"/>
    </row>
    <row r="732" spans="1:9" s="14" customFormat="1" ht="15" customHeight="1">
      <c r="A732" s="10">
        <v>43982</v>
      </c>
      <c r="B732" s="8" t="s">
        <v>1921</v>
      </c>
      <c r="C732" s="11">
        <v>75228</v>
      </c>
      <c r="D732" s="12" t="str">
        <f>IF(C732&gt;0,(VLOOKUP(C732,'Blnct AR'!$C$2:$D$2255,2,0))," ")</f>
        <v>Limpeza, higiene e conforto</v>
      </c>
      <c r="E732" s="21" t="s">
        <v>1860</v>
      </c>
      <c r="F732" s="20">
        <v>32369.75</v>
      </c>
      <c r="G732" s="20"/>
      <c r="I732" s="37"/>
    </row>
    <row r="733" spans="1:9" s="14" customFormat="1" ht="15" customHeight="1">
      <c r="A733" s="10">
        <v>43982</v>
      </c>
      <c r="B733" s="8" t="s">
        <v>1955</v>
      </c>
      <c r="C733" s="11">
        <v>43103</v>
      </c>
      <c r="D733" s="12" t="str">
        <f>IF(C733&gt;0,(VLOOKUP(C733,'Blnct AR'!$C$2:$D$2255,2,0))," ")</f>
        <v>Milénnium 500471734904 Kz</v>
      </c>
      <c r="E733" s="21" t="s">
        <v>1861</v>
      </c>
      <c r="F733" s="20"/>
      <c r="G733" s="20">
        <v>18832.5</v>
      </c>
      <c r="I733" s="37"/>
    </row>
    <row r="734" spans="1:9" s="14" customFormat="1" ht="15" customHeight="1">
      <c r="A734" s="10">
        <v>43982</v>
      </c>
      <c r="B734" s="8" t="s">
        <v>1955</v>
      </c>
      <c r="C734" s="11">
        <v>752131</v>
      </c>
      <c r="D734" s="12" t="str">
        <f>IF(C734&gt;0,(VLOOKUP(C734,'Blnct AR'!$C$2:$D$2255,2,0))," ")</f>
        <v>Gasoleo</v>
      </c>
      <c r="E734" s="21" t="s">
        <v>1861</v>
      </c>
      <c r="F734" s="20">
        <v>18832.5</v>
      </c>
      <c r="G734" s="20"/>
      <c r="I734" s="37"/>
    </row>
    <row r="735" spans="1:9" s="14" customFormat="1" ht="15" customHeight="1">
      <c r="A735" s="10">
        <v>43982</v>
      </c>
      <c r="B735" s="8" t="s">
        <v>1955</v>
      </c>
      <c r="C735" s="11">
        <v>43103</v>
      </c>
      <c r="D735" s="12" t="str">
        <f>IF(C735&gt;0,(VLOOKUP(C735,'Blnct AR'!$C$2:$D$2255,2,0))," ")</f>
        <v>Milénnium 500471734904 Kz</v>
      </c>
      <c r="E735" s="21" t="s">
        <v>1861</v>
      </c>
      <c r="F735" s="20"/>
      <c r="G735" s="20">
        <v>21968.2</v>
      </c>
      <c r="I735" s="37"/>
    </row>
    <row r="736" spans="1:9" s="14" customFormat="1" ht="15" customHeight="1">
      <c r="A736" s="10">
        <v>43982</v>
      </c>
      <c r="B736" s="8" t="s">
        <v>1955</v>
      </c>
      <c r="C736" s="11">
        <v>752132</v>
      </c>
      <c r="D736" s="12" t="str">
        <f>IF(C736&gt;0,(VLOOKUP(C736,'Blnct AR'!$C$2:$D$2255,2,0))," ")</f>
        <v>Gasolina</v>
      </c>
      <c r="E736" s="21" t="s">
        <v>1861</v>
      </c>
      <c r="F736" s="20">
        <v>21968.2</v>
      </c>
      <c r="G736" s="20"/>
      <c r="I736" s="37"/>
    </row>
    <row r="737" spans="1:9" s="14" customFormat="1" ht="15" customHeight="1">
      <c r="A737" s="10">
        <v>43982</v>
      </c>
      <c r="B737" s="8" t="s">
        <v>1961</v>
      </c>
      <c r="C737" s="11">
        <v>43103</v>
      </c>
      <c r="D737" s="12" t="str">
        <f>IF(C737&gt;0,(VLOOKUP(C737,'Blnct AR'!$C$2:$D$2255,2,0))," ")</f>
        <v>Milénnium 500471734904 Kz</v>
      </c>
      <c r="E737" s="21" t="s">
        <v>1840</v>
      </c>
      <c r="F737" s="20"/>
      <c r="G737" s="20">
        <v>3268496.15</v>
      </c>
      <c r="I737" s="37"/>
    </row>
    <row r="738" spans="1:9" s="14" customFormat="1" ht="15" customHeight="1">
      <c r="A738" s="10">
        <v>43982</v>
      </c>
      <c r="B738" s="8" t="s">
        <v>1961</v>
      </c>
      <c r="C738" s="11">
        <v>752144</v>
      </c>
      <c r="D738" s="12" t="str">
        <f>IF(C738&gt;0,(VLOOKUP(C738,'Blnct AR'!$C$2:$D$2255,2,0))," ")</f>
        <v>Equipamento de carga e transporte</v>
      </c>
      <c r="E738" s="21" t="s">
        <v>1840</v>
      </c>
      <c r="F738" s="20">
        <v>3268496.15</v>
      </c>
      <c r="G738" s="20"/>
      <c r="I738" s="37"/>
    </row>
    <row r="739" spans="1:9" s="14" customFormat="1" ht="15" customHeight="1">
      <c r="A739" s="10">
        <v>43982</v>
      </c>
      <c r="B739" s="8" t="s">
        <v>1873</v>
      </c>
      <c r="C739" s="11">
        <v>43103</v>
      </c>
      <c r="D739" s="12" t="str">
        <f>IF(C739&gt;0,(VLOOKUP(C739,'Blnct AR'!$C$2:$D$2255,2,0))," ")</f>
        <v>Milénnium 500471734904 Kz</v>
      </c>
      <c r="E739" s="21" t="s">
        <v>1997</v>
      </c>
      <c r="F739" s="20"/>
      <c r="G739" s="20">
        <v>352824.2</v>
      </c>
      <c r="I739" s="37"/>
    </row>
    <row r="740" spans="1:9" s="14" customFormat="1" ht="15" customHeight="1">
      <c r="A740" s="10">
        <v>43982</v>
      </c>
      <c r="B740" s="8" t="s">
        <v>1873</v>
      </c>
      <c r="C740" s="11">
        <v>752211</v>
      </c>
      <c r="D740" s="12" t="str">
        <f>IF(C740&gt;0,(VLOOKUP(C740,'Blnct AR'!$C$2:$D$2255,2,0))," ")</f>
        <v>Rendas de imóveis Prefor</v>
      </c>
      <c r="E740" s="21" t="s">
        <v>1997</v>
      </c>
      <c r="F740" s="20">
        <v>352824.2</v>
      </c>
      <c r="G740" s="20"/>
      <c r="I740" s="37"/>
    </row>
    <row r="741" spans="1:9" s="14" customFormat="1" ht="15" customHeight="1">
      <c r="A741" s="10">
        <v>43982</v>
      </c>
      <c r="B741" s="8" t="s">
        <v>1873</v>
      </c>
      <c r="C741" s="11">
        <v>43103</v>
      </c>
      <c r="D741" s="12" t="str">
        <f>IF(C741&gt;0,(VLOOKUP(C741,'Blnct AR'!$C$2:$D$2255,2,0))," ")</f>
        <v>Milénnium 500471734904 Kz</v>
      </c>
      <c r="E741" s="21" t="s">
        <v>1998</v>
      </c>
      <c r="F741" s="20"/>
      <c r="G741" s="20">
        <v>176000</v>
      </c>
      <c r="I741" s="37"/>
    </row>
    <row r="742" spans="1:9" s="14" customFormat="1" ht="15" customHeight="1">
      <c r="A742" s="10">
        <v>43982</v>
      </c>
      <c r="B742" s="8" t="s">
        <v>1873</v>
      </c>
      <c r="C742" s="11">
        <v>752212</v>
      </c>
      <c r="D742" s="12" t="str">
        <f>IF(C742&gt;0,(VLOOKUP(C742,'Blnct AR'!$C$2:$D$2255,2,0))," ")</f>
        <v>Rendas de imóveis Cofrialarme</v>
      </c>
      <c r="E742" s="21" t="s">
        <v>1998</v>
      </c>
      <c r="F742" s="20">
        <v>176000</v>
      </c>
      <c r="G742" s="20"/>
      <c r="I742" s="37"/>
    </row>
    <row r="743" spans="1:9" s="14" customFormat="1" ht="15" customHeight="1">
      <c r="A743" s="10">
        <v>43982</v>
      </c>
      <c r="B743" s="8" t="s">
        <v>1961</v>
      </c>
      <c r="C743" s="11">
        <v>43103</v>
      </c>
      <c r="D743" s="12" t="str">
        <f>IF(C743&gt;0,(VLOOKUP(C743,'Blnct AR'!$C$2:$D$2255,2,0))," ")</f>
        <v>Milénnium 500471734904 Kz</v>
      </c>
      <c r="E743" s="21" t="s">
        <v>1999</v>
      </c>
      <c r="F743" s="20"/>
      <c r="G743" s="20">
        <v>43000</v>
      </c>
      <c r="I743" s="37"/>
    </row>
    <row r="744" spans="1:9" s="14" customFormat="1" ht="15" customHeight="1">
      <c r="A744" s="10">
        <v>43982</v>
      </c>
      <c r="B744" s="8" t="s">
        <v>1961</v>
      </c>
      <c r="C744" s="11">
        <v>752264</v>
      </c>
      <c r="D744" s="12" t="str">
        <f>IF(C744&gt;0,(VLOOKUP(C744,'Blnct AR'!$C$2:$D$2255,2,0))," ")</f>
        <v>Equipamento de carga e transporte</v>
      </c>
      <c r="E744" s="21" t="s">
        <v>1999</v>
      </c>
      <c r="F744" s="20">
        <v>43000</v>
      </c>
      <c r="G744" s="20"/>
      <c r="I744" s="37"/>
    </row>
    <row r="745" spans="1:9" s="14" customFormat="1" ht="15" customHeight="1">
      <c r="A745" s="10">
        <v>43982</v>
      </c>
      <c r="B745" s="8" t="s">
        <v>1869</v>
      </c>
      <c r="C745" s="11">
        <v>43103</v>
      </c>
      <c r="D745" s="12" t="str">
        <f>IF(C745&gt;0,(VLOOKUP(C745,'Blnct AR'!$C$2:$D$2255,2,0))," ")</f>
        <v>Milénnium 500471734904 Kz</v>
      </c>
      <c r="E745" s="21" t="s">
        <v>1869</v>
      </c>
      <c r="F745" s="20"/>
      <c r="G745" s="20">
        <v>756</v>
      </c>
      <c r="I745" s="37"/>
    </row>
    <row r="746" spans="1:9" s="14" customFormat="1" ht="15" customHeight="1">
      <c r="A746" s="10">
        <v>43982</v>
      </c>
      <c r="B746" s="8" t="s">
        <v>1869</v>
      </c>
      <c r="C746" s="11">
        <v>767801</v>
      </c>
      <c r="D746" s="12" t="str">
        <f>IF(C746&gt;0,(VLOOKUP(C746,'Blnct AR'!$C$2:$D$2255,2,0))," ")</f>
        <v>Despesas Operacionais</v>
      </c>
      <c r="E746" s="21" t="s">
        <v>1869</v>
      </c>
      <c r="F746" s="20">
        <v>756</v>
      </c>
      <c r="G746" s="20"/>
      <c r="I746" s="37"/>
    </row>
    <row r="747" spans="1:9" s="14" customFormat="1" ht="15" customHeight="1">
      <c r="A747" s="10"/>
      <c r="B747" s="8" t="s">
        <v>2008</v>
      </c>
      <c r="C747" s="11"/>
      <c r="D747" s="12" t="str">
        <f>IF(C747&gt;0,(VLOOKUP(C747,'Blnct AR'!$C$2:$D$2255,2,0))," ")</f>
        <v xml:space="preserve"> </v>
      </c>
      <c r="E747" s="21"/>
      <c r="F747" s="20"/>
      <c r="G747" s="20"/>
      <c r="I747" s="37"/>
    </row>
    <row r="748" spans="1:9" s="14" customFormat="1" ht="15" customHeight="1">
      <c r="A748" s="10">
        <v>44012</v>
      </c>
      <c r="B748" s="8" t="s">
        <v>1841</v>
      </c>
      <c r="C748" s="11">
        <v>43101</v>
      </c>
      <c r="D748" s="12" t="str">
        <f>IF(C748&gt;0,(VLOOKUP(C748,'Blnct AR'!$C$2:$D$2255,2,0))," ")</f>
        <v>Banco - BFA</v>
      </c>
      <c r="E748" s="21" t="s">
        <v>1842</v>
      </c>
      <c r="F748" s="20"/>
      <c r="G748" s="20">
        <v>18000</v>
      </c>
      <c r="I748" s="37"/>
    </row>
    <row r="749" spans="1:9" s="14" customFormat="1" ht="15" customHeight="1">
      <c r="A749" s="10">
        <v>44012</v>
      </c>
      <c r="B749" s="8" t="s">
        <v>1841</v>
      </c>
      <c r="C749" s="11">
        <v>75211</v>
      </c>
      <c r="D749" s="12" t="str">
        <f>IF(C749&gt;0,(VLOOKUP(C749,'Blnct AR'!$C$2:$D$2255,2,0))," ")</f>
        <v>Água</v>
      </c>
      <c r="E749" s="21" t="s">
        <v>1842</v>
      </c>
      <c r="F749" s="20">
        <v>18000</v>
      </c>
      <c r="G749" s="20"/>
      <c r="I749" s="37"/>
    </row>
    <row r="750" spans="1:9" s="14" customFormat="1" ht="15" customHeight="1">
      <c r="A750" s="10">
        <v>44012</v>
      </c>
      <c r="B750" s="8" t="s">
        <v>1922</v>
      </c>
      <c r="C750" s="11">
        <v>43101</v>
      </c>
      <c r="D750" s="12" t="str">
        <f>IF(C750&gt;0,(VLOOKUP(C750,'Blnct AR'!$C$2:$D$2255,2,0))," ")</f>
        <v>Banco - BFA</v>
      </c>
      <c r="E750" s="21" t="s">
        <v>1911</v>
      </c>
      <c r="F750" s="20"/>
      <c r="G750" s="20">
        <v>102699.92</v>
      </c>
      <c r="I750" s="37"/>
    </row>
    <row r="751" spans="1:9" s="14" customFormat="1" ht="15" customHeight="1">
      <c r="A751" s="10">
        <v>44012</v>
      </c>
      <c r="B751" s="8" t="s">
        <v>1922</v>
      </c>
      <c r="C751" s="11">
        <v>752202</v>
      </c>
      <c r="D751" s="12" t="str">
        <f>IF(C751&gt;0,(VLOOKUP(C751,'Blnct AR'!$C$2:$D$2255,2,0))," ")</f>
        <v>Telefone Móvel / Internet</v>
      </c>
      <c r="E751" s="21" t="s">
        <v>1911</v>
      </c>
      <c r="F751" s="20">
        <v>102699.92</v>
      </c>
      <c r="G751" s="20"/>
      <c r="I751" s="37"/>
    </row>
    <row r="752" spans="1:9" s="14" customFormat="1" ht="15" customHeight="1">
      <c r="A752" s="10"/>
      <c r="B752" s="8" t="s">
        <v>2009</v>
      </c>
      <c r="C752" s="11"/>
      <c r="D752" s="12" t="str">
        <f>IF(C752&gt;0,(VLOOKUP(C752,'Blnct AR'!$C$2:$D$2255,2,0))," ")</f>
        <v xml:space="preserve"> </v>
      </c>
      <c r="E752" s="21"/>
      <c r="F752" s="20"/>
      <c r="G752" s="20"/>
      <c r="I752" s="37"/>
    </row>
    <row r="753" spans="1:9" s="14" customFormat="1" ht="15" customHeight="1">
      <c r="A753" s="10">
        <v>44012</v>
      </c>
      <c r="B753" s="8" t="s">
        <v>1932</v>
      </c>
      <c r="C753" s="11">
        <v>43106</v>
      </c>
      <c r="D753" s="12" t="str">
        <f>IF(C753&gt;0,(VLOOKUP(C753,'Blnct AR'!$C$2:$D$2255,2,0))," ")</f>
        <v>Banco BIC - 118133685.15.1</v>
      </c>
      <c r="E753" s="21" t="s">
        <v>2022</v>
      </c>
      <c r="F753" s="20"/>
      <c r="G753" s="20">
        <v>8191052</v>
      </c>
      <c r="I753" s="37"/>
    </row>
    <row r="754" spans="1:9" s="14" customFormat="1" ht="15" customHeight="1">
      <c r="A754" s="10">
        <v>44012</v>
      </c>
      <c r="B754" s="8" t="s">
        <v>1932</v>
      </c>
      <c r="C754" s="11">
        <v>7111</v>
      </c>
      <c r="D754" s="12" t="str">
        <f>IF(C754&gt;0,(VLOOKUP(C754,'Blnct AR'!$C$2:$D$2255,2,0))," ")</f>
        <v>Mp - cevc</v>
      </c>
      <c r="E754" s="21" t="s">
        <v>2022</v>
      </c>
      <c r="F754" s="20">
        <v>8191052</v>
      </c>
      <c r="G754" s="20"/>
      <c r="I754" s="37"/>
    </row>
    <row r="755" spans="1:9" s="14" customFormat="1" ht="15" customHeight="1">
      <c r="A755" s="10">
        <v>44012</v>
      </c>
      <c r="B755" s="8" t="s">
        <v>1932</v>
      </c>
      <c r="C755" s="11">
        <v>43106</v>
      </c>
      <c r="D755" s="12" t="str">
        <f>IF(C755&gt;0,(VLOOKUP(C755,'Blnct AR'!$C$2:$D$2255,2,0))," ")</f>
        <v>Banco BIC - 118133685.15.1</v>
      </c>
      <c r="E755" s="21" t="s">
        <v>2023</v>
      </c>
      <c r="F755" s="20"/>
      <c r="G755" s="20">
        <v>203700</v>
      </c>
      <c r="I755" s="37"/>
    </row>
    <row r="756" spans="1:9" s="14" customFormat="1" ht="15" customHeight="1">
      <c r="A756" s="10">
        <v>44012</v>
      </c>
      <c r="B756" s="8" t="s">
        <v>1932</v>
      </c>
      <c r="C756" s="11">
        <v>7111</v>
      </c>
      <c r="D756" s="12" t="str">
        <f>IF(C756&gt;0,(VLOOKUP(C756,'Blnct AR'!$C$2:$D$2255,2,0))," ")</f>
        <v>Mp - cevc</v>
      </c>
      <c r="E756" s="21" t="s">
        <v>2023</v>
      </c>
      <c r="F756" s="20">
        <v>203700</v>
      </c>
      <c r="G756" s="20"/>
      <c r="I756" s="37"/>
    </row>
    <row r="757" spans="1:9" s="14" customFormat="1" ht="15" customHeight="1">
      <c r="A757" s="10">
        <v>44012</v>
      </c>
      <c r="B757" s="8" t="s">
        <v>2034</v>
      </c>
      <c r="C757" s="11">
        <v>43106</v>
      </c>
      <c r="D757" s="12" t="str">
        <f>IF(C757&gt;0,(VLOOKUP(C757,'Blnct AR'!$C$2:$D$2255,2,0))," ")</f>
        <v>Banco BIC - 118133685.15.1</v>
      </c>
      <c r="E757" s="21" t="s">
        <v>2024</v>
      </c>
      <c r="F757" s="20"/>
      <c r="G757" s="20">
        <v>52346.1</v>
      </c>
      <c r="I757" s="37"/>
    </row>
    <row r="758" spans="1:9" s="14" customFormat="1" ht="15" customHeight="1">
      <c r="A758" s="10">
        <v>44012</v>
      </c>
      <c r="B758" s="8" t="s">
        <v>2034</v>
      </c>
      <c r="C758" s="11">
        <v>752221</v>
      </c>
      <c r="D758" s="12" t="str">
        <f>IF(C758&gt;0,(VLOOKUP(C758,'Blnct AR'!$C$2:$D$2255,2,0))," ")</f>
        <v>Ramo acidente de trabalho</v>
      </c>
      <c r="E758" s="21" t="s">
        <v>2024</v>
      </c>
      <c r="F758" s="20">
        <v>52346.1</v>
      </c>
      <c r="G758" s="20"/>
      <c r="I758" s="37"/>
    </row>
    <row r="759" spans="1:9" s="14" customFormat="1" ht="15" customHeight="1">
      <c r="A759" s="10">
        <v>44012</v>
      </c>
      <c r="B759" s="8" t="s">
        <v>1869</v>
      </c>
      <c r="C759" s="11">
        <v>43106</v>
      </c>
      <c r="D759" s="12" t="str">
        <f>IF(C759&gt;0,(VLOOKUP(C759,'Blnct AR'!$C$2:$D$2255,2,0))," ")</f>
        <v>Banco BIC - 118133685.15.1</v>
      </c>
      <c r="E759" s="21" t="s">
        <v>1869</v>
      </c>
      <c r="F759" s="20"/>
      <c r="G759" s="20">
        <v>3000</v>
      </c>
      <c r="I759" s="37"/>
    </row>
    <row r="760" spans="1:9" s="14" customFormat="1" ht="15" customHeight="1">
      <c r="A760" s="10">
        <v>44012</v>
      </c>
      <c r="B760" s="8" t="s">
        <v>1869</v>
      </c>
      <c r="C760" s="11">
        <v>767801</v>
      </c>
      <c r="D760" s="12" t="str">
        <f>IF(C760&gt;0,(VLOOKUP(C760,'Blnct AR'!$C$2:$D$2255,2,0))," ")</f>
        <v>Despesas Operacionais</v>
      </c>
      <c r="E760" s="21" t="s">
        <v>1869</v>
      </c>
      <c r="F760" s="20">
        <v>3000</v>
      </c>
      <c r="G760" s="20"/>
      <c r="I760" s="37"/>
    </row>
    <row r="761" spans="1:9" s="14" customFormat="1" ht="15" customHeight="1">
      <c r="A761" s="10">
        <v>44012</v>
      </c>
      <c r="B761" s="8" t="s">
        <v>1932</v>
      </c>
      <c r="C761" s="11">
        <v>43106</v>
      </c>
      <c r="D761" s="12" t="str">
        <f>IF(C761&gt;0,(VLOOKUP(C761,'Blnct AR'!$C$2:$D$2255,2,0))," ")</f>
        <v>Banco BIC - 118133685.15.1</v>
      </c>
      <c r="E761" s="21" t="s">
        <v>2025</v>
      </c>
      <c r="F761" s="20"/>
      <c r="G761" s="20">
        <v>407326.09</v>
      </c>
      <c r="I761" s="37"/>
    </row>
    <row r="762" spans="1:9" s="14" customFormat="1" ht="15" customHeight="1">
      <c r="A762" s="10">
        <v>44012</v>
      </c>
      <c r="B762" s="8" t="s">
        <v>1932</v>
      </c>
      <c r="C762" s="11">
        <v>7111</v>
      </c>
      <c r="D762" s="12" t="str">
        <f>IF(C762&gt;0,(VLOOKUP(C762,'Blnct AR'!$C$2:$D$2255,2,0))," ")</f>
        <v>Mp - cevc</v>
      </c>
      <c r="E762" s="21" t="s">
        <v>2025</v>
      </c>
      <c r="F762" s="20">
        <v>407326.09</v>
      </c>
      <c r="G762" s="20"/>
      <c r="I762" s="37"/>
    </row>
    <row r="763" spans="1:9" s="14" customFormat="1" ht="15" customHeight="1">
      <c r="A763" s="10">
        <v>44012</v>
      </c>
      <c r="B763" s="8" t="s">
        <v>1848</v>
      </c>
      <c r="C763" s="11">
        <v>43106</v>
      </c>
      <c r="D763" s="12" t="str">
        <f>IF(C763&gt;0,(VLOOKUP(C763,'Blnct AR'!$C$2:$D$2255,2,0))," ")</f>
        <v>Banco BIC - 118133685.15.1</v>
      </c>
      <c r="E763" s="21" t="s">
        <v>2026</v>
      </c>
      <c r="F763" s="20"/>
      <c r="G763" s="20">
        <v>266475</v>
      </c>
      <c r="I763" s="37"/>
    </row>
    <row r="764" spans="1:9" s="14" customFormat="1" ht="15" customHeight="1">
      <c r="A764" s="10">
        <v>44012</v>
      </c>
      <c r="B764" s="8" t="s">
        <v>1848</v>
      </c>
      <c r="C764" s="11">
        <v>75227</v>
      </c>
      <c r="D764" s="12" t="str">
        <f>IF(C764&gt;0,(VLOOKUP(C764,'Blnct AR'!$C$2:$D$2255,2,0))," ")</f>
        <v>Vigilância e segurança</v>
      </c>
      <c r="E764" s="21" t="s">
        <v>2026</v>
      </c>
      <c r="F764" s="20">
        <v>266475</v>
      </c>
      <c r="G764" s="20"/>
      <c r="I764" s="37"/>
    </row>
    <row r="765" spans="1:9" s="14" customFormat="1" ht="15" customHeight="1">
      <c r="A765" s="10">
        <v>44012</v>
      </c>
      <c r="B765" s="8" t="s">
        <v>2027</v>
      </c>
      <c r="C765" s="11">
        <v>43106</v>
      </c>
      <c r="D765" s="12" t="str">
        <f>IF(C765&gt;0,(VLOOKUP(C765,'Blnct AR'!$C$2:$D$2255,2,0))," ")</f>
        <v>Banco BIC - 118133685.15.1</v>
      </c>
      <c r="E765" s="21" t="s">
        <v>2028</v>
      </c>
      <c r="F765" s="20"/>
      <c r="G765" s="20">
        <v>116873</v>
      </c>
      <c r="I765" s="37"/>
    </row>
    <row r="766" spans="1:9" s="14" customFormat="1" ht="15" customHeight="1">
      <c r="A766" s="10">
        <v>44012</v>
      </c>
      <c r="B766" s="8" t="s">
        <v>2027</v>
      </c>
      <c r="C766" s="11">
        <v>752214</v>
      </c>
      <c r="D766" s="12" t="str">
        <f>IF(C766&gt;0,(VLOOKUP(C766,'Blnct AR'!$C$2:$D$2255,2,0))," ")</f>
        <v>Serviço de transporte</v>
      </c>
      <c r="E766" s="21" t="s">
        <v>2028</v>
      </c>
      <c r="F766" s="20">
        <v>116873</v>
      </c>
      <c r="G766" s="20"/>
      <c r="I766" s="37"/>
    </row>
    <row r="767" spans="1:9" s="14" customFormat="1" ht="15" customHeight="1">
      <c r="A767" s="10">
        <v>44012</v>
      </c>
      <c r="B767" s="8" t="s">
        <v>2027</v>
      </c>
      <c r="C767" s="11">
        <v>43106</v>
      </c>
      <c r="D767" s="12" t="str">
        <f>IF(C767&gt;0,(VLOOKUP(C767,'Blnct AR'!$C$2:$D$2255,2,0))," ")</f>
        <v>Banco BIC - 118133685.15.1</v>
      </c>
      <c r="E767" s="21" t="s">
        <v>2029</v>
      </c>
      <c r="F767" s="20"/>
      <c r="G767" s="20">
        <v>70125</v>
      </c>
      <c r="I767" s="37"/>
    </row>
    <row r="768" spans="1:9" s="14" customFormat="1" ht="15" customHeight="1">
      <c r="A768" s="10">
        <v>44012</v>
      </c>
      <c r="B768" s="8" t="s">
        <v>2027</v>
      </c>
      <c r="C768" s="11">
        <v>752214</v>
      </c>
      <c r="D768" s="12" t="str">
        <f>IF(C768&gt;0,(VLOOKUP(C768,'Blnct AR'!$C$2:$D$2255,2,0))," ")</f>
        <v>Serviço de transporte</v>
      </c>
      <c r="E768" s="21" t="s">
        <v>2029</v>
      </c>
      <c r="F768" s="20">
        <v>70125</v>
      </c>
      <c r="G768" s="20"/>
      <c r="I768" s="37"/>
    </row>
    <row r="769" spans="1:9" s="14" customFormat="1" ht="15" customHeight="1">
      <c r="A769" s="10">
        <v>44012</v>
      </c>
      <c r="B769" s="8" t="s">
        <v>1873</v>
      </c>
      <c r="C769" s="11">
        <v>43106</v>
      </c>
      <c r="D769" s="12" t="str">
        <f>IF(C769&gt;0,(VLOOKUP(C769,'Blnct AR'!$C$2:$D$2255,2,0))," ")</f>
        <v>Banco BIC - 118133685.15.1</v>
      </c>
      <c r="E769" s="21" t="s">
        <v>1998</v>
      </c>
      <c r="F769" s="20"/>
      <c r="G769" s="20">
        <v>176000</v>
      </c>
      <c r="I769" s="37"/>
    </row>
    <row r="770" spans="1:9" s="14" customFormat="1" ht="15" customHeight="1">
      <c r="A770" s="10">
        <v>44012</v>
      </c>
      <c r="B770" s="8" t="s">
        <v>1873</v>
      </c>
      <c r="C770" s="11">
        <v>752212</v>
      </c>
      <c r="D770" s="12" t="str">
        <f>IF(C770&gt;0,(VLOOKUP(C770,'Blnct AR'!$C$2:$D$2255,2,0))," ")</f>
        <v>Rendas de imóveis Cofrialarme</v>
      </c>
      <c r="E770" s="21" t="s">
        <v>1998</v>
      </c>
      <c r="F770" s="20">
        <v>176000</v>
      </c>
      <c r="G770" s="20"/>
      <c r="I770" s="37"/>
    </row>
    <row r="771" spans="1:9" s="14" customFormat="1" ht="15" customHeight="1">
      <c r="A771" s="10">
        <v>44012</v>
      </c>
      <c r="B771" s="8" t="s">
        <v>1869</v>
      </c>
      <c r="C771" s="11">
        <v>43106</v>
      </c>
      <c r="D771" s="12" t="str">
        <f>IF(C771&gt;0,(VLOOKUP(C771,'Blnct AR'!$C$2:$D$2255,2,0))," ")</f>
        <v>Banco BIC - 118133685.15.1</v>
      </c>
      <c r="E771" s="21" t="s">
        <v>1869</v>
      </c>
      <c r="F771" s="20"/>
      <c r="G771" s="20">
        <v>420</v>
      </c>
      <c r="I771" s="37"/>
    </row>
    <row r="772" spans="1:9" s="14" customFormat="1" ht="15" customHeight="1">
      <c r="A772" s="10">
        <v>44012</v>
      </c>
      <c r="B772" s="8" t="s">
        <v>1869</v>
      </c>
      <c r="C772" s="11">
        <v>75314</v>
      </c>
      <c r="D772" s="12" t="str">
        <f>IF(C772&gt;0,(VLOOKUP(C772,'Blnct AR'!$C$2:$D$2255,2,0))," ")</f>
        <v>IVA Suportado</v>
      </c>
      <c r="E772" s="21" t="s">
        <v>1869</v>
      </c>
      <c r="F772" s="20">
        <v>420</v>
      </c>
      <c r="G772" s="20"/>
      <c r="I772" s="37"/>
    </row>
    <row r="773" spans="1:9" s="14" customFormat="1" ht="15" customHeight="1">
      <c r="A773" s="10"/>
      <c r="B773" s="8" t="s">
        <v>2010</v>
      </c>
      <c r="C773" s="11"/>
      <c r="D773" s="12"/>
      <c r="E773" s="21"/>
      <c r="F773" s="20"/>
      <c r="G773" s="20"/>
      <c r="I773" s="37"/>
    </row>
    <row r="774" spans="1:9" s="14" customFormat="1" ht="15" customHeight="1">
      <c r="A774" s="10">
        <v>44012</v>
      </c>
      <c r="B774" s="8" t="s">
        <v>1653</v>
      </c>
      <c r="C774" s="11">
        <v>43103</v>
      </c>
      <c r="D774" s="12" t="str">
        <f>IF(C774&gt;0,(VLOOKUP(C774,'Blnct AR'!$C$2:$D$2255,2,0))," ")</f>
        <v>Milénnium 500471734904 Kz</v>
      </c>
      <c r="E774" s="21" t="s">
        <v>1907</v>
      </c>
      <c r="F774" s="20"/>
      <c r="G774" s="20">
        <v>946081.35</v>
      </c>
      <c r="I774" s="37"/>
    </row>
    <row r="775" spans="1:9" s="14" customFormat="1" ht="15" customHeight="1">
      <c r="A775" s="10">
        <v>44012</v>
      </c>
      <c r="B775" s="8" t="s">
        <v>1653</v>
      </c>
      <c r="C775" s="11">
        <v>45111</v>
      </c>
      <c r="D775" s="12" t="str">
        <f>IF(C775&gt;0,(VLOOKUP(C775,'Blnct AR'!$C$2:$D$2255,2,0))," ")</f>
        <v>Caixa Geral</v>
      </c>
      <c r="E775" s="21" t="s">
        <v>1907</v>
      </c>
      <c r="F775" s="20">
        <v>946081.35</v>
      </c>
      <c r="G775" s="20"/>
      <c r="I775" s="37"/>
    </row>
    <row r="776" spans="1:9" s="14" customFormat="1" ht="15" customHeight="1">
      <c r="A776" s="10">
        <v>44012</v>
      </c>
      <c r="B776" s="8" t="s">
        <v>1932</v>
      </c>
      <c r="C776" s="11">
        <v>43103</v>
      </c>
      <c r="D776" s="12" t="str">
        <f>IF(C776&gt;0,(VLOOKUP(C776,'Blnct AR'!$C$2:$D$2255,2,0))," ")</f>
        <v>Milénnium 500471734904 Kz</v>
      </c>
      <c r="E776" s="21" t="s">
        <v>1945</v>
      </c>
      <c r="F776" s="20"/>
      <c r="G776" s="20">
        <v>1380657</v>
      </c>
      <c r="I776" s="37"/>
    </row>
    <row r="777" spans="1:9" s="14" customFormat="1" ht="15" customHeight="1">
      <c r="A777" s="10">
        <v>44012</v>
      </c>
      <c r="B777" s="8" t="s">
        <v>1932</v>
      </c>
      <c r="C777" s="11">
        <v>7111</v>
      </c>
      <c r="D777" s="12" t="str">
        <f>IF(C777&gt;0,(VLOOKUP(C777,'Blnct AR'!$C$2:$D$2255,2,0))," ")</f>
        <v>Mp - cevc</v>
      </c>
      <c r="E777" s="21" t="s">
        <v>1945</v>
      </c>
      <c r="F777" s="20">
        <v>1380657</v>
      </c>
      <c r="G777" s="20"/>
      <c r="I777" s="37"/>
    </row>
    <row r="778" spans="1:9" s="14" customFormat="1" ht="15" customHeight="1">
      <c r="A778" s="10">
        <v>44012</v>
      </c>
      <c r="B778" s="8" t="s">
        <v>1932</v>
      </c>
      <c r="C778" s="11">
        <v>43103</v>
      </c>
      <c r="D778" s="12" t="str">
        <f>IF(C778&gt;0,(VLOOKUP(C778,'Blnct AR'!$C$2:$D$2255,2,0))," ")</f>
        <v>Milénnium 500471734904 Kz</v>
      </c>
      <c r="E778" s="21" t="s">
        <v>2023</v>
      </c>
      <c r="F778" s="20"/>
      <c r="G778" s="20">
        <v>2640574.8200000003</v>
      </c>
      <c r="I778" s="37"/>
    </row>
    <row r="779" spans="1:9" s="14" customFormat="1" ht="15" customHeight="1">
      <c r="A779" s="10">
        <v>44012</v>
      </c>
      <c r="B779" s="8" t="s">
        <v>1932</v>
      </c>
      <c r="C779" s="11">
        <v>7111</v>
      </c>
      <c r="D779" s="12" t="str">
        <f>IF(C779&gt;0,(VLOOKUP(C779,'Blnct AR'!$C$2:$D$2255,2,0))," ")</f>
        <v>Mp - cevc</v>
      </c>
      <c r="E779" s="21" t="s">
        <v>2023</v>
      </c>
      <c r="F779" s="20">
        <v>2640574.8200000003</v>
      </c>
      <c r="G779" s="20"/>
      <c r="I779" s="37"/>
    </row>
    <row r="780" spans="1:9" s="14" customFormat="1" ht="15" customHeight="1">
      <c r="A780" s="10">
        <v>44012</v>
      </c>
      <c r="B780" s="8" t="s">
        <v>1946</v>
      </c>
      <c r="C780" s="11">
        <v>43103</v>
      </c>
      <c r="D780" s="12" t="str">
        <f>IF(C780&gt;0,(VLOOKUP(C780,'Blnct AR'!$C$2:$D$2255,2,0))," ")</f>
        <v>Milénnium 500471734904 Kz</v>
      </c>
      <c r="E780" s="21" t="s">
        <v>1857</v>
      </c>
      <c r="F780" s="20"/>
      <c r="G780" s="20">
        <v>349900</v>
      </c>
      <c r="I780" s="37"/>
    </row>
    <row r="781" spans="1:9" s="14" customFormat="1" ht="15" customHeight="1">
      <c r="A781" s="10">
        <v>44012</v>
      </c>
      <c r="B781" s="8" t="s">
        <v>1946</v>
      </c>
      <c r="C781" s="11">
        <v>728220</v>
      </c>
      <c r="D781" s="12" t="str">
        <f>IF(C781&gt;0,(VLOOKUP(C781,'Blnct AR'!$C$2:$D$2255,2,0))," ")</f>
        <v>Saúde</v>
      </c>
      <c r="E781" s="21" t="s">
        <v>1857</v>
      </c>
      <c r="F781" s="20">
        <v>349900</v>
      </c>
      <c r="G781" s="20"/>
      <c r="I781" s="37"/>
    </row>
    <row r="782" spans="1:9" s="14" customFormat="1" ht="15" customHeight="1">
      <c r="A782" s="10">
        <v>44012</v>
      </c>
      <c r="B782" s="8" t="s">
        <v>1844</v>
      </c>
      <c r="C782" s="11">
        <v>43103</v>
      </c>
      <c r="D782" s="12" t="str">
        <f>IF(C782&gt;0,(VLOOKUP(C782,'Blnct AR'!$C$2:$D$2255,2,0))," ")</f>
        <v>Milénnium 500471734904 Kz</v>
      </c>
      <c r="E782" s="21" t="s">
        <v>1947</v>
      </c>
      <c r="F782" s="20"/>
      <c r="G782" s="20">
        <v>342260.34</v>
      </c>
      <c r="I782" s="37"/>
    </row>
    <row r="783" spans="1:9" s="14" customFormat="1" ht="15" customHeight="1">
      <c r="A783" s="10">
        <v>44012</v>
      </c>
      <c r="B783" s="8" t="s">
        <v>1844</v>
      </c>
      <c r="C783" s="11">
        <v>7522122</v>
      </c>
      <c r="D783" s="12" t="str">
        <f>IF(C783&gt;0,(VLOOKUP(C783,'Blnct AR'!$C$2:$D$2255,2,0))," ")</f>
        <v>Aluguer de Viatura</v>
      </c>
      <c r="E783" s="21" t="s">
        <v>1947</v>
      </c>
      <c r="F783" s="20">
        <v>342260.34</v>
      </c>
      <c r="G783" s="20"/>
      <c r="I783" s="37"/>
    </row>
    <row r="784" spans="1:9" s="14" customFormat="1" ht="15" customHeight="1">
      <c r="A784" s="10">
        <v>44012</v>
      </c>
      <c r="B784" s="8" t="s">
        <v>1869</v>
      </c>
      <c r="C784" s="11">
        <v>43103</v>
      </c>
      <c r="D784" s="12" t="str">
        <f>IF(C784&gt;0,(VLOOKUP(C784,'Blnct AR'!$C$2:$D$2255,2,0))," ")</f>
        <v>Milénnium 500471734904 Kz</v>
      </c>
      <c r="E784" s="21" t="s">
        <v>1869</v>
      </c>
      <c r="F784" s="20"/>
      <c r="G784" s="20">
        <v>2800</v>
      </c>
      <c r="I784" s="37"/>
    </row>
    <row r="785" spans="1:9" s="14" customFormat="1" ht="15" customHeight="1">
      <c r="A785" s="10">
        <v>44012</v>
      </c>
      <c r="B785" s="8" t="s">
        <v>1869</v>
      </c>
      <c r="C785" s="11">
        <v>767801</v>
      </c>
      <c r="D785" s="12" t="str">
        <f>IF(C785&gt;0,(VLOOKUP(C785,'Blnct AR'!$C$2:$D$2255,2,0))," ")</f>
        <v>Despesas Operacionais</v>
      </c>
      <c r="E785" s="21" t="s">
        <v>1869</v>
      </c>
      <c r="F785" s="20">
        <v>2800</v>
      </c>
      <c r="G785" s="20"/>
      <c r="I785" s="37"/>
    </row>
    <row r="786" spans="1:9" s="14" customFormat="1" ht="15" customHeight="1">
      <c r="A786" s="10">
        <v>44012</v>
      </c>
      <c r="B786" s="8" t="s">
        <v>1116</v>
      </c>
      <c r="C786" s="11">
        <v>43103</v>
      </c>
      <c r="D786" s="12" t="str">
        <f>IF(C786&gt;0,(VLOOKUP(C786,'Blnct AR'!$C$2:$D$2255,2,0))," ")</f>
        <v>Milénnium 500471734904 Kz</v>
      </c>
      <c r="E786" s="21" t="s">
        <v>2030</v>
      </c>
      <c r="F786" s="20"/>
      <c r="G786" s="20">
        <v>250000</v>
      </c>
      <c r="I786" s="37"/>
    </row>
    <row r="787" spans="1:9" s="14" customFormat="1" ht="15" customHeight="1">
      <c r="A787" s="10">
        <v>44012</v>
      </c>
      <c r="B787" s="8" t="s">
        <v>1116</v>
      </c>
      <c r="C787" s="11">
        <v>72211</v>
      </c>
      <c r="D787" s="12" t="str">
        <f>IF(C787&gt;0,(VLOOKUP(C787,'Blnct AR'!$C$2:$D$2255,2,0))," ")</f>
        <v>Ordenados</v>
      </c>
      <c r="E787" s="21" t="s">
        <v>2030</v>
      </c>
      <c r="F787" s="20">
        <v>250000</v>
      </c>
      <c r="G787" s="20"/>
      <c r="I787" s="37"/>
    </row>
    <row r="788" spans="1:9" s="14" customFormat="1" ht="15" customHeight="1">
      <c r="A788" s="10">
        <v>44012</v>
      </c>
      <c r="B788" s="8" t="s">
        <v>132</v>
      </c>
      <c r="C788" s="11">
        <v>43103</v>
      </c>
      <c r="D788" s="12" t="str">
        <f>IF(C788&gt;0,(VLOOKUP(C788,'Blnct AR'!$C$2:$D$2255,2,0))," ")</f>
        <v>Milénnium 500471734904 Kz</v>
      </c>
      <c r="E788" s="21" t="s">
        <v>2031</v>
      </c>
      <c r="F788" s="20"/>
      <c r="G788" s="20">
        <v>78200</v>
      </c>
      <c r="I788" s="37"/>
    </row>
    <row r="789" spans="1:9" s="14" customFormat="1" ht="15" customHeight="1">
      <c r="A789" s="10">
        <v>44012</v>
      </c>
      <c r="B789" s="8" t="s">
        <v>132</v>
      </c>
      <c r="C789" s="11">
        <v>72522</v>
      </c>
      <c r="D789" s="12" t="str">
        <f>IF(C789&gt;0,(VLOOKUP(C789,'Blnct AR'!$C$2:$D$2255,2,0))," ")</f>
        <v>Produção Seg. Social</v>
      </c>
      <c r="E789" s="21" t="s">
        <v>2031</v>
      </c>
      <c r="F789" s="20">
        <v>78200</v>
      </c>
      <c r="G789" s="20"/>
      <c r="I789" s="37"/>
    </row>
    <row r="790" spans="1:9" s="14" customFormat="1" ht="15" customHeight="1">
      <c r="A790" s="10">
        <v>44012</v>
      </c>
      <c r="B790" s="8" t="s">
        <v>1949</v>
      </c>
      <c r="C790" s="11">
        <v>43103</v>
      </c>
      <c r="D790" s="12" t="str">
        <f>IF(C790&gt;0,(VLOOKUP(C790,'Blnct AR'!$C$2:$D$2255,2,0))," ")</f>
        <v>Milénnium 500471734904 Kz</v>
      </c>
      <c r="E790" s="21" t="s">
        <v>43</v>
      </c>
      <c r="F790" s="20"/>
      <c r="G790" s="20">
        <v>160897.21</v>
      </c>
      <c r="I790" s="37"/>
    </row>
    <row r="791" spans="1:9" s="14" customFormat="1" ht="15" customHeight="1">
      <c r="A791" s="10">
        <v>44012</v>
      </c>
      <c r="B791" s="8" t="s">
        <v>1949</v>
      </c>
      <c r="C791" s="11">
        <v>75216</v>
      </c>
      <c r="D791" s="12" t="str">
        <f>IF(C791&gt;0,(VLOOKUP(C791,'Blnct AR'!$C$2:$D$2255,2,0))," ")</f>
        <v>Ferrament.e utensílios desg.rápido</v>
      </c>
      <c r="E791" s="21" t="s">
        <v>43</v>
      </c>
      <c r="F791" s="20">
        <v>160897.21</v>
      </c>
      <c r="G791" s="20"/>
      <c r="I791" s="37"/>
    </row>
    <row r="792" spans="1:9" s="14" customFormat="1" ht="15" customHeight="1">
      <c r="A792" s="10">
        <v>44012</v>
      </c>
      <c r="B792" s="8" t="s">
        <v>59</v>
      </c>
      <c r="C792" s="11">
        <v>43103</v>
      </c>
      <c r="D792" s="12" t="str">
        <f>IF(C792&gt;0,(VLOOKUP(C792,'Blnct AR'!$C$2:$D$2255,2,0))," ")</f>
        <v>Milénnium 500471734904 Kz</v>
      </c>
      <c r="E792" s="21" t="s">
        <v>1982</v>
      </c>
      <c r="F792" s="20"/>
      <c r="G792" s="20">
        <v>68273.05</v>
      </c>
      <c r="I792" s="37"/>
    </row>
    <row r="793" spans="1:9" s="14" customFormat="1" ht="15" customHeight="1">
      <c r="A793" s="10">
        <v>44012</v>
      </c>
      <c r="B793" s="8" t="s">
        <v>59</v>
      </c>
      <c r="C793" s="11">
        <v>75217</v>
      </c>
      <c r="D793" s="12" t="str">
        <f>IF(C793&gt;0,(VLOOKUP(C793,'Blnct AR'!$C$2:$D$2255,2,0))," ")</f>
        <v>Material de escritório</v>
      </c>
      <c r="E793" s="21" t="s">
        <v>1982</v>
      </c>
      <c r="F793" s="20">
        <v>68273.05</v>
      </c>
      <c r="G793" s="20"/>
      <c r="I793" s="37"/>
    </row>
    <row r="794" spans="1:9" s="14" customFormat="1" ht="15" customHeight="1">
      <c r="A794" s="10">
        <v>44012</v>
      </c>
      <c r="B794" s="8" t="s">
        <v>1922</v>
      </c>
      <c r="C794" s="11">
        <v>43103</v>
      </c>
      <c r="D794" s="12" t="str">
        <f>IF(C794&gt;0,(VLOOKUP(C794,'Blnct AR'!$C$2:$D$2255,2,0))," ")</f>
        <v>Milénnium 500471734904 Kz</v>
      </c>
      <c r="E794" s="21" t="s">
        <v>1911</v>
      </c>
      <c r="F794" s="20"/>
      <c r="G794" s="20">
        <v>108880</v>
      </c>
      <c r="I794" s="37"/>
    </row>
    <row r="795" spans="1:9" s="14" customFormat="1" ht="15" customHeight="1">
      <c r="A795" s="10">
        <v>44012</v>
      </c>
      <c r="B795" s="8" t="s">
        <v>1922</v>
      </c>
      <c r="C795" s="11">
        <v>752202</v>
      </c>
      <c r="D795" s="12" t="str">
        <f>IF(C795&gt;0,(VLOOKUP(C795,'Blnct AR'!$C$2:$D$2255,2,0))," ")</f>
        <v>Telefone Móvel / Internet</v>
      </c>
      <c r="E795" s="21" t="s">
        <v>1911</v>
      </c>
      <c r="F795" s="20">
        <v>108880</v>
      </c>
      <c r="G795" s="20"/>
      <c r="I795" s="37"/>
    </row>
    <row r="796" spans="1:9" s="14" customFormat="1" ht="15" customHeight="1">
      <c r="A796" s="10">
        <v>44012</v>
      </c>
      <c r="B796" s="8" t="s">
        <v>1984</v>
      </c>
      <c r="C796" s="11">
        <v>43103</v>
      </c>
      <c r="D796" s="12" t="str">
        <f>IF(C796&gt;0,(VLOOKUP(C796,'Blnct AR'!$C$2:$D$2255,2,0))," ")</f>
        <v>Milénnium 500471734904 Kz</v>
      </c>
      <c r="E796" s="21" t="s">
        <v>2006</v>
      </c>
      <c r="F796" s="20"/>
      <c r="G796" s="20">
        <v>9200</v>
      </c>
      <c r="I796" s="37"/>
    </row>
    <row r="797" spans="1:9" s="14" customFormat="1" ht="15" customHeight="1">
      <c r="A797" s="10">
        <v>44012</v>
      </c>
      <c r="B797" s="8" t="s">
        <v>1984</v>
      </c>
      <c r="C797" s="11">
        <v>752231</v>
      </c>
      <c r="D797" s="12" t="str">
        <f>IF(C797&gt;0,(VLOOKUP(C797,'Blnct AR'!$C$2:$D$2255,2,0))," ")</f>
        <v>Refeições e estadas</v>
      </c>
      <c r="E797" s="21" t="s">
        <v>2006</v>
      </c>
      <c r="F797" s="20">
        <v>9200</v>
      </c>
      <c r="G797" s="20"/>
      <c r="I797" s="37"/>
    </row>
    <row r="798" spans="1:9" s="14" customFormat="1" ht="15" customHeight="1">
      <c r="A798" s="10">
        <v>44012</v>
      </c>
      <c r="B798" s="8" t="s">
        <v>41</v>
      </c>
      <c r="C798" s="11">
        <v>43103</v>
      </c>
      <c r="D798" s="12" t="str">
        <f>IF(C798&gt;0,(VLOOKUP(C798,'Blnct AR'!$C$2:$D$2255,2,0))," ")</f>
        <v>Milénnium 500471734904 Kz</v>
      </c>
      <c r="E798" s="21" t="s">
        <v>1985</v>
      </c>
      <c r="F798" s="20"/>
      <c r="G798" s="20">
        <v>57300</v>
      </c>
      <c r="I798" s="37"/>
    </row>
    <row r="799" spans="1:9" s="14" customFormat="1" ht="15" customHeight="1">
      <c r="A799" s="10">
        <v>44012</v>
      </c>
      <c r="B799" s="8" t="s">
        <v>41</v>
      </c>
      <c r="C799" s="11">
        <v>75224</v>
      </c>
      <c r="D799" s="12" t="str">
        <f>IF(C799&gt;0,(VLOOKUP(C799,'Blnct AR'!$C$2:$D$2255,2,0))," ")</f>
        <v>Despesas de representação</v>
      </c>
      <c r="E799" s="21" t="s">
        <v>1985</v>
      </c>
      <c r="F799" s="20">
        <v>57300</v>
      </c>
      <c r="G799" s="20"/>
      <c r="I799" s="37"/>
    </row>
    <row r="800" spans="1:9" s="14" customFormat="1" ht="15" customHeight="1">
      <c r="A800" s="10">
        <v>44012</v>
      </c>
      <c r="B800" s="8" t="s">
        <v>1921</v>
      </c>
      <c r="C800" s="11">
        <v>43103</v>
      </c>
      <c r="D800" s="12" t="str">
        <f>IF(C800&gt;0,(VLOOKUP(C800,'Blnct AR'!$C$2:$D$2255,2,0))," ")</f>
        <v>Milénnium 500471734904 Kz</v>
      </c>
      <c r="E800" s="21" t="s">
        <v>2032</v>
      </c>
      <c r="F800" s="20"/>
      <c r="G800" s="20">
        <v>500899.99</v>
      </c>
      <c r="I800" s="37"/>
    </row>
    <row r="801" spans="1:9" s="14" customFormat="1" ht="15" customHeight="1">
      <c r="A801" s="10">
        <v>44012</v>
      </c>
      <c r="B801" s="8" t="s">
        <v>1921</v>
      </c>
      <c r="C801" s="11">
        <v>75228</v>
      </c>
      <c r="D801" s="12" t="str">
        <f>IF(C801&gt;0,(VLOOKUP(C801,'Blnct AR'!$C$2:$D$2255,2,0))," ")</f>
        <v>Limpeza, higiene e conforto</v>
      </c>
      <c r="E801" s="21" t="s">
        <v>2032</v>
      </c>
      <c r="F801" s="20">
        <v>500899.99</v>
      </c>
      <c r="G801" s="20"/>
      <c r="I801" s="37"/>
    </row>
    <row r="802" spans="1:9" s="14" customFormat="1" ht="15" customHeight="1">
      <c r="A802" s="10">
        <v>44012</v>
      </c>
      <c r="B802" s="8" t="s">
        <v>1955</v>
      </c>
      <c r="C802" s="11">
        <v>43103</v>
      </c>
      <c r="D802" s="12" t="str">
        <f>IF(C802&gt;0,(VLOOKUP(C802,'Blnct AR'!$C$2:$D$2255,2,0))," ")</f>
        <v>Milénnium 500471734904 Kz</v>
      </c>
      <c r="E802" s="21" t="s">
        <v>1861</v>
      </c>
      <c r="F802" s="20"/>
      <c r="G802" s="20">
        <v>65107.7</v>
      </c>
      <c r="I802" s="37"/>
    </row>
    <row r="803" spans="1:9" s="14" customFormat="1" ht="15" customHeight="1">
      <c r="A803" s="10">
        <v>44012</v>
      </c>
      <c r="B803" s="8" t="s">
        <v>1955</v>
      </c>
      <c r="C803" s="11">
        <v>752131</v>
      </c>
      <c r="D803" s="12" t="str">
        <f>IF(C803&gt;0,(VLOOKUP(C803,'Blnct AR'!$C$2:$D$2255,2,0))," ")</f>
        <v>Gasoleo</v>
      </c>
      <c r="E803" s="21" t="s">
        <v>1861</v>
      </c>
      <c r="F803" s="20">
        <v>65107.7</v>
      </c>
      <c r="G803" s="20"/>
      <c r="I803" s="37"/>
    </row>
    <row r="804" spans="1:9" s="14" customFormat="1" ht="15" customHeight="1">
      <c r="A804" s="10">
        <v>44012</v>
      </c>
      <c r="B804" s="8" t="s">
        <v>1959</v>
      </c>
      <c r="C804" s="11">
        <v>43103</v>
      </c>
      <c r="D804" s="12" t="str">
        <f>IF(C804&gt;0,(VLOOKUP(C804,'Blnct AR'!$C$2:$D$2255,2,0))," ")</f>
        <v>Milénnium 500471734904 Kz</v>
      </c>
      <c r="E804" s="21" t="s">
        <v>1960</v>
      </c>
      <c r="F804" s="20"/>
      <c r="G804" s="20">
        <v>120000</v>
      </c>
      <c r="I804" s="37"/>
    </row>
    <row r="805" spans="1:9" s="14" customFormat="1" ht="15" customHeight="1">
      <c r="A805" s="10">
        <v>44012</v>
      </c>
      <c r="B805" s="8" t="s">
        <v>1959</v>
      </c>
      <c r="C805" s="11">
        <v>752143</v>
      </c>
      <c r="D805" s="12" t="str">
        <f>IF(C805&gt;0,(VLOOKUP(C805,'Blnct AR'!$C$2:$D$2255,2,0))," ")</f>
        <v>Equipamento básico</v>
      </c>
      <c r="E805" s="21" t="s">
        <v>1960</v>
      </c>
      <c r="F805" s="20">
        <v>120000</v>
      </c>
      <c r="G805" s="20"/>
      <c r="I805" s="37"/>
    </row>
    <row r="806" spans="1:9" s="14" customFormat="1" ht="15" customHeight="1">
      <c r="A806" s="10">
        <v>44012</v>
      </c>
      <c r="B806" s="8" t="s">
        <v>1961</v>
      </c>
      <c r="C806" s="11">
        <v>43103</v>
      </c>
      <c r="D806" s="12" t="str">
        <f>IF(C806&gt;0,(VLOOKUP(C806,'Blnct AR'!$C$2:$D$2255,2,0))," ")</f>
        <v>Milénnium 500471734904 Kz</v>
      </c>
      <c r="E806" s="21" t="s">
        <v>1840</v>
      </c>
      <c r="F806" s="20"/>
      <c r="G806" s="20">
        <v>2062130.16</v>
      </c>
      <c r="I806" s="37"/>
    </row>
    <row r="807" spans="1:9" s="14" customFormat="1" ht="15" customHeight="1">
      <c r="A807" s="10">
        <v>44012</v>
      </c>
      <c r="B807" s="8" t="s">
        <v>1961</v>
      </c>
      <c r="C807" s="11">
        <v>752144</v>
      </c>
      <c r="D807" s="12" t="str">
        <f>IF(C807&gt;0,(VLOOKUP(C807,'Blnct AR'!$C$2:$D$2255,2,0))," ")</f>
        <v>Equipamento de carga e transporte</v>
      </c>
      <c r="E807" s="21" t="s">
        <v>1840</v>
      </c>
      <c r="F807" s="20">
        <v>2062130.16</v>
      </c>
      <c r="G807" s="20"/>
      <c r="I807" s="37"/>
    </row>
    <row r="808" spans="1:9" s="14" customFormat="1" ht="15" customHeight="1">
      <c r="A808" s="10">
        <v>44012</v>
      </c>
      <c r="B808" s="8" t="s">
        <v>1873</v>
      </c>
      <c r="C808" s="11">
        <v>43103</v>
      </c>
      <c r="D808" s="12" t="str">
        <f>IF(C808&gt;0,(VLOOKUP(C808,'Blnct AR'!$C$2:$D$2255,2,0))," ")</f>
        <v>Milénnium 500471734904 Kz</v>
      </c>
      <c r="E808" s="21" t="s">
        <v>1997</v>
      </c>
      <c r="F808" s="20"/>
      <c r="G808" s="20">
        <v>352926.8</v>
      </c>
      <c r="I808" s="37"/>
    </row>
    <row r="809" spans="1:9" s="14" customFormat="1" ht="15" customHeight="1">
      <c r="A809" s="10">
        <v>44012</v>
      </c>
      <c r="B809" s="8" t="s">
        <v>1873</v>
      </c>
      <c r="C809" s="11">
        <v>752211</v>
      </c>
      <c r="D809" s="12" t="str">
        <f>IF(C809&gt;0,(VLOOKUP(C809,'Blnct AR'!$C$2:$D$2255,2,0))," ")</f>
        <v>Rendas de imóveis Prefor</v>
      </c>
      <c r="E809" s="21" t="s">
        <v>1997</v>
      </c>
      <c r="F809" s="20">
        <v>352926.8</v>
      </c>
      <c r="G809" s="20"/>
      <c r="I809" s="37"/>
    </row>
    <row r="810" spans="1:9" s="14" customFormat="1" ht="15" customHeight="1">
      <c r="A810" s="10">
        <v>44012</v>
      </c>
      <c r="B810" s="8" t="s">
        <v>1961</v>
      </c>
      <c r="C810" s="11">
        <v>43103</v>
      </c>
      <c r="D810" s="12" t="str">
        <f>IF(C810&gt;0,(VLOOKUP(C810,'Blnct AR'!$C$2:$D$2255,2,0))," ")</f>
        <v>Milénnium 500471734904 Kz</v>
      </c>
      <c r="E810" s="21" t="s">
        <v>1999</v>
      </c>
      <c r="F810" s="20"/>
      <c r="G810" s="20">
        <v>480000</v>
      </c>
      <c r="I810" s="37"/>
    </row>
    <row r="811" spans="1:9" s="14" customFormat="1" ht="15" customHeight="1">
      <c r="A811" s="10">
        <v>44012</v>
      </c>
      <c r="B811" s="8" t="s">
        <v>1961</v>
      </c>
      <c r="C811" s="11">
        <v>752264</v>
      </c>
      <c r="D811" s="12" t="str">
        <f>IF(C811&gt;0,(VLOOKUP(C811,'Blnct AR'!$C$2:$D$2255,2,0))," ")</f>
        <v>Equipamento de carga e transporte</v>
      </c>
      <c r="E811" s="21" t="s">
        <v>1999</v>
      </c>
      <c r="F811" s="20">
        <v>480000</v>
      </c>
      <c r="G811" s="20"/>
      <c r="I811" s="37"/>
    </row>
    <row r="812" spans="1:9" s="14" customFormat="1" ht="15" customHeight="1">
      <c r="A812" s="10">
        <v>44012</v>
      </c>
      <c r="B812" s="8" t="s">
        <v>1409</v>
      </c>
      <c r="C812" s="11">
        <v>43103</v>
      </c>
      <c r="D812" s="12" t="str">
        <f>IF(C812&gt;0,(VLOOKUP(C812,'Blnct AR'!$C$2:$D$2255,2,0))," ")</f>
        <v>Milénnium 500471734904 Kz</v>
      </c>
      <c r="E812" s="21" t="s">
        <v>1964</v>
      </c>
      <c r="F812" s="20"/>
      <c r="G812" s="20">
        <v>98084</v>
      </c>
      <c r="I812" s="37"/>
    </row>
    <row r="813" spans="1:9" s="14" customFormat="1" ht="15" customHeight="1">
      <c r="A813" s="10">
        <v>44012</v>
      </c>
      <c r="B813" s="8" t="s">
        <v>1409</v>
      </c>
      <c r="C813" s="11">
        <v>75318</v>
      </c>
      <c r="D813" s="12" t="str">
        <f>IF(C813&gt;0,(VLOOKUP(C813,'Blnct AR'!$C$2:$D$2255,2,0))," ")</f>
        <v>Lei 19/14 Rf 6,5%</v>
      </c>
      <c r="E813" s="21" t="s">
        <v>1964</v>
      </c>
      <c r="F813" s="20">
        <v>98084</v>
      </c>
      <c r="G813" s="20"/>
      <c r="I813" s="37"/>
    </row>
    <row r="814" spans="1:9" s="14" customFormat="1" ht="15" customHeight="1">
      <c r="A814" s="10">
        <v>44012</v>
      </c>
      <c r="B814" s="8" t="s">
        <v>1869</v>
      </c>
      <c r="C814" s="11">
        <v>43103</v>
      </c>
      <c r="D814" s="12" t="str">
        <f>IF(C814&gt;0,(VLOOKUP(C814,'Blnct AR'!$C$2:$D$2255,2,0))," ")</f>
        <v>Milénnium 500471734904 Kz</v>
      </c>
      <c r="E814" s="21" t="s">
        <v>1869</v>
      </c>
      <c r="F814" s="20"/>
      <c r="G814" s="20">
        <v>392</v>
      </c>
      <c r="I814" s="37"/>
    </row>
    <row r="815" spans="1:9" s="14" customFormat="1" ht="15" customHeight="1">
      <c r="A815" s="10">
        <v>44012</v>
      </c>
      <c r="B815" s="8" t="s">
        <v>1869</v>
      </c>
      <c r="C815" s="11">
        <v>75314</v>
      </c>
      <c r="D815" s="12" t="str">
        <f>IF(C815&gt;0,(VLOOKUP(C815,'Blnct AR'!$C$2:$D$2255,2,0))," ")</f>
        <v>IVA Suportado</v>
      </c>
      <c r="E815" s="21" t="s">
        <v>1869</v>
      </c>
      <c r="F815" s="20">
        <v>392</v>
      </c>
      <c r="G815" s="20"/>
      <c r="I815" s="37"/>
    </row>
    <row r="816" spans="1:9" s="14" customFormat="1" ht="15" customHeight="1">
      <c r="A816" s="10"/>
      <c r="B816" s="8" t="s">
        <v>2008</v>
      </c>
      <c r="C816" s="11"/>
      <c r="D816" s="12" t="str">
        <f>IF(C816&gt;0,(VLOOKUP(C816,'Blnct AR'!$C$2:$D$2255,2,0))," ")</f>
        <v xml:space="preserve"> </v>
      </c>
      <c r="E816" s="21"/>
      <c r="F816" s="20"/>
      <c r="G816" s="20"/>
      <c r="I816" s="37"/>
    </row>
    <row r="817" spans="1:9" s="14" customFormat="1" ht="15" customHeight="1">
      <c r="A817" s="10">
        <v>44043</v>
      </c>
      <c r="B817" s="8" t="s">
        <v>1653</v>
      </c>
      <c r="C817" s="11">
        <v>43101</v>
      </c>
      <c r="D817" s="12" t="str">
        <f>IF(C817&gt;0,(VLOOKUP(C817,'Blnct AR'!$C$2:$D$2255,2,0))," ")</f>
        <v>Banco - BFA</v>
      </c>
      <c r="E817" s="21" t="s">
        <v>1907</v>
      </c>
      <c r="F817" s="20"/>
      <c r="G817" s="20">
        <v>210000</v>
      </c>
      <c r="I817" s="37"/>
    </row>
    <row r="818" spans="1:9" s="14" customFormat="1" ht="15" customHeight="1">
      <c r="A818" s="10">
        <v>44043</v>
      </c>
      <c r="B818" s="8" t="s">
        <v>1653</v>
      </c>
      <c r="C818" s="11">
        <v>45111</v>
      </c>
      <c r="D818" s="12" t="str">
        <f>IF(C818&gt;0,(VLOOKUP(C818,'Blnct AR'!$C$2:$D$2255,2,0))," ")</f>
        <v>Caixa Geral</v>
      </c>
      <c r="E818" s="21" t="s">
        <v>1907</v>
      </c>
      <c r="F818" s="20">
        <v>210000</v>
      </c>
      <c r="G818" s="20"/>
      <c r="I818" s="37"/>
    </row>
    <row r="819" spans="1:9" s="14" customFormat="1" ht="15" customHeight="1">
      <c r="A819" s="10">
        <v>44043</v>
      </c>
      <c r="B819" s="8" t="s">
        <v>1841</v>
      </c>
      <c r="C819" s="11">
        <v>43101</v>
      </c>
      <c r="D819" s="12" t="str">
        <f>IF(C819&gt;0,(VLOOKUP(C819,'Blnct AR'!$C$2:$D$2255,2,0))," ")</f>
        <v>Banco - BFA</v>
      </c>
      <c r="E819" s="21" t="s">
        <v>1842</v>
      </c>
      <c r="F819" s="20"/>
      <c r="G819" s="20">
        <v>18000</v>
      </c>
      <c r="I819" s="37"/>
    </row>
    <row r="820" spans="1:9" s="14" customFormat="1" ht="15" customHeight="1">
      <c r="A820" s="10">
        <v>44043</v>
      </c>
      <c r="B820" s="8" t="s">
        <v>1841</v>
      </c>
      <c r="C820" s="11">
        <v>75211</v>
      </c>
      <c r="D820" s="12" t="str">
        <f>IF(C820&gt;0,(VLOOKUP(C820,'Blnct AR'!$C$2:$D$2255,2,0))," ")</f>
        <v>Água</v>
      </c>
      <c r="E820" s="21" t="s">
        <v>1842</v>
      </c>
      <c r="F820" s="20">
        <v>18000</v>
      </c>
      <c r="G820" s="20"/>
      <c r="I820" s="37"/>
    </row>
    <row r="821" spans="1:9" s="14" customFormat="1" ht="15" customHeight="1">
      <c r="A821" s="10"/>
      <c r="B821" s="8" t="s">
        <v>2009</v>
      </c>
      <c r="C821" s="11"/>
      <c r="D821" s="12" t="str">
        <f>IF(C821&gt;0,(VLOOKUP(C821,'Blnct AR'!$C$2:$D$2255,2,0))," ")</f>
        <v xml:space="preserve"> </v>
      </c>
      <c r="E821" s="21"/>
      <c r="F821" s="20"/>
      <c r="G821" s="20"/>
      <c r="I821" s="37"/>
    </row>
    <row r="822" spans="1:9" s="14" customFormat="1" ht="15" customHeight="1">
      <c r="A822" s="10">
        <v>44043</v>
      </c>
      <c r="B822" s="8" t="s">
        <v>1932</v>
      </c>
      <c r="C822" s="11">
        <v>43106</v>
      </c>
      <c r="D822" s="12" t="str">
        <f>IF(C822&gt;0,(VLOOKUP(C822,'Blnct AR'!$C$2:$D$2255,2,0))," ")</f>
        <v>Banco BIC - 118133685.15.1</v>
      </c>
      <c r="E822" s="21" t="s">
        <v>2023</v>
      </c>
      <c r="F822" s="20"/>
      <c r="G822" s="20">
        <v>1800201</v>
      </c>
      <c r="I822" s="37"/>
    </row>
    <row r="823" spans="1:9" s="14" customFormat="1" ht="15" customHeight="1">
      <c r="A823" s="10">
        <v>44043</v>
      </c>
      <c r="B823" s="8" t="s">
        <v>1932</v>
      </c>
      <c r="C823" s="11">
        <v>7111</v>
      </c>
      <c r="D823" s="12" t="str">
        <f>IF(C823&gt;0,(VLOOKUP(C823,'Blnct AR'!$C$2:$D$2255,2,0))," ")</f>
        <v>Mp - cevc</v>
      </c>
      <c r="E823" s="21" t="s">
        <v>2023</v>
      </c>
      <c r="F823" s="20">
        <v>1800201</v>
      </c>
      <c r="G823" s="20"/>
      <c r="I823" s="37"/>
    </row>
    <row r="824" spans="1:9" s="14" customFormat="1" ht="15" customHeight="1">
      <c r="A824" s="10">
        <v>44043</v>
      </c>
      <c r="B824" s="8" t="s">
        <v>1932</v>
      </c>
      <c r="C824" s="11">
        <v>43106</v>
      </c>
      <c r="D824" s="12" t="str">
        <f>IF(C824&gt;0,(VLOOKUP(C824,'Blnct AR'!$C$2:$D$2255,2,0))," ")</f>
        <v>Banco BIC - 118133685.15.1</v>
      </c>
      <c r="E824" s="21" t="s">
        <v>1945</v>
      </c>
      <c r="F824" s="20"/>
      <c r="G824" s="20">
        <v>95749.65</v>
      </c>
      <c r="I824" s="37"/>
    </row>
    <row r="825" spans="1:9" s="14" customFormat="1" ht="15" customHeight="1">
      <c r="A825" s="10">
        <v>44043</v>
      </c>
      <c r="B825" s="8" t="s">
        <v>1932</v>
      </c>
      <c r="C825" s="11">
        <v>7111</v>
      </c>
      <c r="D825" s="12" t="str">
        <f>IF(C825&gt;0,(VLOOKUP(C825,'Blnct AR'!$C$2:$D$2255,2,0))," ")</f>
        <v>Mp - cevc</v>
      </c>
      <c r="E825" s="21" t="s">
        <v>1945</v>
      </c>
      <c r="F825" s="20">
        <v>95749.65</v>
      </c>
      <c r="G825" s="20"/>
      <c r="I825" s="37"/>
    </row>
    <row r="826" spans="1:9" s="14" customFormat="1" ht="15" customHeight="1">
      <c r="A826" s="10">
        <v>44043</v>
      </c>
      <c r="B826" s="8" t="s">
        <v>1869</v>
      </c>
      <c r="C826" s="11">
        <v>43106</v>
      </c>
      <c r="D826" s="12" t="str">
        <f>IF(C826&gt;0,(VLOOKUP(C826,'Blnct AR'!$C$2:$D$2255,2,0))," ")</f>
        <v>Banco BIC - 118133685.15.1</v>
      </c>
      <c r="E826" s="21" t="s">
        <v>1869</v>
      </c>
      <c r="F826" s="20"/>
      <c r="G826" s="20">
        <v>2400</v>
      </c>
      <c r="I826" s="37"/>
    </row>
    <row r="827" spans="1:9" s="14" customFormat="1" ht="15" customHeight="1">
      <c r="A827" s="10">
        <v>44043</v>
      </c>
      <c r="B827" s="8" t="s">
        <v>1869</v>
      </c>
      <c r="C827" s="11">
        <v>767801</v>
      </c>
      <c r="D827" s="12" t="str">
        <f>IF(C827&gt;0,(VLOOKUP(C827,'Blnct AR'!$C$2:$D$2255,2,0))," ")</f>
        <v>Despesas Operacionais</v>
      </c>
      <c r="E827" s="21" t="s">
        <v>1869</v>
      </c>
      <c r="F827" s="20">
        <v>2400</v>
      </c>
      <c r="G827" s="20"/>
      <c r="I827" s="37"/>
    </row>
    <row r="828" spans="1:9" s="14" customFormat="1" ht="15" customHeight="1">
      <c r="A828" s="10">
        <v>44043</v>
      </c>
      <c r="B828" s="8" t="s">
        <v>1976</v>
      </c>
      <c r="C828" s="11">
        <v>43106</v>
      </c>
      <c r="D828" s="12" t="str">
        <f>IF(C828&gt;0,(VLOOKUP(C828,'Blnct AR'!$C$2:$D$2255,2,0))," ")</f>
        <v>Banco BIC - 118133685.15.1</v>
      </c>
      <c r="E828" s="21" t="s">
        <v>1972</v>
      </c>
      <c r="F828" s="20"/>
      <c r="G828" s="20">
        <v>50000</v>
      </c>
      <c r="I828" s="37"/>
    </row>
    <row r="829" spans="1:9" s="14" customFormat="1" ht="15" customHeight="1">
      <c r="A829" s="10">
        <v>44043</v>
      </c>
      <c r="B829" s="8" t="s">
        <v>1976</v>
      </c>
      <c r="C829" s="11">
        <v>75113</v>
      </c>
      <c r="D829" s="12" t="str">
        <f>IF(C829&gt;0,(VLOOKUP(C829,'Blnct AR'!$C$2:$D$2255,2,0))," ")</f>
        <v>Empreitada B13 Cimaleste</v>
      </c>
      <c r="E829" s="21" t="s">
        <v>1972</v>
      </c>
      <c r="F829" s="20">
        <v>50000</v>
      </c>
      <c r="G829" s="20"/>
      <c r="I829" s="37"/>
    </row>
    <row r="830" spans="1:9" s="14" customFormat="1" ht="15" customHeight="1">
      <c r="A830" s="10">
        <v>44043</v>
      </c>
      <c r="B830" s="8" t="s">
        <v>1848</v>
      </c>
      <c r="C830" s="11">
        <v>43106</v>
      </c>
      <c r="D830" s="12" t="str">
        <f>IF(C830&gt;0,(VLOOKUP(C830,'Blnct AR'!$C$2:$D$2255,2,0))," ")</f>
        <v>Banco BIC - 118133685.15.1</v>
      </c>
      <c r="E830" s="21" t="s">
        <v>2033</v>
      </c>
      <c r="F830" s="20"/>
      <c r="G830" s="20">
        <v>266475</v>
      </c>
      <c r="I830" s="37"/>
    </row>
    <row r="831" spans="1:9" s="14" customFormat="1" ht="15" customHeight="1">
      <c r="A831" s="10">
        <v>44043</v>
      </c>
      <c r="B831" s="8" t="s">
        <v>1848</v>
      </c>
      <c r="C831" s="11">
        <v>75227</v>
      </c>
      <c r="D831" s="12" t="str">
        <f>IF(C831&gt;0,(VLOOKUP(C831,'Blnct AR'!$C$2:$D$2255,2,0))," ")</f>
        <v>Vigilância e segurança</v>
      </c>
      <c r="E831" s="21" t="s">
        <v>2033</v>
      </c>
      <c r="F831" s="20">
        <v>266475</v>
      </c>
      <c r="G831" s="20"/>
      <c r="I831" s="37"/>
    </row>
    <row r="832" spans="1:9" s="14" customFormat="1" ht="15" customHeight="1">
      <c r="A832" s="10">
        <v>44043</v>
      </c>
      <c r="B832" s="8" t="s">
        <v>1916</v>
      </c>
      <c r="C832" s="11">
        <v>43106</v>
      </c>
      <c r="D832" s="12" t="str">
        <f>IF(C832&gt;0,(VLOOKUP(C832,'Blnct AR'!$C$2:$D$2255,2,0))," ")</f>
        <v>Banco BIC - 118133685.15.1</v>
      </c>
      <c r="E832" s="21" t="s">
        <v>1913</v>
      </c>
      <c r="F832" s="20"/>
      <c r="G832" s="20">
        <v>135360</v>
      </c>
      <c r="I832" s="37"/>
    </row>
    <row r="833" spans="1:9" s="14" customFormat="1" ht="15" customHeight="1">
      <c r="A833" s="10">
        <v>44043</v>
      </c>
      <c r="B833" s="8" t="s">
        <v>1916</v>
      </c>
      <c r="C833" s="11">
        <v>752131</v>
      </c>
      <c r="D833" s="12" t="str">
        <f>IF(C833&gt;0,(VLOOKUP(C833,'Blnct AR'!$C$2:$D$2255,2,0))," ")</f>
        <v>Gasoleo</v>
      </c>
      <c r="E833" s="21" t="s">
        <v>1913</v>
      </c>
      <c r="F833" s="20">
        <v>135360</v>
      </c>
      <c r="G833" s="20"/>
      <c r="I833" s="37"/>
    </row>
    <row r="834" spans="1:9" s="14" customFormat="1" ht="15" customHeight="1">
      <c r="A834" s="10">
        <v>44043</v>
      </c>
      <c r="B834" s="8" t="s">
        <v>2034</v>
      </c>
      <c r="C834" s="11">
        <v>43106</v>
      </c>
      <c r="D834" s="12" t="str">
        <f>IF(C834&gt;0,(VLOOKUP(C834,'Blnct AR'!$C$2:$D$2255,2,0))," ")</f>
        <v>Banco BIC - 118133685.15.1</v>
      </c>
      <c r="E834" s="21" t="s">
        <v>2024</v>
      </c>
      <c r="F834" s="20"/>
      <c r="G834" s="20">
        <v>573779.62</v>
      </c>
      <c r="I834" s="37"/>
    </row>
    <row r="835" spans="1:9" s="14" customFormat="1" ht="15" customHeight="1">
      <c r="A835" s="10">
        <v>44043</v>
      </c>
      <c r="B835" s="8" t="s">
        <v>2034</v>
      </c>
      <c r="C835" s="11">
        <v>752221</v>
      </c>
      <c r="D835" s="12" t="str">
        <f>IF(C835&gt;0,(VLOOKUP(C835,'Blnct AR'!$C$2:$D$2255,2,0))," ")</f>
        <v>Ramo acidente de trabalho</v>
      </c>
      <c r="E835" s="21" t="s">
        <v>2024</v>
      </c>
      <c r="F835" s="20">
        <v>573779.62</v>
      </c>
      <c r="G835" s="20"/>
      <c r="I835" s="37"/>
    </row>
    <row r="836" spans="1:9" s="14" customFormat="1" ht="15" customHeight="1">
      <c r="A836" s="10">
        <v>44043</v>
      </c>
      <c r="B836" s="8" t="s">
        <v>1918</v>
      </c>
      <c r="C836" s="11">
        <v>43106</v>
      </c>
      <c r="D836" s="12" t="str">
        <f>IF(C836&gt;0,(VLOOKUP(C836,'Blnct AR'!$C$2:$D$2255,2,0))," ")</f>
        <v>Banco BIC - 118133685.15.1</v>
      </c>
      <c r="E836" s="21" t="s">
        <v>2035</v>
      </c>
      <c r="F836" s="20"/>
      <c r="G836" s="20">
        <v>51256.98</v>
      </c>
      <c r="I836" s="37"/>
    </row>
    <row r="837" spans="1:9" s="14" customFormat="1" ht="15" customHeight="1">
      <c r="A837" s="10">
        <v>44043</v>
      </c>
      <c r="B837" s="8" t="s">
        <v>1918</v>
      </c>
      <c r="C837" s="11">
        <v>752224</v>
      </c>
      <c r="D837" s="12" t="str">
        <f>IF(C837&gt;0,(VLOOKUP(C837,'Blnct AR'!$C$2:$D$2255,2,0))," ")</f>
        <v>Ramo viaturas</v>
      </c>
      <c r="E837" s="21" t="s">
        <v>2035</v>
      </c>
      <c r="F837" s="20">
        <v>51256.98</v>
      </c>
      <c r="G837" s="20"/>
      <c r="I837" s="37"/>
    </row>
    <row r="838" spans="1:9" s="14" customFormat="1" ht="15" customHeight="1">
      <c r="A838" s="10">
        <v>44043</v>
      </c>
      <c r="B838" s="8" t="s">
        <v>63</v>
      </c>
      <c r="C838" s="11">
        <v>43106</v>
      </c>
      <c r="D838" s="12" t="str">
        <f>IF(C838&gt;0,(VLOOKUP(C838,'Blnct AR'!$C$2:$D$2255,2,0))," ")</f>
        <v>Banco BIC - 118133685.15.1</v>
      </c>
      <c r="E838" s="21" t="s">
        <v>2036</v>
      </c>
      <c r="F838" s="20"/>
      <c r="G838" s="20">
        <v>301336.98</v>
      </c>
      <c r="I838" s="37"/>
    </row>
    <row r="839" spans="1:9" s="14" customFormat="1" ht="15" customHeight="1">
      <c r="A839" s="10">
        <v>44043</v>
      </c>
      <c r="B839" s="8" t="s">
        <v>63</v>
      </c>
      <c r="C839" s="11">
        <v>75231</v>
      </c>
      <c r="D839" s="12" t="str">
        <f>IF(C839&gt;0,(VLOOKUP(C839,'Blnct AR'!$C$2:$D$2255,2,0))," ")</f>
        <v>Serviços contabilisticos</v>
      </c>
      <c r="E839" s="21" t="s">
        <v>2036</v>
      </c>
      <c r="F839" s="20">
        <v>301336.98</v>
      </c>
      <c r="G839" s="20"/>
      <c r="I839" s="37"/>
    </row>
    <row r="840" spans="1:9" s="14" customFormat="1" ht="15" customHeight="1">
      <c r="A840" s="10">
        <v>44043</v>
      </c>
      <c r="B840" s="8" t="s">
        <v>1409</v>
      </c>
      <c r="C840" s="11">
        <v>43106</v>
      </c>
      <c r="D840" s="12" t="str">
        <f>IF(C840&gt;0,(VLOOKUP(C840,'Blnct AR'!$C$2:$D$2255,2,0))," ")</f>
        <v>Banco BIC - 118133685.15.1</v>
      </c>
      <c r="E840" s="21" t="s">
        <v>135</v>
      </c>
      <c r="F840" s="20"/>
      <c r="G840" s="20">
        <v>166465</v>
      </c>
      <c r="I840" s="37"/>
    </row>
    <row r="841" spans="1:9" s="14" customFormat="1" ht="15" customHeight="1">
      <c r="A841" s="10">
        <v>44043</v>
      </c>
      <c r="B841" s="8" t="s">
        <v>1409</v>
      </c>
      <c r="C841" s="11">
        <v>3431</v>
      </c>
      <c r="D841" s="12" t="str">
        <f>IF(C841&gt;0,(VLOOKUP(C841,'Blnct AR'!$C$2:$D$2255,2,0))," ")</f>
        <v>IRT dependentes</v>
      </c>
      <c r="E841" s="21" t="s">
        <v>135</v>
      </c>
      <c r="F841" s="20">
        <v>166465</v>
      </c>
      <c r="G841" s="20"/>
      <c r="I841" s="37"/>
    </row>
    <row r="842" spans="1:9" s="14" customFormat="1" ht="15" customHeight="1">
      <c r="A842" s="10">
        <v>44043</v>
      </c>
      <c r="B842" s="8" t="s">
        <v>1409</v>
      </c>
      <c r="C842" s="11">
        <v>43106</v>
      </c>
      <c r="D842" s="12" t="str">
        <f>IF(C842&gt;0,(VLOOKUP(C842,'Blnct AR'!$C$2:$D$2255,2,0))," ")</f>
        <v>Banco BIC - 118133685.15.1</v>
      </c>
      <c r="E842" s="21" t="s">
        <v>1964</v>
      </c>
      <c r="F842" s="20"/>
      <c r="G842" s="20">
        <v>18525</v>
      </c>
      <c r="I842" s="37"/>
    </row>
    <row r="843" spans="1:9" s="14" customFormat="1" ht="15" customHeight="1">
      <c r="A843" s="10">
        <v>44043</v>
      </c>
      <c r="B843" s="8" t="s">
        <v>1409</v>
      </c>
      <c r="C843" s="11">
        <v>75318</v>
      </c>
      <c r="D843" s="12" t="str">
        <f>IF(C843&gt;0,(VLOOKUP(C843,'Blnct AR'!$C$2:$D$2255,2,0))," ")</f>
        <v>Lei 19/14 Rf 6,5%</v>
      </c>
      <c r="E843" s="21" t="s">
        <v>1964</v>
      </c>
      <c r="F843" s="20">
        <v>18525</v>
      </c>
      <c r="G843" s="20"/>
      <c r="I843" s="37"/>
    </row>
    <row r="844" spans="1:9" s="14" customFormat="1" ht="15" customHeight="1">
      <c r="A844" s="10">
        <v>44043</v>
      </c>
      <c r="B844" s="8" t="s">
        <v>1409</v>
      </c>
      <c r="C844" s="11">
        <v>43106</v>
      </c>
      <c r="D844" s="12" t="str">
        <f>IF(C844&gt;0,(VLOOKUP(C844,'Blnct AR'!$C$2:$D$2255,2,0))," ")</f>
        <v>Banco BIC - 118133685.15.1</v>
      </c>
      <c r="E844" s="21" t="s">
        <v>1965</v>
      </c>
      <c r="F844" s="20"/>
      <c r="G844" s="20">
        <v>79028</v>
      </c>
      <c r="I844" s="37"/>
    </row>
    <row r="845" spans="1:9" s="14" customFormat="1" ht="15" customHeight="1">
      <c r="A845" s="10">
        <v>44043</v>
      </c>
      <c r="B845" s="8" t="s">
        <v>1409</v>
      </c>
      <c r="C845" s="11">
        <v>75317</v>
      </c>
      <c r="D845" s="12" t="str">
        <f>IF(C845&gt;0,(VLOOKUP(C845,'Blnct AR'!$C$2:$D$2255,2,0))," ")</f>
        <v>IPU</v>
      </c>
      <c r="E845" s="21" t="s">
        <v>1965</v>
      </c>
      <c r="F845" s="20">
        <v>79028</v>
      </c>
      <c r="G845" s="20"/>
      <c r="I845" s="37"/>
    </row>
    <row r="846" spans="1:9" s="14" customFormat="1" ht="15" customHeight="1">
      <c r="A846" s="10">
        <v>44043</v>
      </c>
      <c r="B846" s="8" t="s">
        <v>1869</v>
      </c>
      <c r="C846" s="11">
        <v>43106</v>
      </c>
      <c r="D846" s="12" t="str">
        <f>IF(C846&gt;0,(VLOOKUP(C846,'Blnct AR'!$C$2:$D$2255,2,0))," ")</f>
        <v>Banco BIC - 118133685.15.1</v>
      </c>
      <c r="E846" s="21" t="s">
        <v>1869</v>
      </c>
      <c r="F846" s="20"/>
      <c r="G846" s="20">
        <v>336</v>
      </c>
      <c r="I846" s="37"/>
    </row>
    <row r="847" spans="1:9" s="14" customFormat="1" ht="15" customHeight="1">
      <c r="A847" s="10">
        <v>44043</v>
      </c>
      <c r="B847" s="8" t="s">
        <v>1869</v>
      </c>
      <c r="C847" s="11">
        <v>75314</v>
      </c>
      <c r="D847" s="12" t="str">
        <f>IF(C847&gt;0,(VLOOKUP(C847,'Blnct AR'!$C$2:$D$2255,2,0))," ")</f>
        <v>IVA Suportado</v>
      </c>
      <c r="E847" s="21" t="s">
        <v>1869</v>
      </c>
      <c r="F847" s="20">
        <v>336</v>
      </c>
      <c r="G847" s="20"/>
      <c r="I847" s="37"/>
    </row>
    <row r="848" spans="1:9" s="14" customFormat="1" ht="15" customHeight="1">
      <c r="A848" s="10"/>
      <c r="B848" s="8" t="s">
        <v>2010</v>
      </c>
      <c r="C848" s="11"/>
      <c r="D848" s="12" t="str">
        <f>IF(C848&gt;0,(VLOOKUP(C848,'Blnct AR'!$C$2:$D$2255,2,0))," ")</f>
        <v xml:space="preserve"> </v>
      </c>
      <c r="E848" s="21"/>
      <c r="F848" s="20"/>
      <c r="G848" s="20"/>
      <c r="I848" s="37"/>
    </row>
    <row r="849" spans="1:9" s="14" customFormat="1" ht="15" customHeight="1">
      <c r="A849" s="10">
        <v>44043</v>
      </c>
      <c r="B849" s="8" t="s">
        <v>1653</v>
      </c>
      <c r="C849" s="11">
        <v>43103</v>
      </c>
      <c r="D849" s="12" t="str">
        <f>IF(C849&gt;0,(VLOOKUP(C849,'Blnct AR'!$C$2:$D$2255,2,0))," ")</f>
        <v>Milénnium 500471734904 Kz</v>
      </c>
      <c r="E849" s="21" t="s">
        <v>1907</v>
      </c>
      <c r="F849" s="20"/>
      <c r="G849" s="20">
        <v>92190</v>
      </c>
      <c r="I849" s="37"/>
    </row>
    <row r="850" spans="1:9" s="14" customFormat="1" ht="15" customHeight="1">
      <c r="A850" s="10">
        <v>44043</v>
      </c>
      <c r="B850" s="8" t="s">
        <v>1653</v>
      </c>
      <c r="C850" s="11">
        <v>45111</v>
      </c>
      <c r="D850" s="12" t="str">
        <f>IF(C850&gt;0,(VLOOKUP(C850,'Blnct AR'!$C$2:$D$2255,2,0))," ")</f>
        <v>Caixa Geral</v>
      </c>
      <c r="E850" s="21" t="s">
        <v>1907</v>
      </c>
      <c r="F850" s="20">
        <v>92190</v>
      </c>
      <c r="G850" s="20"/>
      <c r="I850" s="37"/>
    </row>
    <row r="851" spans="1:9" s="14" customFormat="1" ht="15" customHeight="1">
      <c r="A851" s="10">
        <v>44043</v>
      </c>
      <c r="B851" s="8" t="s">
        <v>1932</v>
      </c>
      <c r="C851" s="11">
        <v>43103</v>
      </c>
      <c r="D851" s="12" t="str">
        <f>IF(C851&gt;0,(VLOOKUP(C851,'Blnct AR'!$C$2:$D$2255,2,0))," ")</f>
        <v>Milénnium 500471734904 Kz</v>
      </c>
      <c r="E851" s="21" t="s">
        <v>2023</v>
      </c>
      <c r="F851" s="20"/>
      <c r="G851" s="20">
        <v>100916</v>
      </c>
      <c r="I851" s="37"/>
    </row>
    <row r="852" spans="1:9" s="14" customFormat="1" ht="15" customHeight="1">
      <c r="A852" s="10">
        <v>44043</v>
      </c>
      <c r="B852" s="8" t="s">
        <v>1932</v>
      </c>
      <c r="C852" s="11">
        <v>7111</v>
      </c>
      <c r="D852" s="12" t="str">
        <f>IF(C852&gt;0,(VLOOKUP(C852,'Blnct AR'!$C$2:$D$2255,2,0))," ")</f>
        <v>Mp - cevc</v>
      </c>
      <c r="E852" s="21" t="s">
        <v>2023</v>
      </c>
      <c r="F852" s="20">
        <v>100916</v>
      </c>
      <c r="G852" s="20"/>
      <c r="I852" s="37"/>
    </row>
    <row r="853" spans="1:9" s="14" customFormat="1" ht="15" customHeight="1">
      <c r="A853" s="10">
        <v>44043</v>
      </c>
      <c r="B853" s="8" t="s">
        <v>1946</v>
      </c>
      <c r="C853" s="11">
        <v>43103</v>
      </c>
      <c r="D853" s="12" t="str">
        <f>IF(C853&gt;0,(VLOOKUP(C853,'Blnct AR'!$C$2:$D$2255,2,0))," ")</f>
        <v>Milénnium 500471734904 Kz</v>
      </c>
      <c r="E853" s="21" t="s">
        <v>1857</v>
      </c>
      <c r="F853" s="20"/>
      <c r="G853" s="20">
        <v>1059703.8</v>
      </c>
      <c r="I853" s="37"/>
    </row>
    <row r="854" spans="1:9" s="14" customFormat="1" ht="15" customHeight="1">
      <c r="A854" s="10">
        <v>44043</v>
      </c>
      <c r="B854" s="8" t="s">
        <v>1946</v>
      </c>
      <c r="C854" s="11">
        <v>728220</v>
      </c>
      <c r="D854" s="12" t="str">
        <f>IF(C854&gt;0,(VLOOKUP(C854,'Blnct AR'!$C$2:$D$2255,2,0))," ")</f>
        <v>Saúde</v>
      </c>
      <c r="E854" s="21" t="s">
        <v>1857</v>
      </c>
      <c r="F854" s="20">
        <v>1059703.8</v>
      </c>
      <c r="G854" s="20"/>
      <c r="I854" s="37"/>
    </row>
    <row r="855" spans="1:9" s="14" customFormat="1" ht="15" customHeight="1">
      <c r="A855" s="10">
        <v>44043</v>
      </c>
      <c r="B855" s="8" t="s">
        <v>1844</v>
      </c>
      <c r="C855" s="11">
        <v>43103</v>
      </c>
      <c r="D855" s="12" t="str">
        <f>IF(C855&gt;0,(VLOOKUP(C855,'Blnct AR'!$C$2:$D$2255,2,0))," ")</f>
        <v>Milénnium 500471734904 Kz</v>
      </c>
      <c r="E855" s="21" t="s">
        <v>1947</v>
      </c>
      <c r="F855" s="20"/>
      <c r="G855" s="20">
        <v>342909.33</v>
      </c>
      <c r="I855" s="37"/>
    </row>
    <row r="856" spans="1:9" s="14" customFormat="1" ht="15" customHeight="1">
      <c r="A856" s="10">
        <v>44043</v>
      </c>
      <c r="B856" s="8" t="s">
        <v>1844</v>
      </c>
      <c r="C856" s="11">
        <v>7522122</v>
      </c>
      <c r="D856" s="12" t="str">
        <f>IF(C856&gt;0,(VLOOKUP(C856,'Blnct AR'!$C$2:$D$2255,2,0))," ")</f>
        <v>Aluguer de Viatura</v>
      </c>
      <c r="E856" s="21" t="s">
        <v>1947</v>
      </c>
      <c r="F856" s="20">
        <v>342909.33</v>
      </c>
      <c r="G856" s="20"/>
      <c r="I856" s="37"/>
    </row>
    <row r="857" spans="1:9" s="14" customFormat="1" ht="15" customHeight="1">
      <c r="A857" s="10">
        <v>44043</v>
      </c>
      <c r="B857" s="8" t="s">
        <v>1869</v>
      </c>
      <c r="C857" s="11">
        <v>43103</v>
      </c>
      <c r="D857" s="12" t="str">
        <f>IF(C857&gt;0,(VLOOKUP(C857,'Blnct AR'!$C$2:$D$2255,2,0))," ")</f>
        <v>Milénnium 500471734904 Kz</v>
      </c>
      <c r="E857" s="21" t="s">
        <v>1869</v>
      </c>
      <c r="F857" s="20"/>
      <c r="G857" s="20">
        <v>5400</v>
      </c>
      <c r="I857" s="37"/>
    </row>
    <row r="858" spans="1:9" s="14" customFormat="1" ht="15" customHeight="1">
      <c r="A858" s="10">
        <v>44043</v>
      </c>
      <c r="B858" s="8" t="s">
        <v>1869</v>
      </c>
      <c r="C858" s="11">
        <v>767801</v>
      </c>
      <c r="D858" s="12" t="str">
        <f>IF(C858&gt;0,(VLOOKUP(C858,'Blnct AR'!$C$2:$D$2255,2,0))," ")</f>
        <v>Despesas Operacionais</v>
      </c>
      <c r="E858" s="21" t="s">
        <v>1869</v>
      </c>
      <c r="F858" s="20">
        <v>5400</v>
      </c>
      <c r="G858" s="20"/>
      <c r="I858" s="37"/>
    </row>
    <row r="859" spans="1:9" s="14" customFormat="1" ht="15" customHeight="1">
      <c r="A859" s="10">
        <v>44043</v>
      </c>
      <c r="B859" s="8" t="s">
        <v>1116</v>
      </c>
      <c r="C859" s="11">
        <v>43103</v>
      </c>
      <c r="D859" s="12" t="str">
        <f>IF(C859&gt;0,(VLOOKUP(C859,'Blnct AR'!$C$2:$D$2255,2,0))," ")</f>
        <v>Milénnium 500471734904 Kz</v>
      </c>
      <c r="E859" s="21" t="s">
        <v>2030</v>
      </c>
      <c r="F859" s="20"/>
      <c r="G859" s="20">
        <v>2011739.38</v>
      </c>
      <c r="I859" s="37"/>
    </row>
    <row r="860" spans="1:9" s="14" customFormat="1" ht="15" customHeight="1">
      <c r="A860" s="10">
        <v>44043</v>
      </c>
      <c r="B860" s="8" t="s">
        <v>1116</v>
      </c>
      <c r="C860" s="11">
        <v>72211</v>
      </c>
      <c r="D860" s="12" t="str">
        <f>IF(C860&gt;0,(VLOOKUP(C860,'Blnct AR'!$C$2:$D$2255,2,0))," ")</f>
        <v>Ordenados</v>
      </c>
      <c r="E860" s="21" t="s">
        <v>2030</v>
      </c>
      <c r="F860" s="20">
        <v>2011739.38</v>
      </c>
      <c r="G860" s="20"/>
      <c r="I860" s="37"/>
    </row>
    <row r="861" spans="1:9" s="14" customFormat="1" ht="15" customHeight="1">
      <c r="A861" s="10">
        <v>44043</v>
      </c>
      <c r="B861" s="8" t="s">
        <v>1116</v>
      </c>
      <c r="C861" s="11">
        <v>43103</v>
      </c>
      <c r="D861" s="12" t="str">
        <f>IF(C861&gt;0,(VLOOKUP(C861,'Blnct AR'!$C$2:$D$2255,2,0))," ")</f>
        <v>Milénnium 500471734904 Kz</v>
      </c>
      <c r="E861" s="21" t="s">
        <v>2037</v>
      </c>
      <c r="F861" s="20"/>
      <c r="G861" s="20">
        <v>2151832.12</v>
      </c>
      <c r="I861" s="37"/>
    </row>
    <row r="862" spans="1:9" s="14" customFormat="1" ht="15" customHeight="1">
      <c r="A862" s="10">
        <v>44043</v>
      </c>
      <c r="B862" s="8" t="s">
        <v>1116</v>
      </c>
      <c r="C862" s="11">
        <v>72211</v>
      </c>
      <c r="D862" s="12" t="str">
        <f>IF(C862&gt;0,(VLOOKUP(C862,'Blnct AR'!$C$2:$D$2255,2,0))," ")</f>
        <v>Ordenados</v>
      </c>
      <c r="E862" s="21" t="s">
        <v>2037</v>
      </c>
      <c r="F862" s="20">
        <v>2151832.12</v>
      </c>
      <c r="G862" s="20"/>
      <c r="I862" s="37"/>
    </row>
    <row r="863" spans="1:9" s="14" customFormat="1" ht="15" customHeight="1">
      <c r="A863" s="10">
        <v>44043</v>
      </c>
      <c r="B863" s="8" t="s">
        <v>132</v>
      </c>
      <c r="C863" s="11">
        <v>43103</v>
      </c>
      <c r="D863" s="12" t="str">
        <f>IF(C863&gt;0,(VLOOKUP(C863,'Blnct AR'!$C$2:$D$2255,2,0))," ")</f>
        <v>Milénnium 500471734904 Kz</v>
      </c>
      <c r="E863" s="21" t="s">
        <v>2038</v>
      </c>
      <c r="F863" s="20"/>
      <c r="G863" s="20">
        <v>96800</v>
      </c>
      <c r="I863" s="37"/>
    </row>
    <row r="864" spans="1:9" s="14" customFormat="1" ht="15" customHeight="1">
      <c r="A864" s="10">
        <v>44043</v>
      </c>
      <c r="B864" s="8" t="s">
        <v>132</v>
      </c>
      <c r="C864" s="11">
        <v>72522</v>
      </c>
      <c r="D864" s="12" t="str">
        <f>IF(C864&gt;0,(VLOOKUP(C864,'Blnct AR'!$C$2:$D$2255,2,0))," ")</f>
        <v>Produção Seg. Social</v>
      </c>
      <c r="E864" s="21" t="s">
        <v>2038</v>
      </c>
      <c r="F864" s="20">
        <v>96800</v>
      </c>
      <c r="G864" s="20"/>
      <c r="I864" s="37"/>
    </row>
    <row r="865" spans="1:9" s="14" customFormat="1" ht="15" customHeight="1">
      <c r="A865" s="10">
        <v>44043</v>
      </c>
      <c r="B865" s="8" t="s">
        <v>1921</v>
      </c>
      <c r="C865" s="11">
        <v>43103</v>
      </c>
      <c r="D865" s="12" t="str">
        <f>IF(C865&gt;0,(VLOOKUP(C865,'Blnct AR'!$C$2:$D$2255,2,0))," ")</f>
        <v>Milénnium 500471734904 Kz</v>
      </c>
      <c r="E865" s="21" t="s">
        <v>1860</v>
      </c>
      <c r="F865" s="20"/>
      <c r="G865" s="20">
        <v>82408.95</v>
      </c>
      <c r="I865" s="37"/>
    </row>
    <row r="866" spans="1:9" s="14" customFormat="1" ht="15" customHeight="1">
      <c r="A866" s="10">
        <v>44043</v>
      </c>
      <c r="B866" s="8" t="s">
        <v>1921</v>
      </c>
      <c r="C866" s="11">
        <v>75228</v>
      </c>
      <c r="D866" s="12" t="str">
        <f>IF(C866&gt;0,(VLOOKUP(C866,'Blnct AR'!$C$2:$D$2255,2,0))," ")</f>
        <v>Limpeza, higiene e conforto</v>
      </c>
      <c r="E866" s="21" t="s">
        <v>1860</v>
      </c>
      <c r="F866" s="20">
        <v>82408.95</v>
      </c>
      <c r="G866" s="20"/>
      <c r="I866" s="37"/>
    </row>
    <row r="867" spans="1:9" s="14" customFormat="1" ht="15" customHeight="1">
      <c r="A867" s="10">
        <v>44043</v>
      </c>
      <c r="B867" s="8" t="s">
        <v>59</v>
      </c>
      <c r="C867" s="11">
        <v>43103</v>
      </c>
      <c r="D867" s="12" t="str">
        <f>IF(C867&gt;0,(VLOOKUP(C867,'Blnct AR'!$C$2:$D$2255,2,0))," ")</f>
        <v>Milénnium 500471734904 Kz</v>
      </c>
      <c r="E867" s="21" t="s">
        <v>1982</v>
      </c>
      <c r="F867" s="20"/>
      <c r="G867" s="20">
        <v>3251</v>
      </c>
      <c r="I867" s="37"/>
    </row>
    <row r="868" spans="1:9" s="14" customFormat="1" ht="15" customHeight="1">
      <c r="A868" s="10">
        <v>44043</v>
      </c>
      <c r="B868" s="8" t="s">
        <v>59</v>
      </c>
      <c r="C868" s="11">
        <v>75217</v>
      </c>
      <c r="D868" s="12" t="str">
        <f>IF(C868&gt;0,(VLOOKUP(C868,'Blnct AR'!$C$2:$D$2255,2,0))," ")</f>
        <v>Material de escritório</v>
      </c>
      <c r="E868" s="21" t="s">
        <v>1982</v>
      </c>
      <c r="F868" s="20">
        <v>3251</v>
      </c>
      <c r="G868" s="20"/>
      <c r="I868" s="37"/>
    </row>
    <row r="869" spans="1:9" s="14" customFormat="1" ht="15" customHeight="1">
      <c r="A869" s="10">
        <v>44043</v>
      </c>
      <c r="B869" s="8" t="s">
        <v>1922</v>
      </c>
      <c r="C869" s="11">
        <v>43103</v>
      </c>
      <c r="D869" s="12" t="str">
        <f>IF(C869&gt;0,(VLOOKUP(C869,'Blnct AR'!$C$2:$D$2255,2,0))," ")</f>
        <v>Milénnium 500471734904 Kz</v>
      </c>
      <c r="E869" s="21" t="s">
        <v>1911</v>
      </c>
      <c r="F869" s="20"/>
      <c r="G869" s="20">
        <v>64000</v>
      </c>
      <c r="I869" s="37"/>
    </row>
    <row r="870" spans="1:9" s="14" customFormat="1" ht="15" customHeight="1">
      <c r="A870" s="10">
        <v>44043</v>
      </c>
      <c r="B870" s="8" t="s">
        <v>1922</v>
      </c>
      <c r="C870" s="11">
        <v>752202</v>
      </c>
      <c r="D870" s="12" t="str">
        <f>IF(C870&gt;0,(VLOOKUP(C870,'Blnct AR'!$C$2:$D$2255,2,0))," ")</f>
        <v>Telefone Móvel / Internet</v>
      </c>
      <c r="E870" s="21" t="s">
        <v>1911</v>
      </c>
      <c r="F870" s="20">
        <v>64000</v>
      </c>
      <c r="G870" s="20"/>
      <c r="I870" s="37"/>
    </row>
    <row r="871" spans="1:9" s="14" customFormat="1" ht="15" customHeight="1">
      <c r="A871" s="10">
        <v>44043</v>
      </c>
      <c r="B871" s="8" t="s">
        <v>1984</v>
      </c>
      <c r="C871" s="11">
        <v>43103</v>
      </c>
      <c r="D871" s="12" t="str">
        <f>IF(C871&gt;0,(VLOOKUP(C871,'Blnct AR'!$C$2:$D$2255,2,0))," ")</f>
        <v>Milénnium 500471734904 Kz</v>
      </c>
      <c r="E871" s="21" t="s">
        <v>2006</v>
      </c>
      <c r="F871" s="20"/>
      <c r="G871" s="20">
        <v>55659</v>
      </c>
      <c r="I871" s="37"/>
    </row>
    <row r="872" spans="1:9" s="14" customFormat="1" ht="15" customHeight="1">
      <c r="A872" s="10">
        <v>44043</v>
      </c>
      <c r="B872" s="8" t="s">
        <v>1984</v>
      </c>
      <c r="C872" s="11">
        <v>752231</v>
      </c>
      <c r="D872" s="12" t="str">
        <f>IF(C872&gt;0,(VLOOKUP(C872,'Blnct AR'!$C$2:$D$2255,2,0))," ")</f>
        <v>Refeições e estadas</v>
      </c>
      <c r="E872" s="21" t="s">
        <v>2006</v>
      </c>
      <c r="F872" s="20">
        <v>55659</v>
      </c>
      <c r="G872" s="20"/>
      <c r="I872" s="37"/>
    </row>
    <row r="873" spans="1:9" s="14" customFormat="1" ht="15" customHeight="1">
      <c r="A873" s="10">
        <v>44043</v>
      </c>
      <c r="B873" s="8" t="s">
        <v>41</v>
      </c>
      <c r="C873" s="11">
        <v>43103</v>
      </c>
      <c r="D873" s="12" t="str">
        <f>IF(C873&gt;0,(VLOOKUP(C873,'Blnct AR'!$C$2:$D$2255,2,0))," ")</f>
        <v>Milénnium 500471734904 Kz</v>
      </c>
      <c r="E873" s="21" t="s">
        <v>1985</v>
      </c>
      <c r="F873" s="20"/>
      <c r="G873" s="20">
        <v>85950</v>
      </c>
      <c r="I873" s="37"/>
    </row>
    <row r="874" spans="1:9" s="14" customFormat="1" ht="15" customHeight="1">
      <c r="A874" s="10">
        <v>44043</v>
      </c>
      <c r="B874" s="8" t="s">
        <v>41</v>
      </c>
      <c r="C874" s="11">
        <v>75224</v>
      </c>
      <c r="D874" s="12" t="str">
        <f>IF(C874&gt;0,(VLOOKUP(C874,'Blnct AR'!$C$2:$D$2255,2,0))," ")</f>
        <v>Despesas de representação</v>
      </c>
      <c r="E874" s="21" t="s">
        <v>1985</v>
      </c>
      <c r="F874" s="20">
        <v>85950</v>
      </c>
      <c r="G874" s="20"/>
      <c r="I874" s="37"/>
    </row>
    <row r="875" spans="1:9" s="14" customFormat="1" ht="15" customHeight="1">
      <c r="A875" s="10">
        <v>44043</v>
      </c>
      <c r="B875" s="8" t="s">
        <v>1974</v>
      </c>
      <c r="C875" s="11">
        <v>43103</v>
      </c>
      <c r="D875" s="12" t="str">
        <f>IF(C875&gt;0,(VLOOKUP(C875,'Blnct AR'!$C$2:$D$2255,2,0))," ")</f>
        <v>Milénnium 500471734904 Kz</v>
      </c>
      <c r="E875" s="21" t="s">
        <v>2039</v>
      </c>
      <c r="F875" s="20"/>
      <c r="G875" s="20">
        <v>55000</v>
      </c>
      <c r="I875" s="37"/>
    </row>
    <row r="876" spans="1:9" s="14" customFormat="1" ht="15" customHeight="1">
      <c r="A876" s="10">
        <v>44043</v>
      </c>
      <c r="B876" s="8" t="s">
        <v>1974</v>
      </c>
      <c r="C876" s="11">
        <v>75230</v>
      </c>
      <c r="D876" s="12" t="str">
        <f>IF(C876&gt;0,(VLOOKUP(C876,'Blnct AR'!$C$2:$D$2255,2,0))," ")</f>
        <v>Contencioso e notariado</v>
      </c>
      <c r="E876" s="21" t="s">
        <v>2039</v>
      </c>
      <c r="F876" s="20">
        <v>55000</v>
      </c>
      <c r="G876" s="20"/>
      <c r="I876" s="37"/>
    </row>
    <row r="877" spans="1:9" s="14" customFormat="1" ht="15" customHeight="1">
      <c r="A877" s="10">
        <v>44043</v>
      </c>
      <c r="B877" s="8" t="s">
        <v>1955</v>
      </c>
      <c r="C877" s="11">
        <v>43103</v>
      </c>
      <c r="D877" s="12" t="str">
        <f>IF(C877&gt;0,(VLOOKUP(C877,'Blnct AR'!$C$2:$D$2255,2,0))," ")</f>
        <v>Milénnium 500471734904 Kz</v>
      </c>
      <c r="E877" s="21" t="s">
        <v>1861</v>
      </c>
      <c r="F877" s="20"/>
      <c r="G877" s="20">
        <v>44687.3</v>
      </c>
      <c r="I877" s="37"/>
    </row>
    <row r="878" spans="1:9" s="14" customFormat="1" ht="15" customHeight="1">
      <c r="A878" s="10">
        <v>44043</v>
      </c>
      <c r="B878" s="8" t="s">
        <v>1955</v>
      </c>
      <c r="C878" s="11">
        <v>752131</v>
      </c>
      <c r="D878" s="12" t="str">
        <f>IF(C878&gt;0,(VLOOKUP(C878,'Blnct AR'!$C$2:$D$2255,2,0))," ")</f>
        <v>Gasoleo</v>
      </c>
      <c r="E878" s="21" t="s">
        <v>1861</v>
      </c>
      <c r="F878" s="20">
        <v>44687.3</v>
      </c>
      <c r="G878" s="20"/>
      <c r="I878" s="37"/>
    </row>
    <row r="879" spans="1:9" s="14" customFormat="1" ht="15" customHeight="1">
      <c r="A879" s="10">
        <v>44043</v>
      </c>
      <c r="B879" s="8" t="s">
        <v>1955</v>
      </c>
      <c r="C879" s="11">
        <v>43103</v>
      </c>
      <c r="D879" s="12" t="str">
        <f>IF(C879&gt;0,(VLOOKUP(C879,'Blnct AR'!$C$2:$D$2255,2,0))," ")</f>
        <v>Milénnium 500471734904 Kz</v>
      </c>
      <c r="E879" s="21" t="s">
        <v>1861</v>
      </c>
      <c r="F879" s="20"/>
      <c r="G879" s="20">
        <v>5995</v>
      </c>
      <c r="I879" s="37"/>
    </row>
    <row r="880" spans="1:9" s="14" customFormat="1" ht="15" customHeight="1">
      <c r="A880" s="10">
        <v>44043</v>
      </c>
      <c r="B880" s="8" t="s">
        <v>1955</v>
      </c>
      <c r="C880" s="11">
        <v>752132</v>
      </c>
      <c r="D880" s="12" t="str">
        <f>IF(C880&gt;0,(VLOOKUP(C880,'Blnct AR'!$C$2:$D$2255,2,0))," ")</f>
        <v>Gasolina</v>
      </c>
      <c r="E880" s="21" t="s">
        <v>1861</v>
      </c>
      <c r="F880" s="20">
        <v>5995</v>
      </c>
      <c r="G880" s="20"/>
      <c r="I880" s="37"/>
    </row>
    <row r="881" spans="1:9" s="14" customFormat="1" ht="15" customHeight="1">
      <c r="A881" s="10">
        <v>44043</v>
      </c>
      <c r="B881" s="8" t="s">
        <v>1957</v>
      </c>
      <c r="C881" s="11">
        <v>43103</v>
      </c>
      <c r="D881" s="12" t="str">
        <f>IF(C881&gt;0,(VLOOKUP(C881,'Blnct AR'!$C$2:$D$2255,2,0))," ")</f>
        <v>Milénnium 500471734904 Kz</v>
      </c>
      <c r="E881" s="21" t="s">
        <v>2040</v>
      </c>
      <c r="F881" s="20"/>
      <c r="G881" s="20">
        <v>9000</v>
      </c>
      <c r="I881" s="37"/>
    </row>
    <row r="882" spans="1:9" s="14" customFormat="1" ht="15" customHeight="1">
      <c r="A882" s="10">
        <v>44043</v>
      </c>
      <c r="B882" s="8" t="s">
        <v>1957</v>
      </c>
      <c r="C882" s="11">
        <v>752133</v>
      </c>
      <c r="D882" s="12" t="str">
        <f>IF(C882&gt;0,(VLOOKUP(C882,'Blnct AR'!$C$2:$D$2255,2,0))," ")</f>
        <v>Gás</v>
      </c>
      <c r="E882" s="21" t="s">
        <v>2040</v>
      </c>
      <c r="F882" s="20">
        <v>9000</v>
      </c>
      <c r="G882" s="20"/>
      <c r="I882" s="37"/>
    </row>
    <row r="883" spans="1:9" s="14" customFormat="1" ht="15" customHeight="1">
      <c r="A883" s="10">
        <v>44043</v>
      </c>
      <c r="B883" s="8" t="s">
        <v>1961</v>
      </c>
      <c r="C883" s="11">
        <v>43103</v>
      </c>
      <c r="D883" s="12" t="str">
        <f>IF(C883&gt;0,(VLOOKUP(C883,'Blnct AR'!$C$2:$D$2255,2,0))," ")</f>
        <v>Milénnium 500471734904 Kz</v>
      </c>
      <c r="E883" s="21" t="s">
        <v>1840</v>
      </c>
      <c r="F883" s="20"/>
      <c r="G883" s="20">
        <v>401671</v>
      </c>
      <c r="I883" s="37"/>
    </row>
    <row r="884" spans="1:9" s="14" customFormat="1" ht="15" customHeight="1">
      <c r="A884" s="10">
        <v>44043</v>
      </c>
      <c r="B884" s="8" t="s">
        <v>1961</v>
      </c>
      <c r="C884" s="11">
        <v>752144</v>
      </c>
      <c r="D884" s="12" t="str">
        <f>IF(C884&gt;0,(VLOOKUP(C884,'Blnct AR'!$C$2:$D$2255,2,0))," ")</f>
        <v>Equipamento de carga e transporte</v>
      </c>
      <c r="E884" s="21" t="s">
        <v>1840</v>
      </c>
      <c r="F884" s="20">
        <v>401671</v>
      </c>
      <c r="G884" s="20"/>
      <c r="I884" s="37"/>
    </row>
    <row r="885" spans="1:9" s="14" customFormat="1" ht="15" customHeight="1">
      <c r="A885" s="10">
        <v>44043</v>
      </c>
      <c r="B885" s="8" t="s">
        <v>2041</v>
      </c>
      <c r="C885" s="11">
        <v>43103</v>
      </c>
      <c r="D885" s="12" t="str">
        <f>IF(C885&gt;0,(VLOOKUP(C885,'Blnct AR'!$C$2:$D$2255,2,0))," ")</f>
        <v>Milénnium 500471734904 Kz</v>
      </c>
      <c r="E885" s="21" t="s">
        <v>2032</v>
      </c>
      <c r="F885" s="20"/>
      <c r="G885" s="20">
        <v>208840.12</v>
      </c>
      <c r="I885" s="37"/>
    </row>
    <row r="886" spans="1:9" s="14" customFormat="1" ht="15" customHeight="1">
      <c r="A886" s="10">
        <v>44043</v>
      </c>
      <c r="B886" s="8" t="s">
        <v>2041</v>
      </c>
      <c r="C886" s="11">
        <v>752146</v>
      </c>
      <c r="D886" s="12" t="str">
        <f>IF(C886&gt;0,(VLOOKUP(C886,'Blnct AR'!$C$2:$D$2255,2,0))," ")</f>
        <v>Equipamento Social</v>
      </c>
      <c r="E886" s="21" t="s">
        <v>2032</v>
      </c>
      <c r="F886" s="20">
        <v>208840.12</v>
      </c>
      <c r="G886" s="20"/>
      <c r="I886" s="37"/>
    </row>
    <row r="887" spans="1:9" s="14" customFormat="1" ht="15" customHeight="1">
      <c r="A887" s="10">
        <v>44043</v>
      </c>
      <c r="B887" s="8" t="s">
        <v>1873</v>
      </c>
      <c r="C887" s="11">
        <v>43103</v>
      </c>
      <c r="D887" s="12" t="str">
        <f>IF(C887&gt;0,(VLOOKUP(C887,'Blnct AR'!$C$2:$D$2255,2,0))," ")</f>
        <v>Milénnium 500471734904 Kz</v>
      </c>
      <c r="E887" s="21" t="s">
        <v>1997</v>
      </c>
      <c r="F887" s="20"/>
      <c r="G887" s="20">
        <v>359424.8</v>
      </c>
      <c r="I887" s="37"/>
    </row>
    <row r="888" spans="1:9" s="14" customFormat="1" ht="15" customHeight="1">
      <c r="A888" s="10">
        <v>44043</v>
      </c>
      <c r="B888" s="8" t="s">
        <v>1873</v>
      </c>
      <c r="C888" s="11">
        <v>752211</v>
      </c>
      <c r="D888" s="12" t="str">
        <f>IF(C888&gt;0,(VLOOKUP(C888,'Blnct AR'!$C$2:$D$2255,2,0))," ")</f>
        <v>Rendas de imóveis Prefor</v>
      </c>
      <c r="E888" s="21" t="s">
        <v>1997</v>
      </c>
      <c r="F888" s="20">
        <v>359424.8</v>
      </c>
      <c r="G888" s="20"/>
      <c r="I888" s="37"/>
    </row>
    <row r="889" spans="1:9" s="14" customFormat="1" ht="15" customHeight="1">
      <c r="A889" s="10">
        <v>44043</v>
      </c>
      <c r="B889" s="8" t="s">
        <v>1873</v>
      </c>
      <c r="C889" s="11">
        <v>43103</v>
      </c>
      <c r="D889" s="12" t="str">
        <f>IF(C889&gt;0,(VLOOKUP(C889,'Blnct AR'!$C$2:$D$2255,2,0))," ")</f>
        <v>Milénnium 500471734904 Kz</v>
      </c>
      <c r="E889" s="21" t="s">
        <v>1998</v>
      </c>
      <c r="F889" s="20"/>
      <c r="G889" s="20">
        <v>352000</v>
      </c>
      <c r="I889" s="37"/>
    </row>
    <row r="890" spans="1:9" s="14" customFormat="1" ht="15" customHeight="1">
      <c r="A890" s="10">
        <v>44043</v>
      </c>
      <c r="B890" s="8" t="s">
        <v>1873</v>
      </c>
      <c r="C890" s="11">
        <v>752212</v>
      </c>
      <c r="D890" s="12" t="str">
        <f>IF(C890&gt;0,(VLOOKUP(C890,'Blnct AR'!$C$2:$D$2255,2,0))," ")</f>
        <v>Rendas de imóveis Cofrialarme</v>
      </c>
      <c r="E890" s="21" t="s">
        <v>1998</v>
      </c>
      <c r="F890" s="20">
        <v>352000</v>
      </c>
      <c r="G890" s="20"/>
      <c r="I890" s="37"/>
    </row>
    <row r="891" spans="1:9" s="14" customFormat="1" ht="15" customHeight="1">
      <c r="A891" s="10">
        <v>44043</v>
      </c>
      <c r="B891" s="8" t="s">
        <v>1959</v>
      </c>
      <c r="C891" s="11">
        <v>43103</v>
      </c>
      <c r="D891" s="12" t="str">
        <f>IF(C891&gt;0,(VLOOKUP(C891,'Blnct AR'!$C$2:$D$2255,2,0))," ")</f>
        <v>Milénnium 500471734904 Kz</v>
      </c>
      <c r="E891" s="21" t="s">
        <v>1960</v>
      </c>
      <c r="F891" s="20"/>
      <c r="G891" s="20">
        <v>258300</v>
      </c>
      <c r="I891" s="37"/>
    </row>
    <row r="892" spans="1:9" s="14" customFormat="1" ht="15" customHeight="1">
      <c r="A892" s="10">
        <v>44043</v>
      </c>
      <c r="B892" s="8" t="s">
        <v>1959</v>
      </c>
      <c r="C892" s="11">
        <v>752143</v>
      </c>
      <c r="D892" s="12" t="str">
        <f>IF(C892&gt;0,(VLOOKUP(C892,'Blnct AR'!$C$2:$D$2255,2,0))," ")</f>
        <v>Equipamento básico</v>
      </c>
      <c r="E892" s="21" t="s">
        <v>1960</v>
      </c>
      <c r="F892" s="20">
        <v>258300</v>
      </c>
      <c r="G892" s="20"/>
      <c r="I892" s="37"/>
    </row>
    <row r="893" spans="1:9" s="14" customFormat="1" ht="15" customHeight="1">
      <c r="A893" s="10">
        <v>44043</v>
      </c>
      <c r="B893" s="8" t="s">
        <v>1409</v>
      </c>
      <c r="C893" s="11">
        <v>43103</v>
      </c>
      <c r="D893" s="12" t="str">
        <f>IF(C893&gt;0,(VLOOKUP(C893,'Blnct AR'!$C$2:$D$2255,2,0))," ")</f>
        <v>Milénnium 500471734904 Kz</v>
      </c>
      <c r="E893" s="21" t="s">
        <v>135</v>
      </c>
      <c r="F893" s="20"/>
      <c r="G893" s="20">
        <v>166568</v>
      </c>
      <c r="I893" s="37"/>
    </row>
    <row r="894" spans="1:9" s="14" customFormat="1" ht="15" customHeight="1">
      <c r="A894" s="10">
        <v>44043</v>
      </c>
      <c r="B894" s="8" t="s">
        <v>1409</v>
      </c>
      <c r="C894" s="11">
        <v>72523</v>
      </c>
      <c r="D894" s="12" t="str">
        <f>IF(C894&gt;0,(VLOOKUP(C894,'Blnct AR'!$C$2:$D$2255,2,0))," ")</f>
        <v>Produção IRT</v>
      </c>
      <c r="E894" s="21" t="s">
        <v>135</v>
      </c>
      <c r="F894" s="20">
        <v>166568</v>
      </c>
      <c r="G894" s="20"/>
      <c r="I894" s="37"/>
    </row>
    <row r="895" spans="1:9" s="14" customFormat="1" ht="15" customHeight="1">
      <c r="A895" s="10">
        <v>44043</v>
      </c>
      <c r="B895" s="8" t="s">
        <v>1409</v>
      </c>
      <c r="C895" s="11">
        <v>43103</v>
      </c>
      <c r="D895" s="12" t="str">
        <f>IF(C895&gt;0,(VLOOKUP(C895,'Blnct AR'!$C$2:$D$2255,2,0))," ")</f>
        <v>Milénnium 500471734904 Kz</v>
      </c>
      <c r="E895" s="21" t="s">
        <v>1964</v>
      </c>
      <c r="F895" s="20"/>
      <c r="G895" s="20">
        <v>31525</v>
      </c>
      <c r="I895" s="37"/>
    </row>
    <row r="896" spans="1:9" s="14" customFormat="1" ht="15" customHeight="1">
      <c r="A896" s="10">
        <v>44043</v>
      </c>
      <c r="B896" s="8" t="s">
        <v>1409</v>
      </c>
      <c r="C896" s="11">
        <v>75318</v>
      </c>
      <c r="D896" s="12" t="str">
        <f>IF(C896&gt;0,(VLOOKUP(C896,'Blnct AR'!$C$2:$D$2255,2,0))," ")</f>
        <v>Lei 19/14 Rf 6,5%</v>
      </c>
      <c r="E896" s="21" t="s">
        <v>1964</v>
      </c>
      <c r="F896" s="20">
        <v>31525</v>
      </c>
      <c r="G896" s="20"/>
      <c r="I896" s="37"/>
    </row>
    <row r="897" spans="1:9" s="14" customFormat="1" ht="15" customHeight="1">
      <c r="A897" s="10">
        <v>44043</v>
      </c>
      <c r="B897" s="8" t="s">
        <v>1409</v>
      </c>
      <c r="C897" s="11">
        <v>43103</v>
      </c>
      <c r="D897" s="12" t="str">
        <f>IF(C897&gt;0,(VLOOKUP(C897,'Blnct AR'!$C$2:$D$2255,2,0))," ")</f>
        <v>Milénnium 500471734904 Kz</v>
      </c>
      <c r="E897" s="21" t="s">
        <v>1965</v>
      </c>
      <c r="F897" s="20"/>
      <c r="G897" s="20">
        <v>76500</v>
      </c>
      <c r="I897" s="37"/>
    </row>
    <row r="898" spans="1:9" s="14" customFormat="1" ht="15" customHeight="1">
      <c r="A898" s="10">
        <v>44043</v>
      </c>
      <c r="B898" s="8" t="s">
        <v>1409</v>
      </c>
      <c r="C898" s="11">
        <v>75317</v>
      </c>
      <c r="D898" s="12" t="str">
        <f>IF(C898&gt;0,(VLOOKUP(C898,'Blnct AR'!$C$2:$D$2255,2,0))," ")</f>
        <v>IPU</v>
      </c>
      <c r="E898" s="21" t="s">
        <v>1965</v>
      </c>
      <c r="F898" s="20">
        <v>76500</v>
      </c>
      <c r="G898" s="20"/>
      <c r="I898" s="37"/>
    </row>
    <row r="899" spans="1:9" s="14" customFormat="1" ht="15" customHeight="1">
      <c r="A899" s="10">
        <v>44043</v>
      </c>
      <c r="B899" s="8" t="s">
        <v>1869</v>
      </c>
      <c r="C899" s="11">
        <v>43103</v>
      </c>
      <c r="D899" s="12" t="str">
        <f>IF(C899&gt;0,(VLOOKUP(C899,'Blnct AR'!$C$2:$D$2255,2,0))," ")</f>
        <v>Milénnium 500471734904 Kz</v>
      </c>
      <c r="E899" s="21" t="s">
        <v>1869</v>
      </c>
      <c r="F899" s="20"/>
      <c r="G899" s="20">
        <v>756</v>
      </c>
      <c r="I899" s="37"/>
    </row>
    <row r="900" spans="1:9" s="14" customFormat="1" ht="15" customHeight="1">
      <c r="A900" s="10">
        <v>44043</v>
      </c>
      <c r="B900" s="8" t="s">
        <v>1869</v>
      </c>
      <c r="C900" s="11">
        <v>75314</v>
      </c>
      <c r="D900" s="12" t="str">
        <f>IF(C900&gt;0,(VLOOKUP(C900,'Blnct AR'!$C$2:$D$2255,2,0))," ")</f>
        <v>IVA Suportado</v>
      </c>
      <c r="E900" s="21" t="s">
        <v>1869</v>
      </c>
      <c r="F900" s="20">
        <v>756</v>
      </c>
      <c r="G900" s="20"/>
      <c r="I900" s="37"/>
    </row>
    <row r="901" spans="1:9" s="14" customFormat="1" ht="15" customHeight="1">
      <c r="A901" s="10"/>
      <c r="B901" s="8" t="s">
        <v>2008</v>
      </c>
      <c r="C901" s="11"/>
      <c r="D901" s="12" t="str">
        <f>IF(C901&gt;0,(VLOOKUP(C901,'Blnct AR'!$C$2:$D$2255,2,0))," ")</f>
        <v xml:space="preserve"> </v>
      </c>
      <c r="E901" s="21"/>
      <c r="F901" s="20"/>
      <c r="G901" s="20"/>
      <c r="I901" s="37"/>
    </row>
    <row r="902" spans="1:9" s="14" customFormat="1" ht="15" customHeight="1">
      <c r="A902" s="10">
        <v>44074</v>
      </c>
      <c r="B902" s="8" t="s">
        <v>1922</v>
      </c>
      <c r="C902" s="11">
        <v>43101</v>
      </c>
      <c r="D902" s="12" t="str">
        <f>IF(C902&gt;0,(VLOOKUP(C902,'Blnct AR'!$C$2:$D$2255,2,0))," ")</f>
        <v>Banco - BFA</v>
      </c>
      <c r="E902" s="21" t="s">
        <v>1911</v>
      </c>
      <c r="F902" s="20"/>
      <c r="G902" s="20">
        <v>70699.92</v>
      </c>
      <c r="I902" s="37"/>
    </row>
    <row r="903" spans="1:9" s="14" customFormat="1" ht="15" customHeight="1">
      <c r="A903" s="10">
        <v>44074</v>
      </c>
      <c r="B903" s="8" t="s">
        <v>1922</v>
      </c>
      <c r="C903" s="11">
        <v>752202</v>
      </c>
      <c r="D903" s="12" t="str">
        <f>IF(C903&gt;0,(VLOOKUP(C903,'Blnct AR'!$C$2:$D$2255,2,0))," ")</f>
        <v>Telefone Móvel / Internet</v>
      </c>
      <c r="E903" s="21" t="s">
        <v>1911</v>
      </c>
      <c r="F903" s="20">
        <v>70699.92</v>
      </c>
      <c r="G903" s="20"/>
      <c r="I903" s="37"/>
    </row>
    <row r="904" spans="1:9" s="14" customFormat="1" ht="15" customHeight="1">
      <c r="A904" s="10"/>
      <c r="B904" s="8" t="s">
        <v>2009</v>
      </c>
      <c r="C904" s="11"/>
      <c r="D904" s="12" t="str">
        <f>IF(C904&gt;0,(VLOOKUP(C904,'Blnct AR'!$C$2:$D$2255,2,0))," ")</f>
        <v xml:space="preserve"> </v>
      </c>
      <c r="E904" s="21"/>
      <c r="F904" s="20"/>
      <c r="G904" s="20"/>
      <c r="I904" s="37"/>
    </row>
    <row r="905" spans="1:9" s="14" customFormat="1" ht="15" customHeight="1">
      <c r="A905" s="10">
        <v>44074</v>
      </c>
      <c r="B905" s="8" t="s">
        <v>1932</v>
      </c>
      <c r="C905" s="11">
        <v>43106</v>
      </c>
      <c r="D905" s="12" t="str">
        <f>IF(C905&gt;0,(VLOOKUP(C905,'Blnct AR'!$C$2:$D$2255,2,0))," ")</f>
        <v>Banco BIC - 118133685.15.1</v>
      </c>
      <c r="E905" s="21" t="s">
        <v>1945</v>
      </c>
      <c r="F905" s="20"/>
      <c r="G905" s="20">
        <v>428773.61</v>
      </c>
      <c r="I905" s="37"/>
    </row>
    <row r="906" spans="1:9" s="14" customFormat="1" ht="15" customHeight="1">
      <c r="A906" s="10">
        <v>44074</v>
      </c>
      <c r="B906" s="8" t="s">
        <v>1932</v>
      </c>
      <c r="C906" s="11">
        <v>7111</v>
      </c>
      <c r="D906" s="12" t="str">
        <f>IF(C906&gt;0,(VLOOKUP(C906,'Blnct AR'!$C$2:$D$2255,2,0))," ")</f>
        <v>Mp - cevc</v>
      </c>
      <c r="E906" s="21" t="s">
        <v>1945</v>
      </c>
      <c r="F906" s="20">
        <v>428773.61</v>
      </c>
      <c r="G906" s="20"/>
      <c r="I906" s="37"/>
    </row>
    <row r="907" spans="1:9" s="14" customFormat="1" ht="15" customHeight="1">
      <c r="A907" s="10">
        <v>44074</v>
      </c>
      <c r="B907" s="8" t="s">
        <v>1932</v>
      </c>
      <c r="C907" s="11">
        <v>43106</v>
      </c>
      <c r="D907" s="12" t="str">
        <f>IF(C907&gt;0,(VLOOKUP(C907,'Blnct AR'!$C$2:$D$2255,2,0))," ")</f>
        <v>Banco BIC - 118133685.15.1</v>
      </c>
      <c r="E907" s="21" t="s">
        <v>2023</v>
      </c>
      <c r="F907" s="20"/>
      <c r="G907" s="20">
        <v>830636.99</v>
      </c>
      <c r="I907" s="37"/>
    </row>
    <row r="908" spans="1:9" s="14" customFormat="1" ht="15" customHeight="1">
      <c r="A908" s="10">
        <v>44074</v>
      </c>
      <c r="B908" s="8" t="s">
        <v>1932</v>
      </c>
      <c r="C908" s="11">
        <v>7111</v>
      </c>
      <c r="D908" s="12" t="str">
        <f>IF(C908&gt;0,(VLOOKUP(C908,'Blnct AR'!$C$2:$D$2255,2,0))," ")</f>
        <v>Mp - cevc</v>
      </c>
      <c r="E908" s="21" t="s">
        <v>2023</v>
      </c>
      <c r="F908" s="20">
        <v>830636.99</v>
      </c>
      <c r="G908" s="20"/>
      <c r="I908" s="37"/>
    </row>
    <row r="909" spans="1:9" s="14" customFormat="1" ht="15" customHeight="1">
      <c r="A909" s="10">
        <v>44074</v>
      </c>
      <c r="B909" s="8" t="s">
        <v>1869</v>
      </c>
      <c r="C909" s="11">
        <v>43106</v>
      </c>
      <c r="D909" s="12" t="str">
        <f>IF(C909&gt;0,(VLOOKUP(C909,'Blnct AR'!$C$2:$D$2255,2,0))," ")</f>
        <v>Banco BIC - 118133685.15.1</v>
      </c>
      <c r="E909" s="21" t="s">
        <v>1869</v>
      </c>
      <c r="F909" s="20"/>
      <c r="G909" s="20">
        <v>600</v>
      </c>
      <c r="I909" s="37"/>
    </row>
    <row r="910" spans="1:9" s="14" customFormat="1" ht="15" customHeight="1">
      <c r="A910" s="10">
        <v>44074</v>
      </c>
      <c r="B910" s="8" t="s">
        <v>1869</v>
      </c>
      <c r="C910" s="11">
        <v>767801</v>
      </c>
      <c r="D910" s="12" t="str">
        <f>IF(C910&gt;0,(VLOOKUP(C910,'Blnct AR'!$C$2:$D$2255,2,0))," ")</f>
        <v>Despesas Operacionais</v>
      </c>
      <c r="E910" s="21" t="s">
        <v>1869</v>
      </c>
      <c r="F910" s="20">
        <v>600</v>
      </c>
      <c r="G910" s="20"/>
      <c r="I910" s="37"/>
    </row>
    <row r="911" spans="1:9" s="14" customFormat="1" ht="15" customHeight="1">
      <c r="A911" s="10">
        <v>44074</v>
      </c>
      <c r="B911" s="8" t="s">
        <v>132</v>
      </c>
      <c r="C911" s="11">
        <v>43106</v>
      </c>
      <c r="D911" s="12" t="str">
        <f>IF(C911&gt;0,(VLOOKUP(C911,'Blnct AR'!$C$2:$D$2255,2,0))," ")</f>
        <v>Banco BIC - 118133685.15.1</v>
      </c>
      <c r="E911" s="21" t="s">
        <v>2042</v>
      </c>
      <c r="F911" s="20"/>
      <c r="G911" s="20">
        <v>118567</v>
      </c>
      <c r="I911" s="37"/>
    </row>
    <row r="912" spans="1:9" s="14" customFormat="1" ht="15" customHeight="1">
      <c r="A912" s="10">
        <v>44074</v>
      </c>
      <c r="B912" s="8" t="s">
        <v>132</v>
      </c>
      <c r="C912" s="11">
        <v>72522</v>
      </c>
      <c r="D912" s="12" t="str">
        <f>IF(C912&gt;0,(VLOOKUP(C912,'Blnct AR'!$C$2:$D$2255,2,0))," ")</f>
        <v>Produção Seg. Social</v>
      </c>
      <c r="E912" s="21" t="s">
        <v>2042</v>
      </c>
      <c r="F912" s="20">
        <v>118567</v>
      </c>
      <c r="G912" s="20"/>
      <c r="I912" s="37"/>
    </row>
    <row r="913" spans="1:9" s="14" customFormat="1" ht="15" customHeight="1">
      <c r="A913" s="10">
        <v>44074</v>
      </c>
      <c r="B913" s="8" t="s">
        <v>1869</v>
      </c>
      <c r="C913" s="11">
        <v>43106</v>
      </c>
      <c r="D913" s="12" t="str">
        <f>IF(C913&gt;0,(VLOOKUP(C913,'Blnct AR'!$C$2:$D$2255,2,0))," ")</f>
        <v>Banco BIC - 118133685.15.1</v>
      </c>
      <c r="E913" s="21" t="s">
        <v>1869</v>
      </c>
      <c r="F913" s="20"/>
      <c r="G913" s="20">
        <v>84</v>
      </c>
      <c r="I913" s="37"/>
    </row>
    <row r="914" spans="1:9" s="14" customFormat="1" ht="15" customHeight="1">
      <c r="A914" s="10">
        <v>44074</v>
      </c>
      <c r="B914" s="8" t="s">
        <v>1869</v>
      </c>
      <c r="C914" s="11">
        <v>75314</v>
      </c>
      <c r="D914" s="12" t="str">
        <f>IF(C914&gt;0,(VLOOKUP(C914,'Blnct AR'!$C$2:$D$2255,2,0))," ")</f>
        <v>IVA Suportado</v>
      </c>
      <c r="E914" s="21" t="s">
        <v>1869</v>
      </c>
      <c r="F914" s="20">
        <v>84</v>
      </c>
      <c r="G914" s="20"/>
      <c r="I914" s="37"/>
    </row>
    <row r="915" spans="1:9" s="14" customFormat="1" ht="15" customHeight="1">
      <c r="A915" s="10">
        <v>44074</v>
      </c>
      <c r="B915" s="8" t="s">
        <v>1409</v>
      </c>
      <c r="C915" s="11">
        <v>43106</v>
      </c>
      <c r="D915" s="12" t="str">
        <f>IF(C915&gt;0,(VLOOKUP(C915,'Blnct AR'!$C$2:$D$2255,2,0))," ")</f>
        <v>Banco BIC - 118133685.15.1</v>
      </c>
      <c r="E915" s="21" t="s">
        <v>1843</v>
      </c>
      <c r="F915" s="20"/>
      <c r="G915" s="20">
        <v>5238256</v>
      </c>
      <c r="I915" s="37"/>
    </row>
    <row r="916" spans="1:9" s="14" customFormat="1" ht="15" customHeight="1">
      <c r="A916" s="10">
        <v>44074</v>
      </c>
      <c r="B916" s="8" t="s">
        <v>1409</v>
      </c>
      <c r="C916" s="11">
        <v>3454112111</v>
      </c>
      <c r="D916" s="12" t="str">
        <f>IF(C916&gt;0,(VLOOKUP(C916,'Blnct AR'!$C$2:$D$2255,2,0))," ")</f>
        <v>IVA Reg. Emp. - Op. gerais - Prest. Serv. - M.interno - 14%</v>
      </c>
      <c r="E916" s="21" t="s">
        <v>1843</v>
      </c>
      <c r="F916" s="20">
        <v>5238256</v>
      </c>
      <c r="G916" s="20"/>
      <c r="I916" s="37"/>
    </row>
    <row r="917" spans="1:9" s="14" customFormat="1" ht="15" customHeight="1">
      <c r="A917" s="10"/>
      <c r="B917" s="8" t="s">
        <v>2010</v>
      </c>
      <c r="C917" s="11"/>
      <c r="D917" s="12" t="str">
        <f>IF(C917&gt;0,(VLOOKUP(C917,'Blnct AR'!$C$2:$D$2255,2,0))," ")</f>
        <v xml:space="preserve"> </v>
      </c>
      <c r="E917" s="21"/>
      <c r="F917" s="20"/>
      <c r="G917" s="20"/>
      <c r="I917" s="37"/>
    </row>
    <row r="918" spans="1:9" s="14" customFormat="1" ht="15" customHeight="1">
      <c r="A918" s="10">
        <v>44074</v>
      </c>
      <c r="B918" s="8" t="s">
        <v>1653</v>
      </c>
      <c r="C918" s="11">
        <v>43103</v>
      </c>
      <c r="D918" s="12" t="str">
        <f>IF(C918&gt;0,(VLOOKUP(C918,'Blnct AR'!$C$2:$D$2255,2,0))," ")</f>
        <v>Milénnium 500471734904 Kz</v>
      </c>
      <c r="E918" s="21" t="s">
        <v>1907</v>
      </c>
      <c r="F918" s="20"/>
      <c r="G918" s="20">
        <v>510900</v>
      </c>
      <c r="I918" s="37"/>
    </row>
    <row r="919" spans="1:9" s="14" customFormat="1" ht="15" customHeight="1">
      <c r="A919" s="10">
        <v>44074</v>
      </c>
      <c r="B919" s="8" t="s">
        <v>1653</v>
      </c>
      <c r="C919" s="11">
        <v>45111</v>
      </c>
      <c r="D919" s="12" t="str">
        <f>IF(C919&gt;0,(VLOOKUP(C919,'Blnct AR'!$C$2:$D$2255,2,0))," ")</f>
        <v>Caixa Geral</v>
      </c>
      <c r="E919" s="21" t="s">
        <v>1907</v>
      </c>
      <c r="F919" s="20">
        <v>510900</v>
      </c>
      <c r="G919" s="20"/>
      <c r="I919" s="37"/>
    </row>
    <row r="920" spans="1:9" s="14" customFormat="1" ht="15" customHeight="1">
      <c r="A920" s="10">
        <v>44074</v>
      </c>
      <c r="B920" s="8" t="s">
        <v>1932</v>
      </c>
      <c r="C920" s="11">
        <v>43103</v>
      </c>
      <c r="D920" s="12" t="str">
        <f>IF(C920&gt;0,(VLOOKUP(C920,'Blnct AR'!$C$2:$D$2255,2,0))," ")</f>
        <v>Milénnium 500471734904 Kz</v>
      </c>
      <c r="E920" s="21" t="s">
        <v>1945</v>
      </c>
      <c r="F920" s="20"/>
      <c r="G920" s="20">
        <v>419620</v>
      </c>
      <c r="I920" s="37"/>
    </row>
    <row r="921" spans="1:9" s="14" customFormat="1" ht="15" customHeight="1">
      <c r="A921" s="10">
        <v>44074</v>
      </c>
      <c r="B921" s="8" t="s">
        <v>1932</v>
      </c>
      <c r="C921" s="11">
        <v>7111</v>
      </c>
      <c r="D921" s="12" t="str">
        <f>IF(C921&gt;0,(VLOOKUP(C921,'Blnct AR'!$C$2:$D$2255,2,0))," ")</f>
        <v>Mp - cevc</v>
      </c>
      <c r="E921" s="21" t="s">
        <v>1945</v>
      </c>
      <c r="F921" s="20">
        <v>419620</v>
      </c>
      <c r="G921" s="20"/>
      <c r="I921" s="37"/>
    </row>
    <row r="922" spans="1:9" s="14" customFormat="1" ht="15" customHeight="1">
      <c r="A922" s="10">
        <v>44074</v>
      </c>
      <c r="B922" s="8" t="s">
        <v>1844</v>
      </c>
      <c r="C922" s="11">
        <v>43103</v>
      </c>
      <c r="D922" s="12" t="str">
        <f>IF(C922&gt;0,(VLOOKUP(C922,'Blnct AR'!$C$2:$D$2255,2,0))," ")</f>
        <v>Milénnium 500471734904 Kz</v>
      </c>
      <c r="E922" s="21" t="s">
        <v>1947</v>
      </c>
      <c r="F922" s="20"/>
      <c r="G922" s="20">
        <v>344074.44999999995</v>
      </c>
      <c r="I922" s="37"/>
    </row>
    <row r="923" spans="1:9" s="14" customFormat="1" ht="15" customHeight="1">
      <c r="A923" s="10">
        <v>44074</v>
      </c>
      <c r="B923" s="8" t="s">
        <v>1844</v>
      </c>
      <c r="C923" s="11">
        <v>7522122</v>
      </c>
      <c r="D923" s="12" t="str">
        <f>IF(C923&gt;0,(VLOOKUP(C923,'Blnct AR'!$C$2:$D$2255,2,0))," ")</f>
        <v>Aluguer de Viatura</v>
      </c>
      <c r="E923" s="21" t="s">
        <v>1947</v>
      </c>
      <c r="F923" s="20">
        <v>344074.44999999995</v>
      </c>
      <c r="G923" s="20"/>
      <c r="I923" s="37"/>
    </row>
    <row r="924" spans="1:9" s="14" customFormat="1" ht="15" customHeight="1">
      <c r="A924" s="10">
        <v>44074</v>
      </c>
      <c r="B924" s="8" t="s">
        <v>1869</v>
      </c>
      <c r="C924" s="11">
        <v>43103</v>
      </c>
      <c r="D924" s="12" t="str">
        <f>IF(C924&gt;0,(VLOOKUP(C924,'Blnct AR'!$C$2:$D$2255,2,0))," ")</f>
        <v>Milénnium 500471734904 Kz</v>
      </c>
      <c r="E924" s="21" t="s">
        <v>1869</v>
      </c>
      <c r="F924" s="20"/>
      <c r="G924" s="20">
        <v>3850</v>
      </c>
      <c r="I924" s="37"/>
    </row>
    <row r="925" spans="1:9" s="14" customFormat="1" ht="15" customHeight="1">
      <c r="A925" s="10">
        <v>44074</v>
      </c>
      <c r="B925" s="8" t="s">
        <v>1869</v>
      </c>
      <c r="C925" s="11">
        <v>767801</v>
      </c>
      <c r="D925" s="12" t="str">
        <f>IF(C925&gt;0,(VLOOKUP(C925,'Blnct AR'!$C$2:$D$2255,2,0))," ")</f>
        <v>Despesas Operacionais</v>
      </c>
      <c r="E925" s="21" t="s">
        <v>1869</v>
      </c>
      <c r="F925" s="20">
        <v>3850</v>
      </c>
      <c r="G925" s="20"/>
      <c r="I925" s="37"/>
    </row>
    <row r="926" spans="1:9" s="14" customFormat="1" ht="15" customHeight="1">
      <c r="A926" s="10">
        <v>44074</v>
      </c>
      <c r="B926" s="8" t="s">
        <v>1116</v>
      </c>
      <c r="C926" s="11">
        <v>43103</v>
      </c>
      <c r="D926" s="12" t="str">
        <f>IF(C926&gt;0,(VLOOKUP(C926,'Blnct AR'!$C$2:$D$2255,2,0))," ")</f>
        <v>Milénnium 500471734904 Kz</v>
      </c>
      <c r="E926" s="21" t="s">
        <v>2043</v>
      </c>
      <c r="F926" s="20"/>
      <c r="G926" s="20">
        <v>1621520</v>
      </c>
      <c r="I926" s="37"/>
    </row>
    <row r="927" spans="1:9" s="14" customFormat="1" ht="15" customHeight="1">
      <c r="A927" s="10">
        <v>44074</v>
      </c>
      <c r="B927" s="8" t="s">
        <v>1116</v>
      </c>
      <c r="C927" s="11">
        <v>72211</v>
      </c>
      <c r="D927" s="12" t="str">
        <f>IF(C927&gt;0,(VLOOKUP(C927,'Blnct AR'!$C$2:$D$2255,2,0))," ")</f>
        <v>Ordenados</v>
      </c>
      <c r="E927" s="21" t="s">
        <v>2043</v>
      </c>
      <c r="F927" s="20">
        <v>1621520</v>
      </c>
      <c r="G927" s="20"/>
      <c r="I927" s="37"/>
    </row>
    <row r="928" spans="1:9" s="14" customFormat="1" ht="15" customHeight="1">
      <c r="A928" s="10">
        <v>44074</v>
      </c>
      <c r="B928" s="8" t="s">
        <v>1949</v>
      </c>
      <c r="C928" s="11">
        <v>43103</v>
      </c>
      <c r="D928" s="12" t="str">
        <f>IF(C928&gt;0,(VLOOKUP(C928,'Blnct AR'!$C$2:$D$2255,2,0))," ")</f>
        <v>Milénnium 500471734904 Kz</v>
      </c>
      <c r="E928" s="21" t="s">
        <v>43</v>
      </c>
      <c r="F928" s="20"/>
      <c r="G928" s="20">
        <v>176750</v>
      </c>
      <c r="I928" s="37"/>
    </row>
    <row r="929" spans="1:9" s="14" customFormat="1" ht="15" customHeight="1">
      <c r="A929" s="10">
        <v>44074</v>
      </c>
      <c r="B929" s="8" t="s">
        <v>1949</v>
      </c>
      <c r="C929" s="11">
        <v>75216</v>
      </c>
      <c r="D929" s="12" t="str">
        <f>IF(C929&gt;0,(VLOOKUP(C929,'Blnct AR'!$C$2:$D$2255,2,0))," ")</f>
        <v>Ferrament.e utensílios desg.rápido</v>
      </c>
      <c r="E929" s="21" t="s">
        <v>43</v>
      </c>
      <c r="F929" s="20">
        <v>176750</v>
      </c>
      <c r="G929" s="20"/>
      <c r="I929" s="37"/>
    </row>
    <row r="930" spans="1:9" s="14" customFormat="1" ht="15" customHeight="1">
      <c r="A930" s="10">
        <v>44074</v>
      </c>
      <c r="B930" s="8" t="s">
        <v>59</v>
      </c>
      <c r="C930" s="11">
        <v>43103</v>
      </c>
      <c r="D930" s="12" t="str">
        <f>IF(C930&gt;0,(VLOOKUP(C930,'Blnct AR'!$C$2:$D$2255,2,0))," ")</f>
        <v>Milénnium 500471734904 Kz</v>
      </c>
      <c r="E930" s="21" t="s">
        <v>1982</v>
      </c>
      <c r="F930" s="20"/>
      <c r="G930" s="20">
        <v>30235</v>
      </c>
      <c r="I930" s="37"/>
    </row>
    <row r="931" spans="1:9" s="14" customFormat="1" ht="15" customHeight="1">
      <c r="A931" s="10">
        <v>44074</v>
      </c>
      <c r="B931" s="8" t="s">
        <v>59</v>
      </c>
      <c r="C931" s="11">
        <v>75217</v>
      </c>
      <c r="D931" s="12" t="str">
        <f>IF(C931&gt;0,(VLOOKUP(C931,'Blnct AR'!$C$2:$D$2255,2,0))," ")</f>
        <v>Material de escritório</v>
      </c>
      <c r="E931" s="21" t="s">
        <v>1982</v>
      </c>
      <c r="F931" s="20">
        <v>30235</v>
      </c>
      <c r="G931" s="20"/>
      <c r="I931" s="37"/>
    </row>
    <row r="932" spans="1:9" s="14" customFormat="1" ht="15" customHeight="1">
      <c r="A932" s="10">
        <v>44074</v>
      </c>
      <c r="B932" s="8" t="s">
        <v>1922</v>
      </c>
      <c r="C932" s="11">
        <v>43103</v>
      </c>
      <c r="D932" s="12" t="str">
        <f>IF(C932&gt;0,(VLOOKUP(C932,'Blnct AR'!$C$2:$D$2255,2,0))," ")</f>
        <v>Milénnium 500471734904 Kz</v>
      </c>
      <c r="E932" s="21" t="s">
        <v>1911</v>
      </c>
      <c r="F932" s="20"/>
      <c r="G932" s="20">
        <v>98950</v>
      </c>
      <c r="I932" s="37"/>
    </row>
    <row r="933" spans="1:9" s="14" customFormat="1" ht="15" customHeight="1">
      <c r="A933" s="10">
        <v>44074</v>
      </c>
      <c r="B933" s="8" t="s">
        <v>1922</v>
      </c>
      <c r="C933" s="11">
        <v>752202</v>
      </c>
      <c r="D933" s="12" t="str">
        <f>IF(C933&gt;0,(VLOOKUP(C933,'Blnct AR'!$C$2:$D$2255,2,0))," ")</f>
        <v>Telefone Móvel / Internet</v>
      </c>
      <c r="E933" s="21" t="s">
        <v>1911</v>
      </c>
      <c r="F933" s="20">
        <v>98950</v>
      </c>
      <c r="G933" s="20"/>
      <c r="I933" s="37"/>
    </row>
    <row r="934" spans="1:9" s="14" customFormat="1" ht="15" customHeight="1">
      <c r="A934" s="10">
        <v>44074</v>
      </c>
      <c r="B934" s="8" t="s">
        <v>1984</v>
      </c>
      <c r="C934" s="11">
        <v>43103</v>
      </c>
      <c r="D934" s="12" t="str">
        <f>IF(C934&gt;0,(VLOOKUP(C934,'Blnct AR'!$C$2:$D$2255,2,0))," ")</f>
        <v>Milénnium 500471734904 Kz</v>
      </c>
      <c r="E934" s="21" t="s">
        <v>2006</v>
      </c>
      <c r="F934" s="20"/>
      <c r="G934" s="20">
        <v>18300</v>
      </c>
      <c r="I934" s="37"/>
    </row>
    <row r="935" spans="1:9" s="14" customFormat="1" ht="15" customHeight="1">
      <c r="A935" s="10">
        <v>44074</v>
      </c>
      <c r="B935" s="8" t="s">
        <v>1984</v>
      </c>
      <c r="C935" s="11">
        <v>752231</v>
      </c>
      <c r="D935" s="12" t="str">
        <f>IF(C935&gt;0,(VLOOKUP(C935,'Blnct AR'!$C$2:$D$2255,2,0))," ")</f>
        <v>Refeições e estadas</v>
      </c>
      <c r="E935" s="21" t="s">
        <v>2006</v>
      </c>
      <c r="F935" s="20">
        <v>18300</v>
      </c>
      <c r="G935" s="20"/>
      <c r="I935" s="37"/>
    </row>
    <row r="936" spans="1:9" s="14" customFormat="1" ht="15" customHeight="1">
      <c r="A936" s="10">
        <v>44074</v>
      </c>
      <c r="B936" s="8" t="s">
        <v>1848</v>
      </c>
      <c r="C936" s="11">
        <v>43103</v>
      </c>
      <c r="D936" s="12" t="str">
        <f>IF(C936&gt;0,(VLOOKUP(C936,'Blnct AR'!$C$2:$D$2255,2,0))," ")</f>
        <v>Milénnium 500471734904 Kz</v>
      </c>
      <c r="E936" s="21" t="s">
        <v>2044</v>
      </c>
      <c r="F936" s="20"/>
      <c r="G936" s="20">
        <v>182325</v>
      </c>
      <c r="I936" s="37"/>
    </row>
    <row r="937" spans="1:9" s="14" customFormat="1" ht="15" customHeight="1">
      <c r="A937" s="10">
        <v>44074</v>
      </c>
      <c r="B937" s="8" t="s">
        <v>1848</v>
      </c>
      <c r="C937" s="11">
        <v>75227</v>
      </c>
      <c r="D937" s="12" t="str">
        <f>IF(C937&gt;0,(VLOOKUP(C937,'Blnct AR'!$C$2:$D$2255,2,0))," ")</f>
        <v>Vigilância e segurança</v>
      </c>
      <c r="E937" s="21" t="s">
        <v>2044</v>
      </c>
      <c r="F937" s="20">
        <v>182325</v>
      </c>
      <c r="G937" s="20"/>
      <c r="I937" s="37"/>
    </row>
    <row r="938" spans="1:9" s="14" customFormat="1" ht="15" customHeight="1">
      <c r="A938" s="10">
        <v>44074</v>
      </c>
      <c r="B938" s="8" t="s">
        <v>1921</v>
      </c>
      <c r="C938" s="11">
        <v>43103</v>
      </c>
      <c r="D938" s="12" t="str">
        <f>IF(C938&gt;0,(VLOOKUP(C938,'Blnct AR'!$C$2:$D$2255,2,0))," ")</f>
        <v>Milénnium 500471734904 Kz</v>
      </c>
      <c r="E938" s="21" t="s">
        <v>1860</v>
      </c>
      <c r="F938" s="20"/>
      <c r="G938" s="20">
        <v>61490</v>
      </c>
      <c r="I938" s="37"/>
    </row>
    <row r="939" spans="1:9" s="14" customFormat="1" ht="15" customHeight="1">
      <c r="A939" s="10">
        <v>44074</v>
      </c>
      <c r="B939" s="8" t="s">
        <v>1921</v>
      </c>
      <c r="C939" s="11">
        <v>75228</v>
      </c>
      <c r="D939" s="12" t="str">
        <f>IF(C939&gt;0,(VLOOKUP(C939,'Blnct AR'!$C$2:$D$2255,2,0))," ")</f>
        <v>Limpeza, higiene e conforto</v>
      </c>
      <c r="E939" s="21" t="s">
        <v>1860</v>
      </c>
      <c r="F939" s="20">
        <v>61490</v>
      </c>
      <c r="G939" s="20"/>
      <c r="I939" s="37"/>
    </row>
    <row r="940" spans="1:9" s="14" customFormat="1" ht="15" customHeight="1">
      <c r="A940" s="10">
        <v>44074</v>
      </c>
      <c r="B940" s="8" t="s">
        <v>1955</v>
      </c>
      <c r="C940" s="11">
        <v>43103</v>
      </c>
      <c r="D940" s="12" t="str">
        <f>IF(C940&gt;0,(VLOOKUP(C940,'Blnct AR'!$C$2:$D$2255,2,0))," ")</f>
        <v>Milénnium 500471734904 Kz</v>
      </c>
      <c r="E940" s="21" t="s">
        <v>1861</v>
      </c>
      <c r="F940" s="20"/>
      <c r="G940" s="20">
        <v>18501.8</v>
      </c>
      <c r="I940" s="37"/>
    </row>
    <row r="941" spans="1:9" s="14" customFormat="1" ht="15" customHeight="1">
      <c r="A941" s="10">
        <v>44074</v>
      </c>
      <c r="B941" s="8" t="s">
        <v>1955</v>
      </c>
      <c r="C941" s="11">
        <v>752131</v>
      </c>
      <c r="D941" s="12" t="str">
        <f>IF(C941&gt;0,(VLOOKUP(C941,'Blnct AR'!$C$2:$D$2255,2,0))," ")</f>
        <v>Gasoleo</v>
      </c>
      <c r="E941" s="21" t="s">
        <v>1861</v>
      </c>
      <c r="F941" s="20">
        <v>18501.8</v>
      </c>
      <c r="G941" s="20"/>
      <c r="I941" s="37"/>
    </row>
    <row r="942" spans="1:9" s="14" customFormat="1" ht="15" customHeight="1">
      <c r="A942" s="10">
        <v>44074</v>
      </c>
      <c r="B942" s="8" t="s">
        <v>1986</v>
      </c>
      <c r="C942" s="11">
        <v>43103</v>
      </c>
      <c r="D942" s="12" t="str">
        <f>IF(C942&gt;0,(VLOOKUP(C942,'Blnct AR'!$C$2:$D$2255,2,0))," ")</f>
        <v>Milénnium 500471734904 Kz</v>
      </c>
      <c r="E942" s="21" t="s">
        <v>2045</v>
      </c>
      <c r="F942" s="20"/>
      <c r="G942" s="20">
        <v>35500</v>
      </c>
      <c r="I942" s="37"/>
    </row>
    <row r="943" spans="1:9" s="14" customFormat="1" ht="15" customHeight="1">
      <c r="A943" s="10">
        <v>44074</v>
      </c>
      <c r="B943" s="8" t="s">
        <v>1986</v>
      </c>
      <c r="C943" s="11">
        <v>752142</v>
      </c>
      <c r="D943" s="12" t="str">
        <f>IF(C943&gt;0,(VLOOKUP(C943,'Blnct AR'!$C$2:$D$2255,2,0))," ")</f>
        <v>Edifícios e outras construções</v>
      </c>
      <c r="E943" s="21" t="s">
        <v>2045</v>
      </c>
      <c r="F943" s="20">
        <v>35500</v>
      </c>
      <c r="G943" s="20"/>
      <c r="I943" s="37"/>
    </row>
    <row r="944" spans="1:9" s="14" customFormat="1" ht="15" customHeight="1">
      <c r="A944" s="10">
        <v>44074</v>
      </c>
      <c r="B944" s="8" t="s">
        <v>1961</v>
      </c>
      <c r="C944" s="11">
        <v>43103</v>
      </c>
      <c r="D944" s="12" t="str">
        <f>IF(C944&gt;0,(VLOOKUP(C944,'Blnct AR'!$C$2:$D$2255,2,0))," ")</f>
        <v>Milénnium 500471734904 Kz</v>
      </c>
      <c r="E944" s="21" t="s">
        <v>1840</v>
      </c>
      <c r="F944" s="20"/>
      <c r="G944" s="20">
        <v>1261000</v>
      </c>
      <c r="I944" s="37"/>
    </row>
    <row r="945" spans="1:9" s="14" customFormat="1" ht="15" customHeight="1">
      <c r="A945" s="10">
        <v>44074</v>
      </c>
      <c r="B945" s="8" t="s">
        <v>1961</v>
      </c>
      <c r="C945" s="11">
        <v>752144</v>
      </c>
      <c r="D945" s="12" t="str">
        <f>IF(C945&gt;0,(VLOOKUP(C945,'Blnct AR'!$C$2:$D$2255,2,0))," ")</f>
        <v>Equipamento de carga e transporte</v>
      </c>
      <c r="E945" s="21" t="s">
        <v>1840</v>
      </c>
      <c r="F945" s="20">
        <v>1261000</v>
      </c>
      <c r="G945" s="20"/>
      <c r="I945" s="37"/>
    </row>
    <row r="946" spans="1:9" s="14" customFormat="1" ht="15" customHeight="1">
      <c r="A946" s="10">
        <v>44074</v>
      </c>
      <c r="B946" s="8" t="s">
        <v>1873</v>
      </c>
      <c r="C946" s="11">
        <v>43103</v>
      </c>
      <c r="D946" s="12" t="str">
        <f>IF(C946&gt;0,(VLOOKUP(C946,'Blnct AR'!$C$2:$D$2255,2,0))," ")</f>
        <v>Milénnium 500471734904 Kz</v>
      </c>
      <c r="E946" s="21" t="s">
        <v>1997</v>
      </c>
      <c r="F946" s="20"/>
      <c r="G946" s="20">
        <v>202080</v>
      </c>
      <c r="I946" s="37"/>
    </row>
    <row r="947" spans="1:9" s="14" customFormat="1" ht="15" customHeight="1">
      <c r="A947" s="10">
        <v>44074</v>
      </c>
      <c r="B947" s="8" t="s">
        <v>1873</v>
      </c>
      <c r="C947" s="11">
        <v>752211</v>
      </c>
      <c r="D947" s="12" t="str">
        <f>IF(C947&gt;0,(VLOOKUP(C947,'Blnct AR'!$C$2:$D$2255,2,0))," ")</f>
        <v>Rendas de imóveis Prefor</v>
      </c>
      <c r="E947" s="21" t="s">
        <v>1997</v>
      </c>
      <c r="F947" s="20">
        <v>202080</v>
      </c>
      <c r="G947" s="20"/>
      <c r="I947" s="37"/>
    </row>
    <row r="948" spans="1:9" s="14" customFormat="1" ht="15" customHeight="1">
      <c r="A948" s="10">
        <v>44074</v>
      </c>
      <c r="B948" s="8" t="s">
        <v>1873</v>
      </c>
      <c r="C948" s="11">
        <v>43103</v>
      </c>
      <c r="D948" s="12" t="str">
        <f>IF(C948&gt;0,(VLOOKUP(C948,'Blnct AR'!$C$2:$D$2255,2,0))," ")</f>
        <v>Milénnium 500471734904 Kz</v>
      </c>
      <c r="E948" s="21" t="s">
        <v>1998</v>
      </c>
      <c r="F948" s="20"/>
      <c r="G948" s="20">
        <v>352000</v>
      </c>
      <c r="I948" s="37"/>
    </row>
    <row r="949" spans="1:9" s="14" customFormat="1" ht="15" customHeight="1">
      <c r="A949" s="10">
        <v>44074</v>
      </c>
      <c r="B949" s="8" t="s">
        <v>1873</v>
      </c>
      <c r="C949" s="11">
        <v>752212</v>
      </c>
      <c r="D949" s="12" t="str">
        <f>IF(C949&gt;0,(VLOOKUP(C949,'Blnct AR'!$C$2:$D$2255,2,0))," ")</f>
        <v>Rendas de imóveis Cofrialarme</v>
      </c>
      <c r="E949" s="21" t="s">
        <v>1998</v>
      </c>
      <c r="F949" s="20">
        <v>352000</v>
      </c>
      <c r="G949" s="20"/>
      <c r="I949" s="37"/>
    </row>
    <row r="950" spans="1:9" s="14" customFormat="1" ht="15" customHeight="1">
      <c r="A950" s="10">
        <v>44074</v>
      </c>
      <c r="B950" s="8" t="s">
        <v>1869</v>
      </c>
      <c r="C950" s="11">
        <v>43103</v>
      </c>
      <c r="D950" s="12" t="str">
        <f>IF(C950&gt;0,(VLOOKUP(C950,'Blnct AR'!$C$2:$D$2255,2,0))," ")</f>
        <v>Milénnium 500471734904 Kz</v>
      </c>
      <c r="E950" s="21" t="s">
        <v>1869</v>
      </c>
      <c r="F950" s="20"/>
      <c r="G950" s="20">
        <v>539</v>
      </c>
      <c r="I950" s="37"/>
    </row>
    <row r="951" spans="1:9" s="14" customFormat="1" ht="15" customHeight="1">
      <c r="A951" s="10">
        <v>44074</v>
      </c>
      <c r="B951" s="8" t="s">
        <v>1869</v>
      </c>
      <c r="C951" s="11">
        <v>75314</v>
      </c>
      <c r="D951" s="12" t="str">
        <f>IF(C951&gt;0,(VLOOKUP(C951,'Blnct AR'!$C$2:$D$2255,2,0))," ")</f>
        <v>IVA Suportado</v>
      </c>
      <c r="E951" s="21" t="s">
        <v>1869</v>
      </c>
      <c r="F951" s="20">
        <v>539</v>
      </c>
      <c r="G951" s="20"/>
      <c r="I951" s="37"/>
    </row>
    <row r="952" spans="1:9" s="14" customFormat="1" ht="15" customHeight="1">
      <c r="A952" s="10"/>
      <c r="B952" s="8" t="s">
        <v>2008</v>
      </c>
      <c r="C952" s="11"/>
      <c r="D952" s="12" t="str">
        <f>IF(C952&gt;0,(VLOOKUP(C952,'Blnct AR'!$C$2:$D$2255,2,0))," ")</f>
        <v xml:space="preserve"> </v>
      </c>
      <c r="E952" s="21"/>
      <c r="F952" s="20"/>
      <c r="G952" s="20"/>
      <c r="I952" s="37"/>
    </row>
    <row r="953" spans="1:9" s="14" customFormat="1" ht="15" customHeight="1">
      <c r="A953" s="10">
        <v>44104</v>
      </c>
      <c r="B953" s="8" t="s">
        <v>1922</v>
      </c>
      <c r="C953" s="11">
        <v>43101</v>
      </c>
      <c r="D953" s="12" t="str">
        <f>IF(C953&gt;0,(VLOOKUP(C953,'Blnct AR'!$C$2:$D$2255,2,0))," ")</f>
        <v>Banco - BFA</v>
      </c>
      <c r="E953" s="21" t="s">
        <v>1911</v>
      </c>
      <c r="F953" s="20"/>
      <c r="G953" s="20">
        <v>35000.050000000003</v>
      </c>
      <c r="I953" s="37"/>
    </row>
    <row r="954" spans="1:9" s="14" customFormat="1" ht="15" customHeight="1">
      <c r="A954" s="10">
        <v>44104</v>
      </c>
      <c r="B954" s="8" t="s">
        <v>1922</v>
      </c>
      <c r="C954" s="11">
        <v>752202</v>
      </c>
      <c r="D954" s="12" t="str">
        <f>IF(C954&gt;0,(VLOOKUP(C954,'Blnct AR'!$C$2:$D$2255,2,0))," ")</f>
        <v>Telefone Móvel / Internet</v>
      </c>
      <c r="E954" s="21" t="s">
        <v>1911</v>
      </c>
      <c r="F954" s="20">
        <v>35000.050000000003</v>
      </c>
      <c r="G954" s="20"/>
      <c r="I954" s="37"/>
    </row>
    <row r="955" spans="1:9" s="14" customFormat="1" ht="15" customHeight="1">
      <c r="A955" s="10">
        <v>44104</v>
      </c>
      <c r="B955" s="8" t="s">
        <v>1116</v>
      </c>
      <c r="C955" s="11">
        <v>43101</v>
      </c>
      <c r="D955" s="12" t="str">
        <f>IF(C955&gt;0,(VLOOKUP(C955,'Blnct AR'!$C$2:$D$2255,2,0))," ")</f>
        <v>Banco - BFA</v>
      </c>
      <c r="E955" s="21" t="s">
        <v>1925</v>
      </c>
      <c r="F955" s="20"/>
      <c r="G955" s="20">
        <v>60000</v>
      </c>
      <c r="I955" s="37"/>
    </row>
    <row r="956" spans="1:9" s="14" customFormat="1" ht="15" customHeight="1">
      <c r="A956" s="10">
        <v>44104</v>
      </c>
      <c r="B956" s="8" t="s">
        <v>1116</v>
      </c>
      <c r="C956" s="11">
        <v>72211</v>
      </c>
      <c r="D956" s="12" t="str">
        <f>IF(C956&gt;0,(VLOOKUP(C956,'Blnct AR'!$C$2:$D$2255,2,0))," ")</f>
        <v>Ordenados</v>
      </c>
      <c r="E956" s="21" t="s">
        <v>1925</v>
      </c>
      <c r="F956" s="20">
        <v>60000</v>
      </c>
      <c r="G956" s="20"/>
      <c r="I956" s="37"/>
    </row>
    <row r="957" spans="1:9" s="14" customFormat="1" ht="15" customHeight="1">
      <c r="A957" s="10"/>
      <c r="B957" s="8" t="s">
        <v>2009</v>
      </c>
      <c r="C957" s="11"/>
      <c r="D957" s="12" t="str">
        <f>IF(C957&gt;0,(VLOOKUP(C957,'Blnct AR'!$C$2:$D$2255,2,0))," ")</f>
        <v xml:space="preserve"> </v>
      </c>
      <c r="E957" s="21"/>
      <c r="F957" s="20"/>
      <c r="G957" s="20"/>
      <c r="I957" s="37"/>
    </row>
    <row r="958" spans="1:9" s="14" customFormat="1" ht="15" customHeight="1">
      <c r="A958" s="10">
        <v>44104</v>
      </c>
      <c r="B958" s="8" t="s">
        <v>1932</v>
      </c>
      <c r="C958" s="11">
        <v>43106</v>
      </c>
      <c r="D958" s="12" t="str">
        <f>IF(C958&gt;0,(VLOOKUP(C958,'Blnct AR'!$C$2:$D$2255,2,0))," ")</f>
        <v>Banco BIC - 118133685.15.1</v>
      </c>
      <c r="E958" s="21" t="s">
        <v>1945</v>
      </c>
      <c r="F958" s="20"/>
      <c r="G958" s="20">
        <v>2002363.68</v>
      </c>
      <c r="I958" s="37"/>
    </row>
    <row r="959" spans="1:9" s="14" customFormat="1" ht="15" customHeight="1">
      <c r="A959" s="10">
        <v>44104</v>
      </c>
      <c r="B959" s="8" t="s">
        <v>1932</v>
      </c>
      <c r="C959" s="11">
        <v>7111</v>
      </c>
      <c r="D959" s="12" t="str">
        <f>IF(C959&gt;0,(VLOOKUP(C959,'Blnct AR'!$C$2:$D$2255,2,0))," ")</f>
        <v>Mp - cevc</v>
      </c>
      <c r="E959" s="21" t="s">
        <v>1945</v>
      </c>
      <c r="F959" s="20">
        <v>2002363.68</v>
      </c>
      <c r="G959" s="20"/>
      <c r="I959" s="37"/>
    </row>
    <row r="960" spans="1:9" s="14" customFormat="1" ht="15" customHeight="1">
      <c r="A960" s="10">
        <v>44104</v>
      </c>
      <c r="B960" s="8" t="s">
        <v>1869</v>
      </c>
      <c r="C960" s="11">
        <v>43106</v>
      </c>
      <c r="D960" s="12" t="str">
        <f>IF(C960&gt;0,(VLOOKUP(C960,'Blnct AR'!$C$2:$D$2255,2,0))," ")</f>
        <v>Banco BIC - 118133685.15.1</v>
      </c>
      <c r="E960" s="21" t="s">
        <v>1869</v>
      </c>
      <c r="F960" s="20"/>
      <c r="G960" s="20">
        <v>3000</v>
      </c>
      <c r="I960" s="37"/>
    </row>
    <row r="961" spans="1:9" s="14" customFormat="1" ht="15" customHeight="1">
      <c r="A961" s="10">
        <v>44104</v>
      </c>
      <c r="B961" s="8" t="s">
        <v>1869</v>
      </c>
      <c r="C961" s="11">
        <v>767801</v>
      </c>
      <c r="D961" s="12" t="str">
        <f>IF(C961&gt;0,(VLOOKUP(C961,'Blnct AR'!$C$2:$D$2255,2,0))," ")</f>
        <v>Despesas Operacionais</v>
      </c>
      <c r="E961" s="21" t="s">
        <v>1869</v>
      </c>
      <c r="F961" s="20">
        <v>3000</v>
      </c>
      <c r="G961" s="20"/>
      <c r="I961" s="37"/>
    </row>
    <row r="962" spans="1:9" s="14" customFormat="1" ht="15" customHeight="1">
      <c r="A962" s="10">
        <v>44104</v>
      </c>
      <c r="B962" s="8" t="s">
        <v>132</v>
      </c>
      <c r="C962" s="11">
        <v>43106</v>
      </c>
      <c r="D962" s="12" t="str">
        <f>IF(C962&gt;0,(VLOOKUP(C962,'Blnct AR'!$C$2:$D$2255,2,0))," ")</f>
        <v>Banco BIC - 118133685.15.1</v>
      </c>
      <c r="E962" s="21" t="s">
        <v>2046</v>
      </c>
      <c r="F962" s="20"/>
      <c r="G962" s="20">
        <v>70400</v>
      </c>
      <c r="I962" s="37"/>
    </row>
    <row r="963" spans="1:9" s="14" customFormat="1" ht="15" customHeight="1">
      <c r="A963" s="10">
        <v>44104</v>
      </c>
      <c r="B963" s="8" t="s">
        <v>132</v>
      </c>
      <c r="C963" s="11">
        <v>72522</v>
      </c>
      <c r="D963" s="12" t="str">
        <f>IF(C963&gt;0,(VLOOKUP(C963,'Blnct AR'!$C$2:$D$2255,2,0))," ")</f>
        <v>Produção Seg. Social</v>
      </c>
      <c r="E963" s="21" t="s">
        <v>2046</v>
      </c>
      <c r="F963" s="20">
        <v>70400</v>
      </c>
      <c r="G963" s="20"/>
      <c r="I963" s="37"/>
    </row>
    <row r="964" spans="1:9" s="14" customFormat="1" ht="15" customHeight="1">
      <c r="A964" s="10">
        <v>44104</v>
      </c>
      <c r="B964" s="8" t="s">
        <v>1976</v>
      </c>
      <c r="C964" s="11">
        <v>43106</v>
      </c>
      <c r="D964" s="12" t="str">
        <f>IF(C964&gt;0,(VLOOKUP(C964,'Blnct AR'!$C$2:$D$2255,2,0))," ")</f>
        <v>Banco BIC - 118133685.15.1</v>
      </c>
      <c r="E964" s="21" t="s">
        <v>1972</v>
      </c>
      <c r="F964" s="20"/>
      <c r="G964" s="20">
        <v>4500000</v>
      </c>
      <c r="I964" s="37"/>
    </row>
    <row r="965" spans="1:9" s="14" customFormat="1" ht="15" customHeight="1">
      <c r="A965" s="10">
        <v>44104</v>
      </c>
      <c r="B965" s="8" t="s">
        <v>1976</v>
      </c>
      <c r="C965" s="11">
        <v>75113</v>
      </c>
      <c r="D965" s="12" t="str">
        <f>IF(C965&gt;0,(VLOOKUP(C965,'Blnct AR'!$C$2:$D$2255,2,0))," ")</f>
        <v>Empreitada B13 Cimaleste</v>
      </c>
      <c r="E965" s="21" t="s">
        <v>1972</v>
      </c>
      <c r="F965" s="20">
        <v>4500000</v>
      </c>
      <c r="G965" s="20"/>
      <c r="I965" s="37"/>
    </row>
    <row r="966" spans="1:9" s="14" customFormat="1" ht="15" customHeight="1">
      <c r="A966" s="10">
        <v>44104</v>
      </c>
      <c r="B966" s="8" t="s">
        <v>1984</v>
      </c>
      <c r="C966" s="11">
        <v>43106</v>
      </c>
      <c r="D966" s="12" t="str">
        <f>IF(C966&gt;0,(VLOOKUP(C966,'Blnct AR'!$C$2:$D$2255,2,0))," ")</f>
        <v>Banco BIC - 118133685.15.1</v>
      </c>
      <c r="E966" s="21" t="s">
        <v>2047</v>
      </c>
      <c r="F966" s="20"/>
      <c r="G966" s="20">
        <v>5179902</v>
      </c>
      <c r="I966" s="37"/>
    </row>
    <row r="967" spans="1:9" s="14" customFormat="1" ht="15" customHeight="1">
      <c r="A967" s="10">
        <v>44104</v>
      </c>
      <c r="B967" s="8" t="s">
        <v>1984</v>
      </c>
      <c r="C967" s="11">
        <v>752231</v>
      </c>
      <c r="D967" s="12" t="str">
        <f>IF(C967&gt;0,(VLOOKUP(C967,'Blnct AR'!$C$2:$D$2255,2,0))," ")</f>
        <v>Refeições e estadas</v>
      </c>
      <c r="E967" s="21" t="s">
        <v>2047</v>
      </c>
      <c r="F967" s="20">
        <v>5179902</v>
      </c>
      <c r="G967" s="20"/>
      <c r="I967" s="37"/>
    </row>
    <row r="968" spans="1:9" s="14" customFormat="1" ht="15" customHeight="1">
      <c r="A968" s="10">
        <v>44104</v>
      </c>
      <c r="B968" s="8" t="s">
        <v>1873</v>
      </c>
      <c r="C968" s="11">
        <v>43106</v>
      </c>
      <c r="D968" s="12" t="str">
        <f>IF(C968&gt;0,(VLOOKUP(C968,'Blnct AR'!$C$2:$D$2255,2,0))," ")</f>
        <v>Banco BIC - 118133685.15.1</v>
      </c>
      <c r="E968" s="21" t="s">
        <v>1998</v>
      </c>
      <c r="F968" s="20"/>
      <c r="G968" s="20">
        <v>352000</v>
      </c>
      <c r="I968" s="37"/>
    </row>
    <row r="969" spans="1:9" s="14" customFormat="1" ht="15" customHeight="1">
      <c r="A969" s="10">
        <v>44104</v>
      </c>
      <c r="B969" s="8" t="s">
        <v>1873</v>
      </c>
      <c r="C969" s="11">
        <v>752212</v>
      </c>
      <c r="D969" s="12" t="str">
        <f>IF(C969&gt;0,(VLOOKUP(C969,'Blnct AR'!$C$2:$D$2255,2,0))," ")</f>
        <v>Rendas de imóveis Cofrialarme</v>
      </c>
      <c r="E969" s="21" t="s">
        <v>1998</v>
      </c>
      <c r="F969" s="20">
        <v>352000</v>
      </c>
      <c r="G969" s="20"/>
      <c r="I969" s="37"/>
    </row>
    <row r="970" spans="1:9" s="14" customFormat="1" ht="15" customHeight="1">
      <c r="A970" s="10">
        <v>44104</v>
      </c>
      <c r="B970" s="8" t="s">
        <v>1961</v>
      </c>
      <c r="C970" s="11">
        <v>43106</v>
      </c>
      <c r="D970" s="12" t="str">
        <f>IF(C970&gt;0,(VLOOKUP(C970,'Blnct AR'!$C$2:$D$2255,2,0))," ")</f>
        <v>Banco BIC - 118133685.15.1</v>
      </c>
      <c r="E970" s="21" t="s">
        <v>1840</v>
      </c>
      <c r="F970" s="20"/>
      <c r="G970" s="20">
        <v>200000</v>
      </c>
      <c r="I970" s="37"/>
    </row>
    <row r="971" spans="1:9" s="14" customFormat="1" ht="15" customHeight="1">
      <c r="A971" s="10">
        <v>44104</v>
      </c>
      <c r="B971" s="8" t="s">
        <v>1961</v>
      </c>
      <c r="C971" s="11">
        <v>752264</v>
      </c>
      <c r="D971" s="12" t="str">
        <f>IF(C971&gt;0,(VLOOKUP(C971,'Blnct AR'!$C$2:$D$2255,2,0))," ")</f>
        <v>Equipamento de carga e transporte</v>
      </c>
      <c r="E971" s="21" t="s">
        <v>1840</v>
      </c>
      <c r="F971" s="20">
        <v>200000</v>
      </c>
      <c r="G971" s="20"/>
      <c r="I971" s="37"/>
    </row>
    <row r="972" spans="1:9" s="14" customFormat="1" ht="15" customHeight="1">
      <c r="A972" s="10">
        <v>44104</v>
      </c>
      <c r="B972" s="8" t="s">
        <v>63</v>
      </c>
      <c r="C972" s="11">
        <v>43106</v>
      </c>
      <c r="D972" s="12" t="str">
        <f>IF(C972&gt;0,(VLOOKUP(C972,'Blnct AR'!$C$2:$D$2255,2,0))," ")</f>
        <v>Banco BIC - 118133685.15.1</v>
      </c>
      <c r="E972" s="21" t="s">
        <v>2036</v>
      </c>
      <c r="F972" s="20"/>
      <c r="G972" s="20">
        <v>48663.11</v>
      </c>
      <c r="I972" s="37"/>
    </row>
    <row r="973" spans="1:9" s="14" customFormat="1" ht="15" customHeight="1">
      <c r="A973" s="10">
        <v>44104</v>
      </c>
      <c r="B973" s="8" t="s">
        <v>63</v>
      </c>
      <c r="C973" s="11">
        <v>75231</v>
      </c>
      <c r="D973" s="12" t="str">
        <f>IF(C973&gt;0,(VLOOKUP(C973,'Blnct AR'!$C$2:$D$2255,2,0))," ")</f>
        <v>Serviços contabilisticos</v>
      </c>
      <c r="E973" s="21" t="s">
        <v>2036</v>
      </c>
      <c r="F973" s="20">
        <v>48663.11</v>
      </c>
      <c r="G973" s="20"/>
      <c r="I973" s="37"/>
    </row>
    <row r="974" spans="1:9" s="14" customFormat="1" ht="15" customHeight="1">
      <c r="A974" s="10">
        <v>44104</v>
      </c>
      <c r="B974" s="8" t="s">
        <v>1409</v>
      </c>
      <c r="C974" s="11">
        <v>43106</v>
      </c>
      <c r="D974" s="12" t="str">
        <f>IF(C974&gt;0,(VLOOKUP(C974,'Blnct AR'!$C$2:$D$2255,2,0))," ")</f>
        <v>Banco BIC - 118133685.15.1</v>
      </c>
      <c r="E974" s="21" t="s">
        <v>135</v>
      </c>
      <c r="F974" s="20"/>
      <c r="G974" s="20">
        <v>330367</v>
      </c>
      <c r="I974" s="37"/>
    </row>
    <row r="975" spans="1:9" s="14" customFormat="1" ht="15" customHeight="1">
      <c r="A975" s="10">
        <v>44104</v>
      </c>
      <c r="B975" s="8" t="s">
        <v>1409</v>
      </c>
      <c r="C975" s="11">
        <v>3431</v>
      </c>
      <c r="D975" s="12" t="str">
        <f>IF(C975&gt;0,(VLOOKUP(C975,'Blnct AR'!$C$2:$D$2255,2,0))," ")</f>
        <v>IRT dependentes</v>
      </c>
      <c r="E975" s="21" t="s">
        <v>135</v>
      </c>
      <c r="F975" s="20">
        <v>330367</v>
      </c>
      <c r="G975" s="20"/>
      <c r="I975" s="37"/>
    </row>
    <row r="976" spans="1:9" s="14" customFormat="1" ht="15" customHeight="1">
      <c r="A976" s="10">
        <v>44104</v>
      </c>
      <c r="B976" s="8" t="s">
        <v>1409</v>
      </c>
      <c r="C976" s="11">
        <v>43106</v>
      </c>
      <c r="D976" s="12" t="str">
        <f>IF(C976&gt;0,(VLOOKUP(C976,'Blnct AR'!$C$2:$D$2255,2,0))," ")</f>
        <v>Banco BIC - 118133685.15.1</v>
      </c>
      <c r="E976" s="21" t="s">
        <v>1964</v>
      </c>
      <c r="F976" s="20"/>
      <c r="G976" s="20">
        <v>79864</v>
      </c>
      <c r="I976" s="37"/>
    </row>
    <row r="977" spans="1:9" s="14" customFormat="1" ht="15" customHeight="1">
      <c r="A977" s="10">
        <v>44104</v>
      </c>
      <c r="B977" s="8" t="s">
        <v>1409</v>
      </c>
      <c r="C977" s="11">
        <v>75318</v>
      </c>
      <c r="D977" s="12" t="str">
        <f>IF(C977&gt;0,(VLOOKUP(C977,'Blnct AR'!$C$2:$D$2255,2,0))," ")</f>
        <v>Lei 19/14 Rf 6,5%</v>
      </c>
      <c r="E977" s="21" t="s">
        <v>1964</v>
      </c>
      <c r="F977" s="20">
        <v>79864</v>
      </c>
      <c r="G977" s="20"/>
      <c r="I977" s="37"/>
    </row>
    <row r="978" spans="1:9" s="14" customFormat="1" ht="15" customHeight="1">
      <c r="A978" s="10">
        <v>44104</v>
      </c>
      <c r="B978" s="8" t="s">
        <v>1409</v>
      </c>
      <c r="C978" s="11">
        <v>43106</v>
      </c>
      <c r="D978" s="12" t="str">
        <f>IF(C978&gt;0,(VLOOKUP(C978,'Blnct AR'!$C$2:$D$2255,2,0))," ")</f>
        <v>Banco BIC - 118133685.15.1</v>
      </c>
      <c r="E978" s="21" t="s">
        <v>1965</v>
      </c>
      <c r="F978" s="20"/>
      <c r="G978" s="20">
        <v>178500</v>
      </c>
      <c r="I978" s="37"/>
    </row>
    <row r="979" spans="1:9" s="14" customFormat="1" ht="15" customHeight="1">
      <c r="A979" s="10">
        <v>44104</v>
      </c>
      <c r="B979" s="8" t="s">
        <v>1409</v>
      </c>
      <c r="C979" s="11">
        <v>75317</v>
      </c>
      <c r="D979" s="12" t="str">
        <f>IF(C979&gt;0,(VLOOKUP(C979,'Blnct AR'!$C$2:$D$2255,2,0))," ")</f>
        <v>IPU</v>
      </c>
      <c r="E979" s="21" t="s">
        <v>1965</v>
      </c>
      <c r="F979" s="20">
        <v>178500</v>
      </c>
      <c r="G979" s="20"/>
      <c r="I979" s="37"/>
    </row>
    <row r="980" spans="1:9" s="14" customFormat="1" ht="15" customHeight="1">
      <c r="A980" s="10">
        <v>44104</v>
      </c>
      <c r="B980" s="8" t="s">
        <v>1869</v>
      </c>
      <c r="C980" s="11">
        <v>43106</v>
      </c>
      <c r="D980" s="12" t="str">
        <f>IF(C980&gt;0,(VLOOKUP(C980,'Blnct AR'!$C$2:$D$2255,2,0))," ")</f>
        <v>Banco BIC - 118133685.15.1</v>
      </c>
      <c r="E980" s="21" t="s">
        <v>1869</v>
      </c>
      <c r="F980" s="20"/>
      <c r="G980" s="20">
        <v>420</v>
      </c>
      <c r="I980" s="37"/>
    </row>
    <row r="981" spans="1:9" s="14" customFormat="1" ht="15" customHeight="1">
      <c r="A981" s="10">
        <v>44104</v>
      </c>
      <c r="B981" s="8" t="s">
        <v>1869</v>
      </c>
      <c r="C981" s="11">
        <v>75314</v>
      </c>
      <c r="D981" s="12" t="str">
        <f>IF(C981&gt;0,(VLOOKUP(C981,'Blnct AR'!$C$2:$D$2255,2,0))," ")</f>
        <v>IVA Suportado</v>
      </c>
      <c r="E981" s="21" t="s">
        <v>1869</v>
      </c>
      <c r="F981" s="20">
        <v>420</v>
      </c>
      <c r="G981" s="20"/>
      <c r="I981" s="37"/>
    </row>
    <row r="982" spans="1:9" s="14" customFormat="1" ht="15" customHeight="1">
      <c r="A982" s="10"/>
      <c r="B982" s="8" t="s">
        <v>2010</v>
      </c>
      <c r="C982" s="11"/>
      <c r="D982" s="12" t="str">
        <f>IF(C982&gt;0,(VLOOKUP(C982,'Blnct AR'!$C$2:$D$2255,2,0))," ")</f>
        <v xml:space="preserve"> </v>
      </c>
      <c r="E982" s="21"/>
      <c r="F982" s="20"/>
      <c r="G982" s="20"/>
      <c r="I982" s="37"/>
    </row>
    <row r="983" spans="1:9" s="14" customFormat="1" ht="15" customHeight="1">
      <c r="A983" s="10">
        <v>44104</v>
      </c>
      <c r="B983" s="8" t="s">
        <v>1653</v>
      </c>
      <c r="C983" s="11">
        <v>43103</v>
      </c>
      <c r="D983" s="12" t="str">
        <f>IF(C983&gt;0,(VLOOKUP(C983,'Blnct AR'!$C$2:$D$2255,2,0))," ")</f>
        <v>Milénnium 500471734904 Kz</v>
      </c>
      <c r="E983" s="21" t="s">
        <v>1907</v>
      </c>
      <c r="F983" s="20"/>
      <c r="G983" s="20">
        <v>206886</v>
      </c>
      <c r="I983" s="37"/>
    </row>
    <row r="984" spans="1:9" s="14" customFormat="1" ht="15" customHeight="1">
      <c r="A984" s="10">
        <v>44104</v>
      </c>
      <c r="B984" s="8" t="s">
        <v>1653</v>
      </c>
      <c r="C984" s="11">
        <v>45111</v>
      </c>
      <c r="D984" s="12" t="str">
        <f>IF(C984&gt;0,(VLOOKUP(C984,'Blnct AR'!$C$2:$D$2255,2,0))," ")</f>
        <v>Caixa Geral</v>
      </c>
      <c r="E984" s="21" t="s">
        <v>1907</v>
      </c>
      <c r="F984" s="20">
        <v>206886</v>
      </c>
      <c r="G984" s="20"/>
      <c r="I984" s="37"/>
    </row>
    <row r="985" spans="1:9" s="14" customFormat="1" ht="15" customHeight="1">
      <c r="A985" s="10">
        <v>44104</v>
      </c>
      <c r="B985" s="8" t="s">
        <v>1932</v>
      </c>
      <c r="C985" s="11">
        <v>43103</v>
      </c>
      <c r="D985" s="12" t="str">
        <f>IF(C985&gt;0,(VLOOKUP(C985,'Blnct AR'!$C$2:$D$2255,2,0))," ")</f>
        <v>Milénnium 500471734904 Kz</v>
      </c>
      <c r="E985" s="21" t="s">
        <v>1945</v>
      </c>
      <c r="F985" s="20"/>
      <c r="G985" s="20">
        <v>384028.87</v>
      </c>
      <c r="I985" s="37"/>
    </row>
    <row r="986" spans="1:9" s="14" customFormat="1" ht="15" customHeight="1">
      <c r="A986" s="10">
        <v>44104</v>
      </c>
      <c r="B986" s="8" t="s">
        <v>1932</v>
      </c>
      <c r="C986" s="11">
        <v>7111</v>
      </c>
      <c r="D986" s="12" t="str">
        <f>IF(C986&gt;0,(VLOOKUP(C986,'Blnct AR'!$C$2:$D$2255,2,0))," ")</f>
        <v>Mp - cevc</v>
      </c>
      <c r="E986" s="21" t="s">
        <v>1945</v>
      </c>
      <c r="F986" s="20">
        <v>384028.87</v>
      </c>
      <c r="G986" s="20"/>
      <c r="I986" s="37"/>
    </row>
    <row r="987" spans="1:9" s="14" customFormat="1" ht="15" customHeight="1">
      <c r="A987" s="10">
        <v>44104</v>
      </c>
      <c r="B987" s="8" t="s">
        <v>1844</v>
      </c>
      <c r="C987" s="11">
        <v>43103</v>
      </c>
      <c r="D987" s="12" t="str">
        <f>IF(C987&gt;0,(VLOOKUP(C987,'Blnct AR'!$C$2:$D$2255,2,0))," ")</f>
        <v>Milénnium 500471734904 Kz</v>
      </c>
      <c r="E987" s="21" t="s">
        <v>1947</v>
      </c>
      <c r="F987" s="20"/>
      <c r="G987" s="20">
        <v>344762.17999999993</v>
      </c>
      <c r="I987" s="37"/>
    </row>
    <row r="988" spans="1:9" s="14" customFormat="1" ht="15" customHeight="1">
      <c r="A988" s="10">
        <v>44104</v>
      </c>
      <c r="B988" s="8" t="s">
        <v>1844</v>
      </c>
      <c r="C988" s="11">
        <v>7522122</v>
      </c>
      <c r="D988" s="12" t="str">
        <f>IF(C988&gt;0,(VLOOKUP(C988,'Blnct AR'!$C$2:$D$2255,2,0))," ")</f>
        <v>Aluguer de Viatura</v>
      </c>
      <c r="E988" s="21" t="s">
        <v>1947</v>
      </c>
      <c r="F988" s="20">
        <v>344762.17999999993</v>
      </c>
      <c r="G988" s="20"/>
      <c r="I988" s="37"/>
    </row>
    <row r="989" spans="1:9" s="14" customFormat="1" ht="15" customHeight="1">
      <c r="A989" s="10">
        <v>44104</v>
      </c>
      <c r="B989" s="8" t="s">
        <v>1869</v>
      </c>
      <c r="C989" s="11">
        <v>43103</v>
      </c>
      <c r="D989" s="12" t="str">
        <f>IF(C989&gt;0,(VLOOKUP(C989,'Blnct AR'!$C$2:$D$2255,2,0))," ")</f>
        <v>Milénnium 500471734904 Kz</v>
      </c>
      <c r="E989" s="21" t="s">
        <v>1869</v>
      </c>
      <c r="F989" s="20"/>
      <c r="G989" s="20">
        <v>9400</v>
      </c>
      <c r="I989" s="37"/>
    </row>
    <row r="990" spans="1:9" s="14" customFormat="1" ht="15" customHeight="1">
      <c r="A990" s="10">
        <v>44104</v>
      </c>
      <c r="B990" s="8" t="s">
        <v>1869</v>
      </c>
      <c r="C990" s="11">
        <v>767801</v>
      </c>
      <c r="D990" s="12" t="str">
        <f>IF(C990&gt;0,(VLOOKUP(C990,'Blnct AR'!$C$2:$D$2255,2,0))," ")</f>
        <v>Despesas Operacionais</v>
      </c>
      <c r="E990" s="21" t="s">
        <v>1869</v>
      </c>
      <c r="F990" s="20">
        <v>9400</v>
      </c>
      <c r="G990" s="20"/>
      <c r="I990" s="37"/>
    </row>
    <row r="991" spans="1:9" s="14" customFormat="1" ht="15" customHeight="1">
      <c r="A991" s="10">
        <v>44104</v>
      </c>
      <c r="B991" s="8" t="s">
        <v>1116</v>
      </c>
      <c r="C991" s="11">
        <v>43103</v>
      </c>
      <c r="D991" s="12" t="str">
        <f>IF(C991&gt;0,(VLOOKUP(C991,'Blnct AR'!$C$2:$D$2255,2,0))," ")</f>
        <v>Milénnium 500471734904 Kz</v>
      </c>
      <c r="E991" s="21" t="s">
        <v>2048</v>
      </c>
      <c r="F991" s="20"/>
      <c r="G991" s="20">
        <v>2363157.19</v>
      </c>
      <c r="I991" s="37"/>
    </row>
    <row r="992" spans="1:9" s="14" customFormat="1" ht="15" customHeight="1">
      <c r="A992" s="10">
        <v>44104</v>
      </c>
      <c r="B992" s="8" t="s">
        <v>1116</v>
      </c>
      <c r="C992" s="11">
        <v>72211</v>
      </c>
      <c r="D992" s="12" t="str">
        <f>IF(C992&gt;0,(VLOOKUP(C992,'Blnct AR'!$C$2:$D$2255,2,0))," ")</f>
        <v>Ordenados</v>
      </c>
      <c r="E992" s="21" t="s">
        <v>2048</v>
      </c>
      <c r="F992" s="20">
        <v>2363157.19</v>
      </c>
      <c r="G992" s="20"/>
      <c r="I992" s="37"/>
    </row>
    <row r="993" spans="1:9" s="14" customFormat="1" ht="15" customHeight="1">
      <c r="A993" s="10">
        <v>44104</v>
      </c>
      <c r="B993" s="8" t="s">
        <v>1928</v>
      </c>
      <c r="C993" s="11">
        <v>43103</v>
      </c>
      <c r="D993" s="12" t="str">
        <f>IF(C993&gt;0,(VLOOKUP(C993,'Blnct AR'!$C$2:$D$2255,2,0))," ")</f>
        <v>Milénnium 500471734904 Kz</v>
      </c>
      <c r="E993" s="21" t="s">
        <v>2049</v>
      </c>
      <c r="F993" s="20"/>
      <c r="G993" s="20">
        <v>117417.95</v>
      </c>
      <c r="I993" s="37"/>
    </row>
    <row r="994" spans="1:9" s="14" customFormat="1" ht="15" customHeight="1">
      <c r="A994" s="10">
        <v>44104</v>
      </c>
      <c r="B994" s="8" t="s">
        <v>1928</v>
      </c>
      <c r="C994" s="11">
        <v>75215</v>
      </c>
      <c r="D994" s="12" t="str">
        <f>IF(C994&gt;0,(VLOOKUP(C994,'Blnct AR'!$C$2:$D$2255,2,0))," ")</f>
        <v>Material protecção, seg.e conforto</v>
      </c>
      <c r="E994" s="21" t="s">
        <v>2049</v>
      </c>
      <c r="F994" s="20">
        <v>117417.95</v>
      </c>
      <c r="G994" s="20"/>
      <c r="I994" s="37"/>
    </row>
    <row r="995" spans="1:9" s="14" customFormat="1" ht="15" customHeight="1">
      <c r="A995" s="10">
        <v>44104</v>
      </c>
      <c r="B995" s="8" t="s">
        <v>1922</v>
      </c>
      <c r="C995" s="11">
        <v>43103</v>
      </c>
      <c r="D995" s="12" t="str">
        <f>IF(C995&gt;0,(VLOOKUP(C995,'Blnct AR'!$C$2:$D$2255,2,0))," ")</f>
        <v>Milénnium 500471734904 Kz</v>
      </c>
      <c r="E995" s="21" t="s">
        <v>1911</v>
      </c>
      <c r="F995" s="20"/>
      <c r="G995" s="20">
        <v>78400</v>
      </c>
      <c r="I995" s="37"/>
    </row>
    <row r="996" spans="1:9" s="14" customFormat="1" ht="15" customHeight="1">
      <c r="A996" s="10">
        <v>44104</v>
      </c>
      <c r="B996" s="8" t="s">
        <v>1922</v>
      </c>
      <c r="C996" s="11">
        <v>752202</v>
      </c>
      <c r="D996" s="12" t="str">
        <f>IF(C996&gt;0,(VLOOKUP(C996,'Blnct AR'!$C$2:$D$2255,2,0))," ")</f>
        <v>Telefone Móvel / Internet</v>
      </c>
      <c r="E996" s="21" t="s">
        <v>1911</v>
      </c>
      <c r="F996" s="20">
        <v>78400</v>
      </c>
      <c r="G996" s="20"/>
      <c r="I996" s="37"/>
    </row>
    <row r="997" spans="1:9" s="14" customFormat="1" ht="15" customHeight="1">
      <c r="A997" s="10">
        <v>44104</v>
      </c>
      <c r="B997" s="8" t="s">
        <v>1984</v>
      </c>
      <c r="C997" s="11">
        <v>43103</v>
      </c>
      <c r="D997" s="12" t="str">
        <f>IF(C997&gt;0,(VLOOKUP(C997,'Blnct AR'!$C$2:$D$2255,2,0))," ")</f>
        <v>Milénnium 500471734904 Kz</v>
      </c>
      <c r="E997" s="21" t="s">
        <v>2006</v>
      </c>
      <c r="F997" s="20"/>
      <c r="G997" s="20">
        <v>36400</v>
      </c>
      <c r="I997" s="37"/>
    </row>
    <row r="998" spans="1:9" s="14" customFormat="1" ht="15" customHeight="1">
      <c r="A998" s="10">
        <v>44104</v>
      </c>
      <c r="B998" s="8" t="s">
        <v>1984</v>
      </c>
      <c r="C998" s="11">
        <v>752231</v>
      </c>
      <c r="D998" s="12" t="str">
        <f>IF(C998&gt;0,(VLOOKUP(C998,'Blnct AR'!$C$2:$D$2255,2,0))," ")</f>
        <v>Refeições e estadas</v>
      </c>
      <c r="E998" s="21" t="s">
        <v>2006</v>
      </c>
      <c r="F998" s="20">
        <v>36400</v>
      </c>
      <c r="G998" s="20"/>
      <c r="I998" s="37"/>
    </row>
    <row r="999" spans="1:9" s="14" customFormat="1" ht="15" customHeight="1">
      <c r="A999" s="10">
        <v>44104</v>
      </c>
      <c r="B999" s="8" t="s">
        <v>1848</v>
      </c>
      <c r="C999" s="11">
        <v>43103</v>
      </c>
      <c r="D999" s="12" t="str">
        <f>IF(C999&gt;0,(VLOOKUP(C999,'Blnct AR'!$C$2:$D$2255,2,0))," ")</f>
        <v>Milénnium 500471734904 Kz</v>
      </c>
      <c r="E999" s="21" t="s">
        <v>2050</v>
      </c>
      <c r="F999" s="20"/>
      <c r="G999" s="20">
        <v>182325</v>
      </c>
      <c r="I999" s="37"/>
    </row>
    <row r="1000" spans="1:9" s="14" customFormat="1" ht="15" customHeight="1">
      <c r="A1000" s="10">
        <v>44104</v>
      </c>
      <c r="B1000" s="8" t="s">
        <v>1848</v>
      </c>
      <c r="C1000" s="11">
        <v>75227</v>
      </c>
      <c r="D1000" s="12" t="str">
        <f>IF(C1000&gt;0,(VLOOKUP(C1000,'Blnct AR'!$C$2:$D$2255,2,0))," ")</f>
        <v>Vigilância e segurança</v>
      </c>
      <c r="E1000" s="21" t="s">
        <v>2050</v>
      </c>
      <c r="F1000" s="20">
        <v>182325</v>
      </c>
      <c r="G1000" s="20"/>
      <c r="I1000" s="37"/>
    </row>
    <row r="1001" spans="1:9" s="14" customFormat="1" ht="15" customHeight="1">
      <c r="A1001" s="10">
        <v>44104</v>
      </c>
      <c r="B1001" s="8" t="s">
        <v>1921</v>
      </c>
      <c r="C1001" s="11">
        <v>43103</v>
      </c>
      <c r="D1001" s="12" t="str">
        <f>IF(C1001&gt;0,(VLOOKUP(C1001,'Blnct AR'!$C$2:$D$2255,2,0))," ")</f>
        <v>Milénnium 500471734904 Kz</v>
      </c>
      <c r="E1001" s="21" t="s">
        <v>1860</v>
      </c>
      <c r="F1001" s="20"/>
      <c r="G1001" s="20">
        <v>18070</v>
      </c>
      <c r="I1001" s="37"/>
    </row>
    <row r="1002" spans="1:9" s="14" customFormat="1" ht="15" customHeight="1">
      <c r="A1002" s="10">
        <v>44104</v>
      </c>
      <c r="B1002" s="8" t="s">
        <v>1921</v>
      </c>
      <c r="C1002" s="11">
        <v>75228</v>
      </c>
      <c r="D1002" s="12" t="str">
        <f>IF(C1002&gt;0,(VLOOKUP(C1002,'Blnct AR'!$C$2:$D$2255,2,0))," ")</f>
        <v>Limpeza, higiene e conforto</v>
      </c>
      <c r="E1002" s="21" t="s">
        <v>1860</v>
      </c>
      <c r="F1002" s="20">
        <v>18070</v>
      </c>
      <c r="G1002" s="20"/>
      <c r="I1002" s="37"/>
    </row>
    <row r="1003" spans="1:9" s="14" customFormat="1" ht="15" customHeight="1">
      <c r="A1003" s="10">
        <v>44104</v>
      </c>
      <c r="B1003" s="8" t="s">
        <v>1955</v>
      </c>
      <c r="C1003" s="11">
        <v>43103</v>
      </c>
      <c r="D1003" s="12" t="str">
        <f>IF(C1003&gt;0,(VLOOKUP(C1003,'Blnct AR'!$C$2:$D$2255,2,0))," ")</f>
        <v>Milénnium 500471734904 Kz</v>
      </c>
      <c r="E1003" s="21" t="s">
        <v>1861</v>
      </c>
      <c r="F1003" s="20"/>
      <c r="G1003" s="20">
        <v>10214</v>
      </c>
      <c r="I1003" s="37"/>
    </row>
    <row r="1004" spans="1:9" s="14" customFormat="1" ht="15" customHeight="1">
      <c r="A1004" s="10">
        <v>44104</v>
      </c>
      <c r="B1004" s="8" t="s">
        <v>1955</v>
      </c>
      <c r="C1004" s="11">
        <v>752131</v>
      </c>
      <c r="D1004" s="12" t="str">
        <f>IF(C1004&gt;0,(VLOOKUP(C1004,'Blnct AR'!$C$2:$D$2255,2,0))," ")</f>
        <v>Gasoleo</v>
      </c>
      <c r="E1004" s="21" t="s">
        <v>1861</v>
      </c>
      <c r="F1004" s="20">
        <v>10214</v>
      </c>
      <c r="G1004" s="20"/>
      <c r="I1004" s="37"/>
    </row>
    <row r="1005" spans="1:9" s="14" customFormat="1" ht="15" customHeight="1">
      <c r="A1005" s="10">
        <v>44104</v>
      </c>
      <c r="B1005" s="8" t="s">
        <v>1961</v>
      </c>
      <c r="C1005" s="11">
        <v>43103</v>
      </c>
      <c r="D1005" s="12" t="str">
        <f>IF(C1005&gt;0,(VLOOKUP(C1005,'Blnct AR'!$C$2:$D$2255,2,0))," ")</f>
        <v>Milénnium 500471734904 Kz</v>
      </c>
      <c r="E1005" s="21" t="s">
        <v>1840</v>
      </c>
      <c r="F1005" s="20"/>
      <c r="G1005" s="20">
        <v>2172550</v>
      </c>
      <c r="I1005" s="37"/>
    </row>
    <row r="1006" spans="1:9" s="14" customFormat="1" ht="15" customHeight="1">
      <c r="A1006" s="10">
        <v>44104</v>
      </c>
      <c r="B1006" s="8" t="s">
        <v>1961</v>
      </c>
      <c r="C1006" s="11">
        <v>752144</v>
      </c>
      <c r="D1006" s="12" t="str">
        <f>IF(C1006&gt;0,(VLOOKUP(C1006,'Blnct AR'!$C$2:$D$2255,2,0))," ")</f>
        <v>Equipamento de carga e transporte</v>
      </c>
      <c r="E1006" s="21" t="s">
        <v>1840</v>
      </c>
      <c r="F1006" s="20">
        <v>2172550</v>
      </c>
      <c r="G1006" s="20"/>
      <c r="I1006" s="37"/>
    </row>
    <row r="1007" spans="1:9" s="14" customFormat="1" ht="15" customHeight="1">
      <c r="A1007" s="10">
        <v>44104</v>
      </c>
      <c r="B1007" s="8" t="s">
        <v>1873</v>
      </c>
      <c r="C1007" s="11">
        <v>43103</v>
      </c>
      <c r="D1007" s="12" t="str">
        <f>IF(C1007&gt;0,(VLOOKUP(C1007,'Blnct AR'!$C$2:$D$2255,2,0))," ")</f>
        <v>Milénnium 500471734904 Kz</v>
      </c>
      <c r="E1007" s="21" t="s">
        <v>1997</v>
      </c>
      <c r="F1007" s="20"/>
      <c r="G1007" s="20">
        <v>211062.39999999999</v>
      </c>
      <c r="I1007" s="37"/>
    </row>
    <row r="1008" spans="1:9" s="14" customFormat="1" ht="15" customHeight="1">
      <c r="A1008" s="10">
        <v>44104</v>
      </c>
      <c r="B1008" s="8" t="s">
        <v>1873</v>
      </c>
      <c r="C1008" s="11">
        <v>752211</v>
      </c>
      <c r="D1008" s="12" t="str">
        <f>IF(C1008&gt;0,(VLOOKUP(C1008,'Blnct AR'!$C$2:$D$2255,2,0))," ")</f>
        <v>Rendas de imóveis Prefor</v>
      </c>
      <c r="E1008" s="21" t="s">
        <v>1997</v>
      </c>
      <c r="F1008" s="20">
        <v>211062.39999999999</v>
      </c>
      <c r="G1008" s="20"/>
      <c r="I1008" s="37"/>
    </row>
    <row r="1009" spans="1:9" s="14" customFormat="1" ht="15" customHeight="1">
      <c r="A1009" s="10">
        <v>44104</v>
      </c>
      <c r="B1009" s="8" t="s">
        <v>1869</v>
      </c>
      <c r="C1009" s="11">
        <v>43103</v>
      </c>
      <c r="D1009" s="12" t="str">
        <f>IF(C1009&gt;0,(VLOOKUP(C1009,'Blnct AR'!$C$2:$D$2255,2,0))," ")</f>
        <v>Milénnium 500471734904 Kz</v>
      </c>
      <c r="E1009" s="21" t="s">
        <v>1869</v>
      </c>
      <c r="F1009" s="20"/>
      <c r="G1009" s="20">
        <v>1316</v>
      </c>
      <c r="I1009" s="37"/>
    </row>
    <row r="1010" spans="1:9" s="14" customFormat="1" ht="15" customHeight="1">
      <c r="A1010" s="10">
        <v>44104</v>
      </c>
      <c r="B1010" s="8" t="s">
        <v>1869</v>
      </c>
      <c r="C1010" s="11">
        <v>75314</v>
      </c>
      <c r="D1010" s="12" t="str">
        <f>IF(C1010&gt;0,(VLOOKUP(C1010,'Blnct AR'!$C$2:$D$2255,2,0))," ")</f>
        <v>IVA Suportado</v>
      </c>
      <c r="E1010" s="21" t="s">
        <v>1869</v>
      </c>
      <c r="F1010" s="20">
        <v>1316</v>
      </c>
      <c r="G1010" s="20"/>
      <c r="I1010" s="37"/>
    </row>
    <row r="1011" spans="1:9" s="14" customFormat="1" ht="15" customHeight="1">
      <c r="A1011" s="10"/>
      <c r="B1011" s="8" t="s">
        <v>2008</v>
      </c>
      <c r="C1011" s="11"/>
      <c r="D1011" s="12" t="str">
        <f>IF(C1011&gt;0,(VLOOKUP(C1011,'Blnct AR'!$C$2:$D$2255,2,0))," ")</f>
        <v xml:space="preserve"> </v>
      </c>
      <c r="E1011" s="21"/>
      <c r="F1011" s="20"/>
      <c r="G1011" s="20"/>
      <c r="I1011" s="37"/>
    </row>
    <row r="1012" spans="1:9" s="14" customFormat="1" ht="15" customHeight="1">
      <c r="A1012" s="10">
        <v>44135</v>
      </c>
      <c r="B1012" s="8" t="s">
        <v>1922</v>
      </c>
      <c r="C1012" s="11">
        <v>43101</v>
      </c>
      <c r="D1012" s="12" t="str">
        <f>IF(C1012&gt;0,(VLOOKUP(C1012,'Blnct AR'!$C$2:$D$2255,2,0))," ")</f>
        <v>Banco - BFA</v>
      </c>
      <c r="E1012" s="21" t="s">
        <v>1911</v>
      </c>
      <c r="F1012" s="20"/>
      <c r="G1012" s="20">
        <v>35000.050000000003</v>
      </c>
      <c r="I1012" s="37"/>
    </row>
    <row r="1013" spans="1:9" s="14" customFormat="1" ht="15" customHeight="1">
      <c r="A1013" s="10">
        <v>44135</v>
      </c>
      <c r="B1013" s="8" t="s">
        <v>1922</v>
      </c>
      <c r="C1013" s="11">
        <v>752202</v>
      </c>
      <c r="D1013" s="12" t="str">
        <f>IF(C1013&gt;0,(VLOOKUP(C1013,'Blnct AR'!$C$2:$D$2255,2,0))," ")</f>
        <v>Telefone Móvel / Internet</v>
      </c>
      <c r="E1013" s="21" t="s">
        <v>1911</v>
      </c>
      <c r="F1013" s="20">
        <v>35000.050000000003</v>
      </c>
      <c r="G1013" s="20"/>
      <c r="I1013" s="37"/>
    </row>
    <row r="1014" spans="1:9" s="14" customFormat="1" ht="15" customHeight="1">
      <c r="A1014" s="10">
        <v>44135</v>
      </c>
      <c r="B1014" s="8" t="s">
        <v>1841</v>
      </c>
      <c r="C1014" s="11">
        <v>43101</v>
      </c>
      <c r="D1014" s="12" t="str">
        <f>IF(C1014&gt;0,(VLOOKUP(C1014,'Blnct AR'!$C$2:$D$2255,2,0))," ")</f>
        <v>Banco - BFA</v>
      </c>
      <c r="E1014" s="21" t="s">
        <v>1842</v>
      </c>
      <c r="F1014" s="20"/>
      <c r="G1014" s="20">
        <v>18000</v>
      </c>
      <c r="I1014" s="37"/>
    </row>
    <row r="1015" spans="1:9" s="14" customFormat="1" ht="15" customHeight="1">
      <c r="A1015" s="10">
        <v>44135</v>
      </c>
      <c r="B1015" s="8" t="s">
        <v>1841</v>
      </c>
      <c r="C1015" s="11">
        <v>75211</v>
      </c>
      <c r="D1015" s="12" t="str">
        <f>IF(C1015&gt;0,(VLOOKUP(C1015,'Blnct AR'!$C$2:$D$2255,2,0))," ")</f>
        <v>Água</v>
      </c>
      <c r="E1015" s="21" t="s">
        <v>1842</v>
      </c>
      <c r="F1015" s="20">
        <v>18000</v>
      </c>
      <c r="G1015" s="20"/>
      <c r="I1015" s="20"/>
    </row>
    <row r="1016" spans="1:9" s="14" customFormat="1" ht="15" customHeight="1">
      <c r="A1016" s="10">
        <v>44135</v>
      </c>
      <c r="B1016" s="8" t="s">
        <v>1116</v>
      </c>
      <c r="C1016" s="11">
        <v>43101</v>
      </c>
      <c r="D1016" s="12" t="str">
        <f>IF(C1016&gt;0,(VLOOKUP(C1016,'Blnct AR'!$C$2:$D$2255,2,0))," ")</f>
        <v>Banco - BFA</v>
      </c>
      <c r="E1016" s="21" t="s">
        <v>1926</v>
      </c>
      <c r="F1016" s="20"/>
      <c r="G1016" s="20">
        <v>320000</v>
      </c>
      <c r="I1016" s="37"/>
    </row>
    <row r="1017" spans="1:9" s="14" customFormat="1" ht="15" customHeight="1">
      <c r="A1017" s="10">
        <v>44135</v>
      </c>
      <c r="B1017" s="8" t="s">
        <v>1116</v>
      </c>
      <c r="C1017" s="11">
        <v>72221</v>
      </c>
      <c r="D1017" s="12" t="str">
        <f>IF(C1017&gt;0,(VLOOKUP(C1017,'Blnct AR'!$C$2:$D$2255,2,0))," ")</f>
        <v>Ordenados</v>
      </c>
      <c r="E1017" s="21" t="s">
        <v>1926</v>
      </c>
      <c r="F1017" s="20">
        <v>320000</v>
      </c>
      <c r="G1017" s="20"/>
      <c r="I1017" s="37"/>
    </row>
    <row r="1018" spans="1:9" s="14" customFormat="1" ht="15" customHeight="1">
      <c r="A1018" s="10">
        <v>44135</v>
      </c>
      <c r="B1018" s="8" t="s">
        <v>1841</v>
      </c>
      <c r="C1018" s="11">
        <v>43101</v>
      </c>
      <c r="D1018" s="12" t="str">
        <f>IF(C1018&gt;0,(VLOOKUP(C1018,'Blnct AR'!$C$2:$D$2255,2,0))," ")</f>
        <v>Banco - BFA</v>
      </c>
      <c r="E1018" s="21" t="s">
        <v>1927</v>
      </c>
      <c r="F1018" s="20"/>
      <c r="G1018" s="20">
        <v>241900</v>
      </c>
      <c r="I1018" s="37"/>
    </row>
    <row r="1019" spans="1:9" s="14" customFormat="1" ht="15" customHeight="1">
      <c r="A1019" s="10">
        <v>44135</v>
      </c>
      <c r="B1019" s="8" t="s">
        <v>1841</v>
      </c>
      <c r="C1019" s="11">
        <v>752213</v>
      </c>
      <c r="D1019" s="12" t="str">
        <f>IF(C1019&gt;0,(VLOOKUP(C1019,'Blnct AR'!$C$2:$D$2255,2,0))," ")</f>
        <v>Aluguer meios de elevação</v>
      </c>
      <c r="E1019" s="21" t="s">
        <v>1927</v>
      </c>
      <c r="F1019" s="20">
        <v>241900</v>
      </c>
      <c r="G1019" s="20"/>
      <c r="I1019" s="37"/>
    </row>
    <row r="1020" spans="1:9" s="14" customFormat="1" ht="15" customHeight="1">
      <c r="A1020" s="10"/>
      <c r="B1020" s="8" t="s">
        <v>2009</v>
      </c>
      <c r="C1020" s="11"/>
      <c r="D1020" s="12" t="str">
        <f>IF(C1020&gt;0,(VLOOKUP(C1020,'Blnct AR'!$C$2:$D$2255,2,0))," ")</f>
        <v xml:space="preserve"> </v>
      </c>
      <c r="E1020" s="21"/>
      <c r="F1020" s="20"/>
      <c r="G1020" s="20"/>
      <c r="I1020" s="37"/>
    </row>
    <row r="1021" spans="1:9" s="14" customFormat="1" ht="15" customHeight="1">
      <c r="A1021" s="10">
        <v>44135</v>
      </c>
      <c r="B1021" s="8" t="s">
        <v>1932</v>
      </c>
      <c r="C1021" s="11">
        <v>43106</v>
      </c>
      <c r="D1021" s="12" t="str">
        <f>IF(C1021&gt;0,(VLOOKUP(C1021,'Blnct AR'!$C$2:$D$2255,2,0))," ")</f>
        <v>Banco BIC - 118133685.15.1</v>
      </c>
      <c r="E1021" s="21" t="s">
        <v>1945</v>
      </c>
      <c r="F1021" s="20"/>
      <c r="G1021" s="20">
        <v>2625708.7599999998</v>
      </c>
      <c r="I1021" s="37"/>
    </row>
    <row r="1022" spans="1:9" s="14" customFormat="1" ht="15" customHeight="1">
      <c r="A1022" s="10">
        <v>44135</v>
      </c>
      <c r="B1022" s="8" t="s">
        <v>1932</v>
      </c>
      <c r="C1022" s="11">
        <v>7111</v>
      </c>
      <c r="D1022" s="12" t="str">
        <f>IF(C1022&gt;0,(VLOOKUP(C1022,'Blnct AR'!$C$2:$D$2255,2,0))," ")</f>
        <v>Mp - cevc</v>
      </c>
      <c r="E1022" s="21" t="s">
        <v>1945</v>
      </c>
      <c r="F1022" s="20">
        <v>2625708.7599999998</v>
      </c>
      <c r="G1022" s="20"/>
      <c r="I1022" s="37"/>
    </row>
    <row r="1023" spans="1:9" s="14" customFormat="1" ht="15" customHeight="1">
      <c r="A1023" s="10">
        <v>44135</v>
      </c>
      <c r="B1023" s="8" t="s">
        <v>1869</v>
      </c>
      <c r="C1023" s="11">
        <v>43106</v>
      </c>
      <c r="D1023" s="12" t="str">
        <f>IF(C1023&gt;0,(VLOOKUP(C1023,'Blnct AR'!$C$2:$D$2255,2,0))," ")</f>
        <v>Banco BIC - 118133685.15.1</v>
      </c>
      <c r="E1023" s="21" t="s">
        <v>1869</v>
      </c>
      <c r="F1023" s="20"/>
      <c r="G1023" s="20">
        <v>3000</v>
      </c>
      <c r="I1023" s="37"/>
    </row>
    <row r="1024" spans="1:9" s="14" customFormat="1" ht="15" customHeight="1">
      <c r="A1024" s="10">
        <v>44135</v>
      </c>
      <c r="B1024" s="8" t="s">
        <v>1869</v>
      </c>
      <c r="C1024" s="11">
        <v>767801</v>
      </c>
      <c r="D1024" s="12" t="str">
        <f>IF(C1024&gt;0,(VLOOKUP(C1024,'Blnct AR'!$C$2:$D$2255,2,0))," ")</f>
        <v>Despesas Operacionais</v>
      </c>
      <c r="E1024" s="21" t="s">
        <v>1869</v>
      </c>
      <c r="F1024" s="20">
        <v>3000</v>
      </c>
      <c r="G1024" s="20"/>
      <c r="I1024" s="37"/>
    </row>
    <row r="1025" spans="1:9" s="14" customFormat="1" ht="15" customHeight="1">
      <c r="A1025" s="10">
        <v>44135</v>
      </c>
      <c r="B1025" s="8" t="s">
        <v>1976</v>
      </c>
      <c r="C1025" s="11">
        <v>43106</v>
      </c>
      <c r="D1025" s="12" t="str">
        <f>IF(C1025&gt;0,(VLOOKUP(C1025,'Blnct AR'!$C$2:$D$2255,2,0))," ")</f>
        <v>Banco BIC - 118133685.15.1</v>
      </c>
      <c r="E1025" s="21" t="s">
        <v>1972</v>
      </c>
      <c r="F1025" s="20"/>
      <c r="G1025" s="20">
        <v>500000</v>
      </c>
      <c r="I1025" s="37"/>
    </row>
    <row r="1026" spans="1:9" s="14" customFormat="1" ht="15" customHeight="1">
      <c r="A1026" s="10">
        <v>44135</v>
      </c>
      <c r="B1026" s="8" t="s">
        <v>1976</v>
      </c>
      <c r="C1026" s="11">
        <v>75113</v>
      </c>
      <c r="D1026" s="12" t="str">
        <f>IF(C1026&gt;0,(VLOOKUP(C1026,'Blnct AR'!$C$2:$D$2255,2,0))," ")</f>
        <v>Empreitada B13 Cimaleste</v>
      </c>
      <c r="E1026" s="21" t="s">
        <v>1972</v>
      </c>
      <c r="F1026" s="20">
        <v>500000</v>
      </c>
      <c r="G1026" s="20"/>
      <c r="I1026" s="37"/>
    </row>
    <row r="1027" spans="1:9" s="14" customFormat="1" ht="15" customHeight="1">
      <c r="A1027" s="10">
        <v>44135</v>
      </c>
      <c r="B1027" s="8" t="s">
        <v>1984</v>
      </c>
      <c r="C1027" s="11">
        <v>43106</v>
      </c>
      <c r="D1027" s="12" t="str">
        <f>IF(C1027&gt;0,(VLOOKUP(C1027,'Blnct AR'!$C$2:$D$2255,2,0))," ")</f>
        <v>Banco BIC - 118133685.15.1</v>
      </c>
      <c r="E1027" s="21" t="s">
        <v>2051</v>
      </c>
      <c r="F1027" s="20"/>
      <c r="G1027" s="20">
        <v>811948</v>
      </c>
      <c r="I1027" s="37"/>
    </row>
    <row r="1028" spans="1:9" s="14" customFormat="1" ht="15" customHeight="1">
      <c r="A1028" s="10">
        <v>44135</v>
      </c>
      <c r="B1028" s="8" t="s">
        <v>1984</v>
      </c>
      <c r="C1028" s="11">
        <v>752231</v>
      </c>
      <c r="D1028" s="12" t="str">
        <f>IF(C1028&gt;0,(VLOOKUP(C1028,'Blnct AR'!$C$2:$D$2255,2,0))," ")</f>
        <v>Refeições e estadas</v>
      </c>
      <c r="E1028" s="21" t="s">
        <v>2052</v>
      </c>
      <c r="F1028" s="20">
        <v>811948</v>
      </c>
      <c r="G1028" s="20"/>
      <c r="I1028" s="37"/>
    </row>
    <row r="1029" spans="1:9" s="14" customFormat="1" ht="15" customHeight="1">
      <c r="A1029" s="10">
        <v>44135</v>
      </c>
      <c r="B1029" s="8" t="s">
        <v>1916</v>
      </c>
      <c r="C1029" s="11">
        <v>43106</v>
      </c>
      <c r="D1029" s="12" t="str">
        <f>IF(C1029&gt;0,(VLOOKUP(C1029,'Blnct AR'!$C$2:$D$2255,2,0))," ")</f>
        <v>Banco BIC - 118133685.15.1</v>
      </c>
      <c r="E1029" s="21" t="s">
        <v>1913</v>
      </c>
      <c r="F1029" s="20"/>
      <c r="G1029" s="20">
        <v>157297.5</v>
      </c>
      <c r="I1029" s="37"/>
    </row>
    <row r="1030" spans="1:9" s="14" customFormat="1" ht="15" customHeight="1">
      <c r="A1030" s="10">
        <v>44135</v>
      </c>
      <c r="B1030" s="8" t="s">
        <v>1916</v>
      </c>
      <c r="C1030" s="11">
        <v>752131</v>
      </c>
      <c r="D1030" s="12" t="str">
        <f>IF(C1030&gt;0,(VLOOKUP(C1030,'Blnct AR'!$C$2:$D$2255,2,0))," ")</f>
        <v>Gasoleo</v>
      </c>
      <c r="E1030" s="21" t="s">
        <v>1913</v>
      </c>
      <c r="F1030" s="20">
        <v>157297.5</v>
      </c>
      <c r="G1030" s="20"/>
      <c r="I1030" s="37"/>
    </row>
    <row r="1031" spans="1:9" s="14" customFormat="1" ht="15" customHeight="1">
      <c r="A1031" s="10">
        <v>44135</v>
      </c>
      <c r="B1031" s="8" t="s">
        <v>1961</v>
      </c>
      <c r="C1031" s="11">
        <v>43106</v>
      </c>
      <c r="D1031" s="12" t="str">
        <f>IF(C1031&gt;0,(VLOOKUP(C1031,'Blnct AR'!$C$2:$D$2255,2,0))," ")</f>
        <v>Banco BIC - 118133685.15.1</v>
      </c>
      <c r="E1031" s="21" t="s">
        <v>2014</v>
      </c>
      <c r="F1031" s="20"/>
      <c r="G1031" s="20">
        <v>600000</v>
      </c>
      <c r="I1031" s="37"/>
    </row>
    <row r="1032" spans="1:9" s="14" customFormat="1" ht="15" customHeight="1">
      <c r="A1032" s="10">
        <v>44135</v>
      </c>
      <c r="B1032" s="8" t="s">
        <v>1961</v>
      </c>
      <c r="C1032" s="11">
        <v>752144</v>
      </c>
      <c r="D1032" s="12" t="str">
        <f>IF(C1032&gt;0,(VLOOKUP(C1032,'Blnct AR'!$C$2:$D$2255,2,0))," ")</f>
        <v>Equipamento de carga e transporte</v>
      </c>
      <c r="E1032" s="21" t="s">
        <v>2014</v>
      </c>
      <c r="F1032" s="20">
        <v>600000</v>
      </c>
      <c r="G1032" s="20"/>
      <c r="I1032" s="37"/>
    </row>
    <row r="1033" spans="1:9" s="14" customFormat="1" ht="15" customHeight="1">
      <c r="A1033" s="10">
        <v>44135</v>
      </c>
      <c r="B1033" s="8" t="s">
        <v>1961</v>
      </c>
      <c r="C1033" s="11">
        <v>43106</v>
      </c>
      <c r="D1033" s="12" t="str">
        <f>IF(C1033&gt;0,(VLOOKUP(C1033,'Blnct AR'!$C$2:$D$2255,2,0))," ")</f>
        <v>Banco BIC - 118133685.15.1</v>
      </c>
      <c r="E1033" s="21" t="s">
        <v>2053</v>
      </c>
      <c r="F1033" s="20"/>
      <c r="G1033" s="20">
        <v>500000</v>
      </c>
      <c r="I1033" s="37"/>
    </row>
    <row r="1034" spans="1:9" s="14" customFormat="1" ht="15" customHeight="1">
      <c r="A1034" s="10">
        <v>44135</v>
      </c>
      <c r="B1034" s="8" t="s">
        <v>1961</v>
      </c>
      <c r="C1034" s="11">
        <v>752144</v>
      </c>
      <c r="D1034" s="12" t="str">
        <f>IF(C1034&gt;0,(VLOOKUP(C1034,'Blnct AR'!$C$2:$D$2255,2,0))," ")</f>
        <v>Equipamento de carga e transporte</v>
      </c>
      <c r="E1034" s="21" t="s">
        <v>2053</v>
      </c>
      <c r="F1034" s="20">
        <v>500000</v>
      </c>
      <c r="G1034" s="20"/>
      <c r="I1034" s="37"/>
    </row>
    <row r="1035" spans="1:9" s="14" customFormat="1" ht="15" customHeight="1">
      <c r="A1035" s="10">
        <v>44135</v>
      </c>
      <c r="B1035" s="8" t="s">
        <v>2027</v>
      </c>
      <c r="C1035" s="11">
        <v>43106</v>
      </c>
      <c r="D1035" s="12" t="str">
        <f>IF(C1035&gt;0,(VLOOKUP(C1035,'Blnct AR'!$C$2:$D$2255,2,0))," ")</f>
        <v>Banco BIC - 118133685.15.1</v>
      </c>
      <c r="E1035" s="21" t="s">
        <v>2028</v>
      </c>
      <c r="F1035" s="20"/>
      <c r="G1035" s="20">
        <v>2296000</v>
      </c>
      <c r="I1035" s="37"/>
    </row>
    <row r="1036" spans="1:9" s="14" customFormat="1" ht="15" customHeight="1">
      <c r="A1036" s="10">
        <v>44135</v>
      </c>
      <c r="B1036" s="8" t="s">
        <v>2027</v>
      </c>
      <c r="C1036" s="11">
        <v>752214</v>
      </c>
      <c r="D1036" s="12" t="str">
        <f>IF(C1036&gt;0,(VLOOKUP(C1036,'Blnct AR'!$C$2:$D$2255,2,0))," ")</f>
        <v>Serviço de transporte</v>
      </c>
      <c r="E1036" s="21" t="s">
        <v>2028</v>
      </c>
      <c r="F1036" s="20">
        <v>2296000</v>
      </c>
      <c r="G1036" s="20"/>
      <c r="I1036" s="37"/>
    </row>
    <row r="1037" spans="1:9" s="14" customFormat="1" ht="15" customHeight="1">
      <c r="A1037" s="10">
        <v>44135</v>
      </c>
      <c r="B1037" s="8" t="s">
        <v>1873</v>
      </c>
      <c r="C1037" s="11">
        <v>43106</v>
      </c>
      <c r="D1037" s="12" t="str">
        <f>IF(C1037&gt;0,(VLOOKUP(C1037,'Blnct AR'!$C$2:$D$2255,2,0))," ")</f>
        <v>Banco BIC - 118133685.15.1</v>
      </c>
      <c r="E1037" s="21" t="s">
        <v>1998</v>
      </c>
      <c r="F1037" s="20"/>
      <c r="G1037" s="20">
        <v>352000</v>
      </c>
      <c r="I1037" s="37"/>
    </row>
    <row r="1038" spans="1:9" s="14" customFormat="1" ht="15" customHeight="1">
      <c r="A1038" s="10">
        <v>44135</v>
      </c>
      <c r="B1038" s="8" t="s">
        <v>1873</v>
      </c>
      <c r="C1038" s="11">
        <v>752212</v>
      </c>
      <c r="D1038" s="12" t="str">
        <f>IF(C1038&gt;0,(VLOOKUP(C1038,'Blnct AR'!$C$2:$D$2255,2,0))," ")</f>
        <v>Rendas de imóveis Cofrialarme</v>
      </c>
      <c r="E1038" s="21" t="s">
        <v>1998</v>
      </c>
      <c r="F1038" s="20">
        <v>352000</v>
      </c>
      <c r="G1038" s="20"/>
      <c r="I1038" s="37"/>
    </row>
    <row r="1039" spans="1:9" s="14" customFormat="1" ht="15" customHeight="1">
      <c r="A1039" s="10">
        <v>44135</v>
      </c>
      <c r="B1039" s="8" t="s">
        <v>63</v>
      </c>
      <c r="C1039" s="11">
        <v>43106</v>
      </c>
      <c r="D1039" s="12" t="str">
        <f>IF(C1039&gt;0,(VLOOKUP(C1039,'Blnct AR'!$C$2:$D$2255,2,0))," ")</f>
        <v>Banco BIC - 118133685.15.1</v>
      </c>
      <c r="E1039" s="21" t="s">
        <v>2054</v>
      </c>
      <c r="F1039" s="20"/>
      <c r="G1039" s="20">
        <v>600000</v>
      </c>
      <c r="I1039" s="37"/>
    </row>
    <row r="1040" spans="1:9" s="14" customFormat="1" ht="15" customHeight="1">
      <c r="A1040" s="10">
        <v>44135</v>
      </c>
      <c r="B1040" s="8" t="s">
        <v>63</v>
      </c>
      <c r="C1040" s="11">
        <v>75231</v>
      </c>
      <c r="D1040" s="12" t="str">
        <f>IF(C1040&gt;0,(VLOOKUP(C1040,'Blnct AR'!$C$2:$D$2255,2,0))," ")</f>
        <v>Serviços contabilisticos</v>
      </c>
      <c r="E1040" s="21" t="s">
        <v>2054</v>
      </c>
      <c r="F1040" s="20">
        <v>600000</v>
      </c>
      <c r="G1040" s="20"/>
      <c r="I1040" s="37"/>
    </row>
    <row r="1041" spans="1:9" s="14" customFormat="1" ht="15" customHeight="1">
      <c r="A1041" s="10">
        <v>44135</v>
      </c>
      <c r="B1041" s="8" t="s">
        <v>1409</v>
      </c>
      <c r="C1041" s="11">
        <v>43106</v>
      </c>
      <c r="D1041" s="12" t="str">
        <f>IF(C1041&gt;0,(VLOOKUP(C1041,'Blnct AR'!$C$2:$D$2255,2,0))," ")</f>
        <v>Banco BIC - 118133685.15.1</v>
      </c>
      <c r="E1041" s="21" t="s">
        <v>135</v>
      </c>
      <c r="F1041" s="20"/>
      <c r="G1041" s="20">
        <v>220316</v>
      </c>
      <c r="I1041" s="37"/>
    </row>
    <row r="1042" spans="1:9" s="14" customFormat="1" ht="15" customHeight="1">
      <c r="A1042" s="10">
        <v>44135</v>
      </c>
      <c r="B1042" s="8" t="s">
        <v>1409</v>
      </c>
      <c r="C1042" s="11">
        <v>3431</v>
      </c>
      <c r="D1042" s="12" t="str">
        <f>IF(C1042&gt;0,(VLOOKUP(C1042,'Blnct AR'!$C$2:$D$2255,2,0))," ")</f>
        <v>IRT dependentes</v>
      </c>
      <c r="E1042" s="21" t="s">
        <v>135</v>
      </c>
      <c r="F1042" s="20">
        <v>220316</v>
      </c>
      <c r="G1042" s="20"/>
      <c r="I1042" s="37"/>
    </row>
    <row r="1043" spans="1:9" s="14" customFormat="1" ht="15" customHeight="1">
      <c r="A1043" s="10">
        <v>44135</v>
      </c>
      <c r="B1043" s="8" t="s">
        <v>1409</v>
      </c>
      <c r="C1043" s="11">
        <v>43106</v>
      </c>
      <c r="D1043" s="12" t="str">
        <f>IF(C1043&gt;0,(VLOOKUP(C1043,'Blnct AR'!$C$2:$D$2255,2,0))," ")</f>
        <v>Banco BIC - 118133685.15.1</v>
      </c>
      <c r="E1043" s="21" t="s">
        <v>1964</v>
      </c>
      <c r="F1043" s="20"/>
      <c r="G1043" s="20">
        <v>12675</v>
      </c>
      <c r="I1043" s="37"/>
    </row>
    <row r="1044" spans="1:9" s="14" customFormat="1" ht="15" customHeight="1">
      <c r="A1044" s="10">
        <v>44135</v>
      </c>
      <c r="B1044" s="8" t="s">
        <v>1409</v>
      </c>
      <c r="C1044" s="11">
        <v>75318</v>
      </c>
      <c r="D1044" s="12" t="str">
        <f>IF(C1044&gt;0,(VLOOKUP(C1044,'Blnct AR'!$C$2:$D$2255,2,0))," ")</f>
        <v>Lei 19/14 Rf 6,5%</v>
      </c>
      <c r="E1044" s="21" t="s">
        <v>1964</v>
      </c>
      <c r="F1044" s="20">
        <v>12675</v>
      </c>
      <c r="G1044" s="20"/>
      <c r="I1044" s="37"/>
    </row>
    <row r="1045" spans="1:9" s="14" customFormat="1" ht="15" customHeight="1">
      <c r="A1045" s="10">
        <v>44135</v>
      </c>
      <c r="B1045" s="8" t="s">
        <v>1409</v>
      </c>
      <c r="C1045" s="11">
        <v>43106</v>
      </c>
      <c r="D1045" s="12" t="str">
        <f>IF(C1045&gt;0,(VLOOKUP(C1045,'Blnct AR'!$C$2:$D$2255,2,0))," ")</f>
        <v>Banco BIC - 118133685.15.1</v>
      </c>
      <c r="E1045" s="21" t="s">
        <v>1965</v>
      </c>
      <c r="F1045" s="20"/>
      <c r="G1045" s="20">
        <v>78000</v>
      </c>
      <c r="I1045" s="37"/>
    </row>
    <row r="1046" spans="1:9" s="14" customFormat="1" ht="15" customHeight="1">
      <c r="A1046" s="10">
        <v>44135</v>
      </c>
      <c r="B1046" s="8" t="s">
        <v>1409</v>
      </c>
      <c r="C1046" s="11">
        <v>75317</v>
      </c>
      <c r="D1046" s="12" t="str">
        <f>IF(C1046&gt;0,(VLOOKUP(C1046,'Blnct AR'!$C$2:$D$2255,2,0))," ")</f>
        <v>IPU</v>
      </c>
      <c r="E1046" s="21" t="s">
        <v>1965</v>
      </c>
      <c r="F1046" s="20">
        <v>78000</v>
      </c>
      <c r="G1046" s="20"/>
      <c r="I1046" s="37"/>
    </row>
    <row r="1047" spans="1:9" s="14" customFormat="1" ht="15" customHeight="1">
      <c r="A1047" s="10">
        <v>44135</v>
      </c>
      <c r="B1047" s="8" t="s">
        <v>1869</v>
      </c>
      <c r="C1047" s="11">
        <v>43106</v>
      </c>
      <c r="D1047" s="12" t="str">
        <f>IF(C1047&gt;0,(VLOOKUP(C1047,'Blnct AR'!$C$2:$D$2255,2,0))," ")</f>
        <v>Banco BIC - 118133685.15.1</v>
      </c>
      <c r="E1047" s="21" t="s">
        <v>1869</v>
      </c>
      <c r="F1047" s="20"/>
      <c r="G1047" s="20">
        <v>420</v>
      </c>
      <c r="I1047" s="37"/>
    </row>
    <row r="1048" spans="1:9" s="14" customFormat="1" ht="15" customHeight="1">
      <c r="A1048" s="10">
        <v>44135</v>
      </c>
      <c r="B1048" s="8" t="s">
        <v>1869</v>
      </c>
      <c r="C1048" s="11">
        <v>75314</v>
      </c>
      <c r="D1048" s="12" t="str">
        <f>IF(C1048&gt;0,(VLOOKUP(C1048,'Blnct AR'!$C$2:$D$2255,2,0))," ")</f>
        <v>IVA Suportado</v>
      </c>
      <c r="E1048" s="21" t="s">
        <v>1869</v>
      </c>
      <c r="F1048" s="20">
        <v>420</v>
      </c>
      <c r="G1048" s="20"/>
      <c r="I1048" s="37"/>
    </row>
    <row r="1049" spans="1:9" s="14" customFormat="1" ht="15" customHeight="1">
      <c r="A1049" s="10"/>
      <c r="B1049" s="8" t="s">
        <v>2010</v>
      </c>
      <c r="C1049" s="11"/>
      <c r="D1049" s="12"/>
      <c r="E1049" s="21"/>
      <c r="F1049" s="20"/>
      <c r="G1049" s="20"/>
      <c r="I1049" s="37"/>
    </row>
    <row r="1050" spans="1:9" s="14" customFormat="1" ht="15" customHeight="1">
      <c r="A1050" s="10">
        <v>44135</v>
      </c>
      <c r="B1050" s="8" t="s">
        <v>1653</v>
      </c>
      <c r="C1050" s="11">
        <v>43103</v>
      </c>
      <c r="D1050" s="12" t="str">
        <f>IF(C1050&gt;0,(VLOOKUP(C1050,'Blnct AR'!$C$2:$D$2255,2,0))," ")</f>
        <v>Milénnium 500471734904 Kz</v>
      </c>
      <c r="E1050" s="21" t="s">
        <v>1907</v>
      </c>
      <c r="F1050" s="20"/>
      <c r="G1050" s="20">
        <v>569000</v>
      </c>
      <c r="I1050" s="37"/>
    </row>
    <row r="1051" spans="1:9" s="14" customFormat="1" ht="15" customHeight="1">
      <c r="A1051" s="10">
        <v>44135</v>
      </c>
      <c r="B1051" s="8" t="s">
        <v>1653</v>
      </c>
      <c r="C1051" s="11">
        <v>45111</v>
      </c>
      <c r="D1051" s="12" t="str">
        <f>IF(C1051&gt;0,(VLOOKUP(C1051,'Blnct AR'!$C$2:$D$2255,2,0))," ")</f>
        <v>Caixa Geral</v>
      </c>
      <c r="E1051" s="21" t="s">
        <v>1907</v>
      </c>
      <c r="F1051" s="20">
        <v>569000</v>
      </c>
      <c r="G1051" s="20"/>
      <c r="I1051" s="37"/>
    </row>
    <row r="1052" spans="1:9" s="14" customFormat="1" ht="15" customHeight="1">
      <c r="A1052" s="10">
        <v>44135</v>
      </c>
      <c r="B1052" s="8" t="s">
        <v>1932</v>
      </c>
      <c r="C1052" s="11">
        <v>43103</v>
      </c>
      <c r="D1052" s="12" t="str">
        <f>IF(C1052&gt;0,(VLOOKUP(C1052,'Blnct AR'!$C$2:$D$2255,2,0))," ")</f>
        <v>Milénnium 500471734904 Kz</v>
      </c>
      <c r="E1052" s="21" t="s">
        <v>2060</v>
      </c>
      <c r="F1052" s="20"/>
      <c r="G1052" s="20">
        <v>456601.86</v>
      </c>
      <c r="I1052" s="37"/>
    </row>
    <row r="1053" spans="1:9" s="14" customFormat="1" ht="15" customHeight="1">
      <c r="A1053" s="10">
        <v>44135</v>
      </c>
      <c r="B1053" s="8" t="s">
        <v>1932</v>
      </c>
      <c r="C1053" s="11">
        <v>7111</v>
      </c>
      <c r="D1053" s="12" t="str">
        <f>IF(C1053&gt;0,(VLOOKUP(C1053,'Blnct AR'!$C$2:$D$2255,2,0))," ")</f>
        <v>Mp - cevc</v>
      </c>
      <c r="E1053" s="21" t="s">
        <v>2060</v>
      </c>
      <c r="F1053" s="20">
        <v>456601.86</v>
      </c>
      <c r="G1053" s="20"/>
      <c r="I1053" s="37"/>
    </row>
    <row r="1054" spans="1:9" s="14" customFormat="1" ht="15" customHeight="1">
      <c r="A1054" s="10">
        <v>44135</v>
      </c>
      <c r="B1054" s="8" t="s">
        <v>2055</v>
      </c>
      <c r="C1054" s="11">
        <v>43103</v>
      </c>
      <c r="D1054" s="12" t="str">
        <f>IF(C1054&gt;0,(VLOOKUP(C1054,'Blnct AR'!$C$2:$D$2255,2,0))," ")</f>
        <v>Milénnium 500471734904 Kz</v>
      </c>
      <c r="E1054" s="21" t="s">
        <v>2056</v>
      </c>
      <c r="F1054" s="20"/>
      <c r="G1054" s="20">
        <v>40750</v>
      </c>
      <c r="I1054" s="37"/>
    </row>
    <row r="1055" spans="1:9" s="14" customFormat="1" ht="15" customHeight="1">
      <c r="A1055" s="10">
        <v>44135</v>
      </c>
      <c r="B1055" s="8" t="s">
        <v>2055</v>
      </c>
      <c r="C1055" s="11">
        <v>728214</v>
      </c>
      <c r="D1055" s="12" t="str">
        <f>IF(C1055&gt;0,(VLOOKUP(C1055,'Blnct AR'!$C$2:$D$2255,2,0))," ")</f>
        <v>Despesas C/ Vistos e Reg. Criminal</v>
      </c>
      <c r="E1055" s="21" t="s">
        <v>2056</v>
      </c>
      <c r="F1055" s="20">
        <v>40750</v>
      </c>
      <c r="G1055" s="20"/>
      <c r="I1055" s="37"/>
    </row>
    <row r="1056" spans="1:9" s="14" customFormat="1" ht="15" customHeight="1">
      <c r="A1056" s="10">
        <v>44135</v>
      </c>
      <c r="B1056" s="8" t="s">
        <v>1946</v>
      </c>
      <c r="C1056" s="11">
        <v>43103</v>
      </c>
      <c r="D1056" s="12" t="str">
        <f>IF(C1056&gt;0,(VLOOKUP(C1056,'Blnct AR'!$C$2:$D$2255,2,0))," ")</f>
        <v>Milénnium 500471734904 Kz</v>
      </c>
      <c r="E1056" s="21" t="s">
        <v>1857</v>
      </c>
      <c r="F1056" s="20"/>
      <c r="G1056" s="20">
        <v>20000</v>
      </c>
      <c r="I1056" s="37"/>
    </row>
    <row r="1057" spans="1:9" s="14" customFormat="1" ht="15" customHeight="1">
      <c r="A1057" s="10">
        <v>44135</v>
      </c>
      <c r="B1057" s="8" t="s">
        <v>1946</v>
      </c>
      <c r="C1057" s="11">
        <v>728220</v>
      </c>
      <c r="D1057" s="12" t="str">
        <f>IF(C1057&gt;0,(VLOOKUP(C1057,'Blnct AR'!$C$2:$D$2255,2,0))," ")</f>
        <v>Saúde</v>
      </c>
      <c r="E1057" s="21" t="s">
        <v>1857</v>
      </c>
      <c r="F1057" s="20">
        <v>20000</v>
      </c>
      <c r="G1057" s="20"/>
      <c r="I1057" s="37"/>
    </row>
    <row r="1058" spans="1:9" s="14" customFormat="1" ht="15" customHeight="1">
      <c r="A1058" s="10">
        <v>44135</v>
      </c>
      <c r="B1058" s="8" t="s">
        <v>1844</v>
      </c>
      <c r="C1058" s="11">
        <v>43103</v>
      </c>
      <c r="D1058" s="12" t="str">
        <f>IF(C1058&gt;0,(VLOOKUP(C1058,'Blnct AR'!$C$2:$D$2255,2,0))," ")</f>
        <v>Milénnium 500471734904 Kz</v>
      </c>
      <c r="E1058" s="21" t="s">
        <v>1947</v>
      </c>
      <c r="F1058" s="20"/>
      <c r="G1058" s="20">
        <v>344644.17</v>
      </c>
      <c r="I1058" s="37"/>
    </row>
    <row r="1059" spans="1:9" s="14" customFormat="1" ht="15" customHeight="1">
      <c r="A1059" s="10">
        <v>44135</v>
      </c>
      <c r="B1059" s="8" t="s">
        <v>1844</v>
      </c>
      <c r="C1059" s="11">
        <v>7522122</v>
      </c>
      <c r="D1059" s="12" t="str">
        <f>IF(C1059&gt;0,(VLOOKUP(C1059,'Blnct AR'!$C$2:$D$2255,2,0))," ")</f>
        <v>Aluguer de Viatura</v>
      </c>
      <c r="E1059" s="21" t="s">
        <v>1947</v>
      </c>
      <c r="F1059" s="20">
        <v>344644.17</v>
      </c>
      <c r="G1059" s="20"/>
      <c r="I1059" s="37"/>
    </row>
    <row r="1060" spans="1:9" s="14" customFormat="1" ht="15" customHeight="1">
      <c r="A1060" s="10">
        <v>44135</v>
      </c>
      <c r="B1060" s="8" t="s">
        <v>1869</v>
      </c>
      <c r="C1060" s="11">
        <v>43103</v>
      </c>
      <c r="D1060" s="12" t="str">
        <f>IF(C1060&gt;0,(VLOOKUP(C1060,'Blnct AR'!$C$2:$D$2255,2,0))," ")</f>
        <v>Milénnium 500471734904 Kz</v>
      </c>
      <c r="E1060" s="21" t="s">
        <v>1869</v>
      </c>
      <c r="F1060" s="20"/>
      <c r="G1060" s="20">
        <v>1200</v>
      </c>
      <c r="I1060" s="37"/>
    </row>
    <row r="1061" spans="1:9" s="14" customFormat="1" ht="15" customHeight="1">
      <c r="A1061" s="10">
        <v>44135</v>
      </c>
      <c r="B1061" s="8" t="s">
        <v>1869</v>
      </c>
      <c r="C1061" s="11">
        <v>767801</v>
      </c>
      <c r="D1061" s="12" t="str">
        <f>IF(C1061&gt;0,(VLOOKUP(C1061,'Blnct AR'!$C$2:$D$2255,2,0))," ")</f>
        <v>Despesas Operacionais</v>
      </c>
      <c r="E1061" s="21" t="s">
        <v>1869</v>
      </c>
      <c r="F1061" s="20">
        <v>1200</v>
      </c>
      <c r="G1061" s="20"/>
      <c r="I1061" s="37"/>
    </row>
    <row r="1062" spans="1:9" s="14" customFormat="1" ht="15" customHeight="1">
      <c r="A1062" s="10">
        <v>44135</v>
      </c>
      <c r="B1062" s="8" t="s">
        <v>1116</v>
      </c>
      <c r="C1062" s="11">
        <v>43103</v>
      </c>
      <c r="D1062" s="12" t="str">
        <f>IF(C1062&gt;0,(VLOOKUP(C1062,'Blnct AR'!$C$2:$D$2255,2,0))," ")</f>
        <v>Milénnium 500471734904 Kz</v>
      </c>
      <c r="E1062" s="21" t="s">
        <v>2057</v>
      </c>
      <c r="F1062" s="20"/>
      <c r="G1062" s="20">
        <v>2547557.23</v>
      </c>
      <c r="I1062" s="37"/>
    </row>
    <row r="1063" spans="1:9" s="14" customFormat="1" ht="15" customHeight="1">
      <c r="A1063" s="10">
        <v>44135</v>
      </c>
      <c r="B1063" s="8" t="s">
        <v>1116</v>
      </c>
      <c r="C1063" s="11">
        <v>72211</v>
      </c>
      <c r="D1063" s="12" t="str">
        <f>IF(C1063&gt;0,(VLOOKUP(C1063,'Blnct AR'!$C$2:$D$2255,2,0))," ")</f>
        <v>Ordenados</v>
      </c>
      <c r="E1063" s="21" t="s">
        <v>2057</v>
      </c>
      <c r="F1063" s="20">
        <v>2547557.23</v>
      </c>
      <c r="G1063" s="20"/>
      <c r="I1063" s="37"/>
    </row>
    <row r="1064" spans="1:9" s="14" customFormat="1" ht="15" customHeight="1">
      <c r="A1064" s="10">
        <v>44135</v>
      </c>
      <c r="B1064" s="8" t="s">
        <v>132</v>
      </c>
      <c r="C1064" s="11">
        <v>43103</v>
      </c>
      <c r="D1064" s="12" t="str">
        <f>IF(C1064&gt;0,(VLOOKUP(C1064,'Blnct AR'!$C$2:$D$2255,2,0))," ")</f>
        <v>Milénnium 500471734904 Kz</v>
      </c>
      <c r="E1064" s="21" t="s">
        <v>2062</v>
      </c>
      <c r="F1064" s="20"/>
      <c r="G1064" s="20">
        <v>138593</v>
      </c>
      <c r="I1064" s="37"/>
    </row>
    <row r="1065" spans="1:9" s="14" customFormat="1" ht="15" customHeight="1">
      <c r="A1065" s="10">
        <v>44135</v>
      </c>
      <c r="B1065" s="8" t="s">
        <v>132</v>
      </c>
      <c r="C1065" s="11">
        <v>72522</v>
      </c>
      <c r="D1065" s="12" t="str">
        <f>IF(C1065&gt;0,(VLOOKUP(C1065,'Blnct AR'!$C$2:$D$2255,2,0))," ")</f>
        <v>Produção Seg. Social</v>
      </c>
      <c r="E1065" s="21" t="s">
        <v>2062</v>
      </c>
      <c r="F1065" s="20">
        <v>138593</v>
      </c>
      <c r="G1065" s="20"/>
      <c r="I1065" s="37"/>
    </row>
    <row r="1066" spans="1:9" s="14" customFormat="1" ht="15" customHeight="1">
      <c r="A1066" s="10">
        <v>44135</v>
      </c>
      <c r="B1066" s="8" t="s">
        <v>1976</v>
      </c>
      <c r="C1066" s="11">
        <v>43103</v>
      </c>
      <c r="D1066" s="12" t="str">
        <f>IF(C1066&gt;0,(VLOOKUP(C1066,'Blnct AR'!$C$2:$D$2255,2,0))," ")</f>
        <v>Milénnium 500471734904 Kz</v>
      </c>
      <c r="E1066" s="21" t="s">
        <v>1993</v>
      </c>
      <c r="F1066" s="20"/>
      <c r="G1066" s="20">
        <v>540000</v>
      </c>
      <c r="I1066" s="37"/>
    </row>
    <row r="1067" spans="1:9" s="14" customFormat="1" ht="15" customHeight="1">
      <c r="A1067" s="10">
        <v>44135</v>
      </c>
      <c r="B1067" s="8" t="s">
        <v>1976</v>
      </c>
      <c r="C1067" s="11">
        <v>75114</v>
      </c>
      <c r="D1067" s="12" t="str">
        <f>IF(C1067&gt;0,(VLOOKUP(C1067,'Blnct AR'!$C$2:$D$2255,2,0))," ")</f>
        <v>Empreitada B13 Sdavid</v>
      </c>
      <c r="E1067" s="21" t="s">
        <v>1993</v>
      </c>
      <c r="F1067" s="20">
        <v>540000</v>
      </c>
      <c r="G1067" s="20"/>
      <c r="I1067" s="37"/>
    </row>
    <row r="1068" spans="1:9" s="14" customFormat="1" ht="15" customHeight="1">
      <c r="A1068" s="10">
        <v>44135</v>
      </c>
      <c r="B1068" s="8" t="s">
        <v>1928</v>
      </c>
      <c r="C1068" s="11">
        <v>43103</v>
      </c>
      <c r="D1068" s="12" t="str">
        <f>IF(C1068&gt;0,(VLOOKUP(C1068,'Blnct AR'!$C$2:$D$2255,2,0))," ")</f>
        <v>Milénnium 500471734904 Kz</v>
      </c>
      <c r="E1068" s="21" t="s">
        <v>1978</v>
      </c>
      <c r="F1068" s="20"/>
      <c r="G1068" s="20">
        <v>78278.64</v>
      </c>
      <c r="I1068" s="37"/>
    </row>
    <row r="1069" spans="1:9" s="14" customFormat="1" ht="15" customHeight="1">
      <c r="A1069" s="10">
        <v>44135</v>
      </c>
      <c r="B1069" s="8" t="s">
        <v>1928</v>
      </c>
      <c r="C1069" s="11">
        <v>75215</v>
      </c>
      <c r="D1069" s="12" t="str">
        <f>IF(C1069&gt;0,(VLOOKUP(C1069,'Blnct AR'!$C$2:$D$2255,2,0))," ")</f>
        <v>Material protecção, seg.e conforto</v>
      </c>
      <c r="E1069" s="21" t="s">
        <v>1978</v>
      </c>
      <c r="F1069" s="20">
        <v>78278.64</v>
      </c>
      <c r="G1069" s="20"/>
      <c r="I1069" s="37"/>
    </row>
    <row r="1070" spans="1:9" s="14" customFormat="1" ht="15" customHeight="1">
      <c r="A1070" s="10">
        <v>44135</v>
      </c>
      <c r="B1070" s="8" t="s">
        <v>1949</v>
      </c>
      <c r="C1070" s="11">
        <v>43103</v>
      </c>
      <c r="D1070" s="12" t="str">
        <f>IF(C1070&gt;0,(VLOOKUP(C1070,'Blnct AR'!$C$2:$D$2255,2,0))," ")</f>
        <v>Milénnium 500471734904 Kz</v>
      </c>
      <c r="E1070" s="21" t="s">
        <v>43</v>
      </c>
      <c r="F1070" s="20"/>
      <c r="G1070" s="20">
        <v>1885</v>
      </c>
      <c r="I1070" s="37"/>
    </row>
    <row r="1071" spans="1:9" s="14" customFormat="1" ht="15" customHeight="1">
      <c r="A1071" s="10">
        <v>44135</v>
      </c>
      <c r="B1071" s="8" t="s">
        <v>1949</v>
      </c>
      <c r="C1071" s="11">
        <v>75216</v>
      </c>
      <c r="D1071" s="12" t="str">
        <f>IF(C1071&gt;0,(VLOOKUP(C1071,'Blnct AR'!$C$2:$D$2255,2,0))," ")</f>
        <v>Ferrament.e utensílios desg.rápido</v>
      </c>
      <c r="E1071" s="21" t="s">
        <v>43</v>
      </c>
      <c r="F1071" s="20">
        <v>1885</v>
      </c>
      <c r="G1071" s="20"/>
      <c r="I1071" s="37"/>
    </row>
    <row r="1072" spans="1:9" s="14" customFormat="1" ht="15" customHeight="1">
      <c r="A1072" s="10">
        <v>44135</v>
      </c>
      <c r="B1072" s="8" t="s">
        <v>1922</v>
      </c>
      <c r="C1072" s="11">
        <v>43103</v>
      </c>
      <c r="D1072" s="12" t="str">
        <f>IF(C1072&gt;0,(VLOOKUP(C1072,'Blnct AR'!$C$2:$D$2255,2,0))," ")</f>
        <v>Milénnium 500471734904 Kz</v>
      </c>
      <c r="E1072" s="21" t="s">
        <v>1911</v>
      </c>
      <c r="F1072" s="20"/>
      <c r="G1072" s="20">
        <v>112700</v>
      </c>
      <c r="I1072" s="37"/>
    </row>
    <row r="1073" spans="1:9" s="14" customFormat="1" ht="15" customHeight="1">
      <c r="A1073" s="10">
        <v>44135</v>
      </c>
      <c r="B1073" s="8" t="s">
        <v>1922</v>
      </c>
      <c r="C1073" s="11">
        <v>752202</v>
      </c>
      <c r="D1073" s="12" t="str">
        <f>IF(C1073&gt;0,(VLOOKUP(C1073,'Blnct AR'!$C$2:$D$2255,2,0))," ")</f>
        <v>Telefone Móvel / Internet</v>
      </c>
      <c r="E1073" s="21" t="s">
        <v>1911</v>
      </c>
      <c r="F1073" s="20">
        <v>112700</v>
      </c>
      <c r="G1073" s="20"/>
      <c r="I1073" s="37"/>
    </row>
    <row r="1074" spans="1:9" s="14" customFormat="1" ht="15" customHeight="1">
      <c r="A1074" s="10">
        <v>44135</v>
      </c>
      <c r="B1074" s="8" t="s">
        <v>1984</v>
      </c>
      <c r="C1074" s="11">
        <v>43103</v>
      </c>
      <c r="D1074" s="12" t="str">
        <f>IF(C1074&gt;0,(VLOOKUP(C1074,'Blnct AR'!$C$2:$D$2255,2,0))," ")</f>
        <v>Milénnium 500471734904 Kz</v>
      </c>
      <c r="E1074" s="21" t="s">
        <v>2006</v>
      </c>
      <c r="F1074" s="20"/>
      <c r="G1074" s="20">
        <v>90500</v>
      </c>
      <c r="I1074" s="37"/>
    </row>
    <row r="1075" spans="1:9" s="14" customFormat="1" ht="15" customHeight="1">
      <c r="A1075" s="10">
        <v>44135</v>
      </c>
      <c r="B1075" s="8" t="s">
        <v>1984</v>
      </c>
      <c r="C1075" s="11">
        <v>752231</v>
      </c>
      <c r="D1075" s="12" t="str">
        <f>IF(C1075&gt;0,(VLOOKUP(C1075,'Blnct AR'!$C$2:$D$2255,2,0))," ")</f>
        <v>Refeições e estadas</v>
      </c>
      <c r="E1075" s="21" t="s">
        <v>2006</v>
      </c>
      <c r="F1075" s="20">
        <v>90500</v>
      </c>
      <c r="G1075" s="20"/>
      <c r="I1075" s="37"/>
    </row>
    <row r="1076" spans="1:9" s="14" customFormat="1" ht="15" customHeight="1">
      <c r="A1076" s="10">
        <v>44135</v>
      </c>
      <c r="B1076" s="8" t="s">
        <v>41</v>
      </c>
      <c r="C1076" s="11">
        <v>43103</v>
      </c>
      <c r="D1076" s="12" t="str">
        <f>IF(C1076&gt;0,(VLOOKUP(C1076,'Blnct AR'!$C$2:$D$2255,2,0))," ")</f>
        <v>Milénnium 500471734904 Kz</v>
      </c>
      <c r="E1076" s="21" t="s">
        <v>1985</v>
      </c>
      <c r="F1076" s="20"/>
      <c r="G1076" s="20">
        <v>147350</v>
      </c>
      <c r="I1076" s="37"/>
    </row>
    <row r="1077" spans="1:9" s="14" customFormat="1" ht="15" customHeight="1">
      <c r="A1077" s="10">
        <v>44135</v>
      </c>
      <c r="B1077" s="8" t="s">
        <v>41</v>
      </c>
      <c r="C1077" s="11">
        <v>75224</v>
      </c>
      <c r="D1077" s="12" t="str">
        <f>IF(C1077&gt;0,(VLOOKUP(C1077,'Blnct AR'!$C$2:$D$2255,2,0))," ")</f>
        <v>Despesas de representação</v>
      </c>
      <c r="E1077" s="21" t="s">
        <v>1985</v>
      </c>
      <c r="F1077" s="20">
        <v>147350</v>
      </c>
      <c r="G1077" s="20"/>
      <c r="I1077" s="37"/>
    </row>
    <row r="1078" spans="1:9" s="14" customFormat="1" ht="15" customHeight="1">
      <c r="A1078" s="10">
        <v>44135</v>
      </c>
      <c r="B1078" s="8" t="s">
        <v>1848</v>
      </c>
      <c r="C1078" s="11">
        <v>43103</v>
      </c>
      <c r="D1078" s="12" t="str">
        <f>IF(C1078&gt;0,(VLOOKUP(C1078,'Blnct AR'!$C$2:$D$2255,2,0))," ")</f>
        <v>Milénnium 500471734904 Kz</v>
      </c>
      <c r="E1078" s="21" t="s">
        <v>2059</v>
      </c>
      <c r="F1078" s="20"/>
      <c r="G1078" s="20">
        <v>182325</v>
      </c>
      <c r="I1078" s="37"/>
    </row>
    <row r="1079" spans="1:9" s="14" customFormat="1" ht="15" customHeight="1">
      <c r="A1079" s="10">
        <v>44135</v>
      </c>
      <c r="B1079" s="8" t="s">
        <v>1848</v>
      </c>
      <c r="C1079" s="11">
        <v>75227</v>
      </c>
      <c r="D1079" s="12" t="str">
        <f>IF(C1079&gt;0,(VLOOKUP(C1079,'Blnct AR'!$C$2:$D$2255,2,0))," ")</f>
        <v>Vigilância e segurança</v>
      </c>
      <c r="E1079" s="21" t="s">
        <v>2059</v>
      </c>
      <c r="F1079" s="20">
        <v>182325</v>
      </c>
      <c r="G1079" s="20"/>
      <c r="I1079" s="37"/>
    </row>
    <row r="1080" spans="1:9" s="14" customFormat="1" ht="15" customHeight="1">
      <c r="A1080" s="10">
        <v>44135</v>
      </c>
      <c r="B1080" s="8" t="s">
        <v>1921</v>
      </c>
      <c r="C1080" s="11">
        <v>43103</v>
      </c>
      <c r="D1080" s="12" t="str">
        <f>IF(C1080&gt;0,(VLOOKUP(C1080,'Blnct AR'!$C$2:$D$2255,2,0))," ")</f>
        <v>Milénnium 500471734904 Kz</v>
      </c>
      <c r="E1080" s="21" t="s">
        <v>1860</v>
      </c>
      <c r="F1080" s="20"/>
      <c r="G1080" s="20">
        <v>157196.4</v>
      </c>
      <c r="I1080" s="37"/>
    </row>
    <row r="1081" spans="1:9" s="14" customFormat="1" ht="15" customHeight="1">
      <c r="A1081" s="10">
        <v>44135</v>
      </c>
      <c r="B1081" s="8" t="s">
        <v>1921</v>
      </c>
      <c r="C1081" s="11">
        <v>75228</v>
      </c>
      <c r="D1081" s="12" t="str">
        <f>IF(C1081&gt;0,(VLOOKUP(C1081,'Blnct AR'!$C$2:$D$2255,2,0))," ")</f>
        <v>Limpeza, higiene e conforto</v>
      </c>
      <c r="E1081" s="21" t="s">
        <v>1860</v>
      </c>
      <c r="F1081" s="20">
        <v>157196.4</v>
      </c>
      <c r="G1081" s="20"/>
      <c r="I1081" s="37"/>
    </row>
    <row r="1082" spans="1:9" s="14" customFormat="1" ht="15" customHeight="1">
      <c r="A1082" s="10">
        <v>44135</v>
      </c>
      <c r="B1082" s="8" t="s">
        <v>1955</v>
      </c>
      <c r="C1082" s="11">
        <v>43103</v>
      </c>
      <c r="D1082" s="12" t="str">
        <f>IF(C1082&gt;0,(VLOOKUP(C1082,'Blnct AR'!$C$2:$D$2255,2,0))," ")</f>
        <v>Milénnium 500471734904 Kz</v>
      </c>
      <c r="E1082" s="21" t="s">
        <v>1861</v>
      </c>
      <c r="F1082" s="20"/>
      <c r="G1082" s="20">
        <v>71321</v>
      </c>
      <c r="I1082" s="37"/>
    </row>
    <row r="1083" spans="1:9" s="14" customFormat="1" ht="15" customHeight="1">
      <c r="A1083" s="10">
        <v>44135</v>
      </c>
      <c r="B1083" s="8" t="s">
        <v>1955</v>
      </c>
      <c r="C1083" s="11">
        <v>752131</v>
      </c>
      <c r="D1083" s="12" t="str">
        <f>IF(C1083&gt;0,(VLOOKUP(C1083,'Blnct AR'!$C$2:$D$2255,2,0))," ")</f>
        <v>Gasoleo</v>
      </c>
      <c r="E1083" s="21" t="s">
        <v>1861</v>
      </c>
      <c r="F1083" s="20">
        <v>71321</v>
      </c>
      <c r="G1083" s="20"/>
      <c r="I1083" s="37"/>
    </row>
    <row r="1084" spans="1:9" s="14" customFormat="1" ht="15" customHeight="1">
      <c r="A1084" s="10">
        <v>44135</v>
      </c>
      <c r="B1084" s="8" t="s">
        <v>1957</v>
      </c>
      <c r="C1084" s="11">
        <v>43103</v>
      </c>
      <c r="D1084" s="12" t="str">
        <f>IF(C1084&gt;0,(VLOOKUP(C1084,'Blnct AR'!$C$2:$D$2255,2,0))," ")</f>
        <v>Milénnium 500471734904 Kz</v>
      </c>
      <c r="E1084" s="21" t="s">
        <v>2040</v>
      </c>
      <c r="F1084" s="20"/>
      <c r="G1084" s="20">
        <v>1100</v>
      </c>
      <c r="I1084" s="37"/>
    </row>
    <row r="1085" spans="1:9" s="14" customFormat="1" ht="15" customHeight="1">
      <c r="A1085" s="10">
        <v>44135</v>
      </c>
      <c r="B1085" s="8" t="s">
        <v>1957</v>
      </c>
      <c r="C1085" s="11">
        <v>752133</v>
      </c>
      <c r="D1085" s="12" t="str">
        <f>IF(C1085&gt;0,(VLOOKUP(C1085,'Blnct AR'!$C$2:$D$2255,2,0))," ")</f>
        <v>Gás</v>
      </c>
      <c r="E1085" s="21" t="s">
        <v>2040</v>
      </c>
      <c r="F1085" s="20">
        <v>1100</v>
      </c>
      <c r="G1085" s="20"/>
      <c r="I1085" s="37"/>
    </row>
    <row r="1086" spans="1:9" s="14" customFormat="1" ht="15" customHeight="1">
      <c r="A1086" s="10">
        <v>44135</v>
      </c>
      <c r="B1086" s="8" t="s">
        <v>1961</v>
      </c>
      <c r="C1086" s="11">
        <v>43103</v>
      </c>
      <c r="D1086" s="12" t="str">
        <f>IF(C1086&gt;0,(VLOOKUP(C1086,'Blnct AR'!$C$2:$D$2255,2,0))," ")</f>
        <v>Milénnium 500471734904 Kz</v>
      </c>
      <c r="E1086" s="21" t="s">
        <v>1840</v>
      </c>
      <c r="F1086" s="20"/>
      <c r="G1086" s="20">
        <v>1209203</v>
      </c>
      <c r="I1086" s="37"/>
    </row>
    <row r="1087" spans="1:9" s="14" customFormat="1" ht="15" customHeight="1">
      <c r="A1087" s="10">
        <v>44135</v>
      </c>
      <c r="B1087" s="8" t="s">
        <v>1961</v>
      </c>
      <c r="C1087" s="11">
        <v>752144</v>
      </c>
      <c r="D1087" s="12" t="str">
        <f>IF(C1087&gt;0,(VLOOKUP(C1087,'Blnct AR'!$C$2:$D$2255,2,0))," ")</f>
        <v>Equipamento de carga e transporte</v>
      </c>
      <c r="E1087" s="21" t="s">
        <v>1840</v>
      </c>
      <c r="F1087" s="20">
        <v>1209203</v>
      </c>
      <c r="G1087" s="20"/>
      <c r="I1087" s="37"/>
    </row>
    <row r="1088" spans="1:9" s="14" customFormat="1" ht="15" customHeight="1">
      <c r="A1088" s="10">
        <v>44135</v>
      </c>
      <c r="B1088" s="8" t="s">
        <v>1873</v>
      </c>
      <c r="C1088" s="11">
        <v>43103</v>
      </c>
      <c r="D1088" s="12" t="str">
        <f>IF(C1088&gt;0,(VLOOKUP(C1088,'Blnct AR'!$C$2:$D$2255,2,0))," ")</f>
        <v>Milénnium 500471734904 Kz</v>
      </c>
      <c r="E1088" s="21" t="s">
        <v>1997</v>
      </c>
      <c r="F1088" s="20"/>
      <c r="G1088" s="20">
        <v>211245.2</v>
      </c>
      <c r="I1088" s="37"/>
    </row>
    <row r="1089" spans="1:9" s="14" customFormat="1" ht="15" customHeight="1">
      <c r="A1089" s="10">
        <v>44135</v>
      </c>
      <c r="B1089" s="8" t="s">
        <v>1873</v>
      </c>
      <c r="C1089" s="11">
        <v>752211</v>
      </c>
      <c r="D1089" s="12" t="str">
        <f>IF(C1089&gt;0,(VLOOKUP(C1089,'Blnct AR'!$C$2:$D$2255,2,0))," ")</f>
        <v>Rendas de imóveis Prefor</v>
      </c>
      <c r="E1089" s="21" t="s">
        <v>1997</v>
      </c>
      <c r="F1089" s="20">
        <v>211245.2</v>
      </c>
      <c r="G1089" s="20"/>
      <c r="I1089" s="37"/>
    </row>
    <row r="1090" spans="1:9" s="14" customFormat="1" ht="15" customHeight="1">
      <c r="A1090" s="10">
        <v>44135</v>
      </c>
      <c r="B1090" s="8" t="s">
        <v>1986</v>
      </c>
      <c r="C1090" s="11">
        <v>43103</v>
      </c>
      <c r="D1090" s="12" t="str">
        <f>IF(C1090&gt;0,(VLOOKUP(C1090,'Blnct AR'!$C$2:$D$2255,2,0))," ")</f>
        <v>Milénnium 500471734904 Kz</v>
      </c>
      <c r="E1090" s="21" t="s">
        <v>2045</v>
      </c>
      <c r="F1090" s="20"/>
      <c r="G1090" s="20">
        <v>62500</v>
      </c>
      <c r="I1090" s="37"/>
    </row>
    <row r="1091" spans="1:9" s="14" customFormat="1" ht="15" customHeight="1">
      <c r="A1091" s="10">
        <v>44135</v>
      </c>
      <c r="B1091" s="8" t="s">
        <v>1986</v>
      </c>
      <c r="C1091" s="11">
        <v>752263</v>
      </c>
      <c r="D1091" s="12" t="str">
        <f>IF(C1091&gt;0,(VLOOKUP(C1091,'Blnct AR'!$C$2:$D$2255,2,0))," ")</f>
        <v>Equipamento básico</v>
      </c>
      <c r="E1091" s="21" t="s">
        <v>2045</v>
      </c>
      <c r="F1091" s="20">
        <v>62500</v>
      </c>
      <c r="G1091" s="20"/>
      <c r="I1091" s="37"/>
    </row>
    <row r="1092" spans="1:9" s="14" customFormat="1" ht="15" customHeight="1">
      <c r="A1092" s="10">
        <v>44135</v>
      </c>
      <c r="B1092" s="8" t="s">
        <v>1961</v>
      </c>
      <c r="C1092" s="11">
        <v>43103</v>
      </c>
      <c r="D1092" s="12" t="str">
        <f>IF(C1092&gt;0,(VLOOKUP(C1092,'Blnct AR'!$C$2:$D$2255,2,0))," ")</f>
        <v>Milénnium 500471734904 Kz</v>
      </c>
      <c r="E1092" s="21" t="s">
        <v>1840</v>
      </c>
      <c r="F1092" s="20"/>
      <c r="G1092" s="20">
        <v>23000</v>
      </c>
      <c r="I1092" s="37"/>
    </row>
    <row r="1093" spans="1:9" s="14" customFormat="1" ht="15" customHeight="1">
      <c r="A1093" s="10">
        <v>44135</v>
      </c>
      <c r="B1093" s="8" t="s">
        <v>1961</v>
      </c>
      <c r="C1093" s="11">
        <v>752264</v>
      </c>
      <c r="D1093" s="12" t="str">
        <f>IF(C1093&gt;0,(VLOOKUP(C1093,'Blnct AR'!$C$2:$D$2255,2,0))," ")</f>
        <v>Equipamento de carga e transporte</v>
      </c>
      <c r="E1093" s="21" t="s">
        <v>1840</v>
      </c>
      <c r="F1093" s="20">
        <v>23000</v>
      </c>
      <c r="G1093" s="20"/>
      <c r="I1093" s="37"/>
    </row>
    <row r="1094" spans="1:9" s="14" customFormat="1" ht="15" customHeight="1">
      <c r="A1094" s="10">
        <v>44135</v>
      </c>
      <c r="B1094" s="8" t="s">
        <v>1869</v>
      </c>
      <c r="C1094" s="11">
        <v>43103</v>
      </c>
      <c r="D1094" s="12" t="str">
        <f>IF(C1094&gt;0,(VLOOKUP(C1094,'Blnct AR'!$C$2:$D$2255,2,0))," ")</f>
        <v>Milénnium 500471734904 Kz</v>
      </c>
      <c r="E1094" s="21" t="s">
        <v>1869</v>
      </c>
      <c r="F1094" s="20"/>
      <c r="G1094" s="20">
        <v>168</v>
      </c>
      <c r="I1094" s="37"/>
    </row>
    <row r="1095" spans="1:9" s="14" customFormat="1" ht="15" customHeight="1">
      <c r="A1095" s="10">
        <v>44135</v>
      </c>
      <c r="B1095" s="8" t="s">
        <v>1869</v>
      </c>
      <c r="C1095" s="11">
        <v>75314</v>
      </c>
      <c r="D1095" s="12" t="str">
        <f>IF(C1095&gt;0,(VLOOKUP(C1095,'Blnct AR'!$C$2:$D$2255,2,0))," ")</f>
        <v>IVA Suportado</v>
      </c>
      <c r="E1095" s="21" t="s">
        <v>1869</v>
      </c>
      <c r="F1095" s="20">
        <v>168</v>
      </c>
      <c r="G1095" s="20"/>
      <c r="I1095" s="37"/>
    </row>
    <row r="1096" spans="1:9" s="14" customFormat="1" ht="15" customHeight="1">
      <c r="A1096" s="10"/>
      <c r="B1096" s="8" t="s">
        <v>2008</v>
      </c>
      <c r="C1096" s="11"/>
      <c r="D1096" s="12" t="str">
        <f>IF(C1096&gt;0,(VLOOKUP(C1096,'Blnct AR'!$C$2:$D$2255,2,0))," ")</f>
        <v xml:space="preserve"> </v>
      </c>
      <c r="E1096" s="21"/>
      <c r="F1096" s="20"/>
      <c r="G1096" s="20"/>
      <c r="I1096" s="37"/>
    </row>
    <row r="1097" spans="1:9" s="14" customFormat="1" ht="15" customHeight="1">
      <c r="A1097" s="10">
        <v>44165</v>
      </c>
      <c r="B1097" s="8" t="s">
        <v>1653</v>
      </c>
      <c r="C1097" s="11">
        <v>43101</v>
      </c>
      <c r="D1097" s="12" t="str">
        <f>IF(C1097&gt;0,(VLOOKUP(C1097,'Blnct AR'!$C$2:$D$2255,2,0))," ")</f>
        <v>Banco - BFA</v>
      </c>
      <c r="E1097" s="21" t="s">
        <v>1907</v>
      </c>
      <c r="F1097" s="20"/>
      <c r="G1097" s="20">
        <v>59680</v>
      </c>
      <c r="I1097" s="37"/>
    </row>
    <row r="1098" spans="1:9" s="14" customFormat="1" ht="15" customHeight="1">
      <c r="A1098" s="10">
        <v>44165</v>
      </c>
      <c r="B1098" s="8" t="s">
        <v>1653</v>
      </c>
      <c r="C1098" s="11">
        <v>45111</v>
      </c>
      <c r="D1098" s="12" t="str">
        <f>IF(C1098&gt;0,(VLOOKUP(C1098,'Blnct AR'!$C$2:$D$2255,2,0))," ")</f>
        <v>Caixa Geral</v>
      </c>
      <c r="E1098" s="21" t="s">
        <v>1907</v>
      </c>
      <c r="F1098" s="20">
        <v>59680</v>
      </c>
      <c r="G1098" s="20"/>
      <c r="I1098" s="37"/>
    </row>
    <row r="1099" spans="1:9" s="14" customFormat="1" ht="15" customHeight="1">
      <c r="A1099" s="10">
        <v>44165</v>
      </c>
      <c r="B1099" s="8" t="s">
        <v>1841</v>
      </c>
      <c r="C1099" s="11">
        <v>43101</v>
      </c>
      <c r="D1099" s="12" t="str">
        <f>IF(C1099&gt;0,(VLOOKUP(C1099,'Blnct AR'!$C$2:$D$2255,2,0))," ")</f>
        <v>Banco - BFA</v>
      </c>
      <c r="E1099" s="21" t="s">
        <v>1842</v>
      </c>
      <c r="F1099" s="20"/>
      <c r="G1099" s="20">
        <v>18000</v>
      </c>
      <c r="I1099" s="37"/>
    </row>
    <row r="1100" spans="1:9" s="14" customFormat="1" ht="15" customHeight="1">
      <c r="A1100" s="10">
        <v>44165</v>
      </c>
      <c r="B1100" s="8" t="s">
        <v>1841</v>
      </c>
      <c r="C1100" s="11">
        <v>75211</v>
      </c>
      <c r="D1100" s="12" t="str">
        <f>IF(C1100&gt;0,(VLOOKUP(C1100,'Blnct AR'!$C$2:$D$2255,2,0))," ")</f>
        <v>Água</v>
      </c>
      <c r="E1100" s="21" t="s">
        <v>1842</v>
      </c>
      <c r="F1100" s="20">
        <v>18000</v>
      </c>
      <c r="G1100" s="20"/>
      <c r="I1100" s="37"/>
    </row>
    <row r="1101" spans="1:9" s="14" customFormat="1" ht="15" customHeight="1">
      <c r="A1101" s="10">
        <v>44165</v>
      </c>
      <c r="B1101" s="8" t="s">
        <v>1928</v>
      </c>
      <c r="C1101" s="11">
        <v>43101</v>
      </c>
      <c r="D1101" s="12" t="str">
        <f>IF(C1101&gt;0,(VLOOKUP(C1101,'Blnct AR'!$C$2:$D$2255,2,0))," ")</f>
        <v>Banco - BFA</v>
      </c>
      <c r="E1101" s="21" t="s">
        <v>1929</v>
      </c>
      <c r="F1101" s="20"/>
      <c r="G1101" s="20">
        <v>170000</v>
      </c>
      <c r="I1101" s="37"/>
    </row>
    <row r="1102" spans="1:9" s="14" customFormat="1" ht="15" customHeight="1">
      <c r="A1102" s="10">
        <v>44165</v>
      </c>
      <c r="B1102" s="8" t="s">
        <v>1928</v>
      </c>
      <c r="C1102" s="11">
        <v>75215</v>
      </c>
      <c r="D1102" s="12" t="str">
        <f>IF(C1102&gt;0,(VLOOKUP(C1102,'Blnct AR'!$C$2:$D$2255,2,0))," ")</f>
        <v>Material protecção, seg.e conforto</v>
      </c>
      <c r="E1102" s="21" t="s">
        <v>1929</v>
      </c>
      <c r="F1102" s="20">
        <v>170000</v>
      </c>
      <c r="G1102" s="20"/>
      <c r="I1102" s="37"/>
    </row>
    <row r="1103" spans="1:9" s="14" customFormat="1" ht="15" customHeight="1">
      <c r="A1103" s="10">
        <v>44165</v>
      </c>
      <c r="B1103" s="8" t="s">
        <v>1922</v>
      </c>
      <c r="C1103" s="11">
        <v>43101</v>
      </c>
      <c r="D1103" s="12" t="str">
        <f>IF(C1103&gt;0,(VLOOKUP(C1103,'Blnct AR'!$C$2:$D$2255,2,0))," ")</f>
        <v>Banco - BFA</v>
      </c>
      <c r="E1103" s="21" t="s">
        <v>1911</v>
      </c>
      <c r="F1103" s="20"/>
      <c r="G1103" s="20">
        <v>35000.050000000003</v>
      </c>
      <c r="I1103" s="37"/>
    </row>
    <row r="1104" spans="1:9" s="14" customFormat="1" ht="15" customHeight="1">
      <c r="A1104" s="10">
        <v>44165</v>
      </c>
      <c r="B1104" s="8" t="s">
        <v>1922</v>
      </c>
      <c r="C1104" s="11">
        <v>752202</v>
      </c>
      <c r="D1104" s="12" t="str">
        <f>IF(C1104&gt;0,(VLOOKUP(C1104,'Blnct AR'!$C$2:$D$2255,2,0))," ")</f>
        <v>Telefone Móvel / Internet</v>
      </c>
      <c r="E1104" s="21" t="s">
        <v>1911</v>
      </c>
      <c r="F1104" s="20">
        <v>35000.050000000003</v>
      </c>
      <c r="G1104" s="20"/>
      <c r="I1104" s="37"/>
    </row>
    <row r="1105" spans="1:9" s="14" customFormat="1" ht="15" customHeight="1">
      <c r="A1105" s="10"/>
      <c r="B1105" s="8" t="s">
        <v>2009</v>
      </c>
      <c r="C1105" s="11"/>
      <c r="D1105" s="12" t="str">
        <f>IF(C1105&gt;0,(VLOOKUP(C1105,'Blnct AR'!$C$2:$D$2255,2,0))," ")</f>
        <v xml:space="preserve"> </v>
      </c>
      <c r="E1105" s="21"/>
      <c r="F1105" s="20"/>
      <c r="G1105" s="20"/>
      <c r="I1105" s="37"/>
    </row>
    <row r="1106" spans="1:9" s="14" customFormat="1" ht="15" customHeight="1">
      <c r="A1106" s="10">
        <v>44165</v>
      </c>
      <c r="B1106" s="8" t="s">
        <v>1932</v>
      </c>
      <c r="C1106" s="11">
        <v>43106</v>
      </c>
      <c r="D1106" s="12" t="str">
        <f>IF(C1106&gt;0,(VLOOKUP(C1106,'Blnct AR'!$C$2:$D$2255,2,0))," ")</f>
        <v>Banco BIC - 118133685.15.1</v>
      </c>
      <c r="E1106" s="21" t="s">
        <v>2060</v>
      </c>
      <c r="F1106" s="20"/>
      <c r="G1106" s="20">
        <v>11377957.879999999</v>
      </c>
      <c r="I1106" s="37"/>
    </row>
    <row r="1107" spans="1:9" s="14" customFormat="1" ht="15" customHeight="1">
      <c r="A1107" s="10">
        <v>44165</v>
      </c>
      <c r="B1107" s="8" t="s">
        <v>1932</v>
      </c>
      <c r="C1107" s="11">
        <v>7111</v>
      </c>
      <c r="D1107" s="12" t="str">
        <f>IF(C1107&gt;0,(VLOOKUP(C1107,'Blnct AR'!$C$2:$D$2255,2,0))," ")</f>
        <v>Mp - cevc</v>
      </c>
      <c r="E1107" s="21" t="s">
        <v>2060</v>
      </c>
      <c r="F1107" s="20">
        <v>11377957.879999999</v>
      </c>
      <c r="G1107" s="20"/>
      <c r="I1107" s="37"/>
    </row>
    <row r="1108" spans="1:9" s="14" customFormat="1" ht="15" customHeight="1">
      <c r="A1108" s="10">
        <v>44165</v>
      </c>
      <c r="B1108" s="8" t="s">
        <v>1946</v>
      </c>
      <c r="C1108" s="11">
        <v>43106</v>
      </c>
      <c r="D1108" s="12" t="str">
        <f>IF(C1108&gt;0,(VLOOKUP(C1108,'Blnct AR'!$C$2:$D$2255,2,0))," ")</f>
        <v>Banco BIC - 118133685.15.1</v>
      </c>
      <c r="E1108" s="21" t="s">
        <v>2061</v>
      </c>
      <c r="F1108" s="20"/>
      <c r="G1108" s="20">
        <v>353650</v>
      </c>
      <c r="I1108" s="37"/>
    </row>
    <row r="1109" spans="1:9" s="14" customFormat="1" ht="15" customHeight="1">
      <c r="A1109" s="10">
        <v>44165</v>
      </c>
      <c r="B1109" s="8" t="s">
        <v>1946</v>
      </c>
      <c r="C1109" s="11">
        <v>728220</v>
      </c>
      <c r="D1109" s="12" t="str">
        <f>IF(C1109&gt;0,(VLOOKUP(C1109,'Blnct AR'!$C$2:$D$2255,2,0))," ")</f>
        <v>Saúde</v>
      </c>
      <c r="E1109" s="21" t="s">
        <v>2061</v>
      </c>
      <c r="F1109" s="20">
        <v>353650</v>
      </c>
      <c r="G1109" s="20"/>
      <c r="I1109" s="37"/>
    </row>
    <row r="1110" spans="1:9" s="14" customFormat="1" ht="15" customHeight="1">
      <c r="A1110" s="10">
        <v>44165</v>
      </c>
      <c r="B1110" s="8" t="s">
        <v>1869</v>
      </c>
      <c r="C1110" s="11">
        <v>43106</v>
      </c>
      <c r="D1110" s="12" t="str">
        <f>IF(C1110&gt;0,(VLOOKUP(C1110,'Blnct AR'!$C$2:$D$2255,2,0))," ")</f>
        <v>Banco BIC - 118133685.15.1</v>
      </c>
      <c r="E1110" s="21" t="s">
        <v>1869</v>
      </c>
      <c r="F1110" s="20"/>
      <c r="G1110" s="20">
        <v>9000</v>
      </c>
      <c r="I1110" s="37"/>
    </row>
    <row r="1111" spans="1:9" s="14" customFormat="1" ht="15" customHeight="1">
      <c r="A1111" s="10">
        <v>44165</v>
      </c>
      <c r="B1111" s="8" t="s">
        <v>1869</v>
      </c>
      <c r="C1111" s="11">
        <v>767801</v>
      </c>
      <c r="D1111" s="12" t="str">
        <f>IF(C1111&gt;0,(VLOOKUP(C1111,'Blnct AR'!$C$2:$D$2255,2,0))," ")</f>
        <v>Despesas Operacionais</v>
      </c>
      <c r="E1111" s="21" t="s">
        <v>1869</v>
      </c>
      <c r="F1111" s="20">
        <v>9000</v>
      </c>
      <c r="G1111" s="20"/>
      <c r="I1111" s="37"/>
    </row>
    <row r="1112" spans="1:9" s="14" customFormat="1" ht="15" customHeight="1">
      <c r="A1112" s="10">
        <v>44165</v>
      </c>
      <c r="B1112" s="8" t="s">
        <v>132</v>
      </c>
      <c r="C1112" s="11">
        <v>43106</v>
      </c>
      <c r="D1112" s="12" t="str">
        <f>IF(C1112&gt;0,(VLOOKUP(C1112,'Blnct AR'!$C$2:$D$2255,2,0))," ")</f>
        <v>Banco BIC - 118133685.15.1</v>
      </c>
      <c r="E1112" s="21" t="s">
        <v>2058</v>
      </c>
      <c r="F1112" s="20"/>
      <c r="G1112" s="20">
        <v>224388</v>
      </c>
      <c r="I1112" s="37"/>
    </row>
    <row r="1113" spans="1:9" s="14" customFormat="1" ht="15" customHeight="1">
      <c r="A1113" s="10">
        <v>44165</v>
      </c>
      <c r="B1113" s="8" t="s">
        <v>132</v>
      </c>
      <c r="C1113" s="11">
        <v>72522</v>
      </c>
      <c r="D1113" s="12" t="str">
        <f>IF(C1113&gt;0,(VLOOKUP(C1113,'Blnct AR'!$C$2:$D$2255,2,0))," ")</f>
        <v>Produção Seg. Social</v>
      </c>
      <c r="E1113" s="21" t="s">
        <v>2058</v>
      </c>
      <c r="F1113" s="20">
        <v>224388</v>
      </c>
      <c r="G1113" s="20"/>
      <c r="I1113" s="37"/>
    </row>
    <row r="1114" spans="1:9" s="14" customFormat="1" ht="15" customHeight="1">
      <c r="A1114" s="10">
        <v>44165</v>
      </c>
      <c r="B1114" s="8" t="s">
        <v>1976</v>
      </c>
      <c r="C1114" s="11">
        <v>43106</v>
      </c>
      <c r="D1114" s="12" t="str">
        <f>IF(C1114&gt;0,(VLOOKUP(C1114,'Blnct AR'!$C$2:$D$2255,2,0))," ")</f>
        <v>Banco BIC - 118133685.15.1</v>
      </c>
      <c r="E1114" s="21" t="s">
        <v>1972</v>
      </c>
      <c r="F1114" s="20"/>
      <c r="G1114" s="20">
        <v>1119141.06</v>
      </c>
      <c r="I1114" s="37"/>
    </row>
    <row r="1115" spans="1:9" s="14" customFormat="1" ht="15" customHeight="1">
      <c r="A1115" s="10">
        <v>44165</v>
      </c>
      <c r="B1115" s="8" t="s">
        <v>1976</v>
      </c>
      <c r="C1115" s="11">
        <v>75113</v>
      </c>
      <c r="D1115" s="12" t="str">
        <f>IF(C1115&gt;0,(VLOOKUP(C1115,'Blnct AR'!$C$2:$D$2255,2,0))," ")</f>
        <v>Empreitada B13 Cimaleste</v>
      </c>
      <c r="E1115" s="21" t="s">
        <v>1972</v>
      </c>
      <c r="F1115" s="20">
        <v>1119141.06</v>
      </c>
      <c r="G1115" s="20"/>
      <c r="I1115" s="37"/>
    </row>
    <row r="1116" spans="1:9" s="14" customFormat="1" ht="15" customHeight="1">
      <c r="A1116" s="10">
        <v>44165</v>
      </c>
      <c r="B1116" s="8" t="s">
        <v>2064</v>
      </c>
      <c r="C1116" s="11">
        <v>43106</v>
      </c>
      <c r="D1116" s="12" t="str">
        <f>IF(C1116&gt;0,(VLOOKUP(C1116,'Blnct AR'!$C$2:$D$2255,2,0))," ")</f>
        <v>Banco BIC - 118133685.15.1</v>
      </c>
      <c r="E1116" s="21" t="s">
        <v>2065</v>
      </c>
      <c r="F1116" s="20"/>
      <c r="G1116" s="20">
        <v>460000</v>
      </c>
      <c r="I1116" s="37"/>
    </row>
    <row r="1117" spans="1:9" s="14" customFormat="1" ht="15" customHeight="1">
      <c r="A1117" s="10">
        <v>44165</v>
      </c>
      <c r="B1117" s="8" t="s">
        <v>2064</v>
      </c>
      <c r="C1117" s="11">
        <v>75116</v>
      </c>
      <c r="D1117" s="12" t="str">
        <f>IF(C1117&gt;0,(VLOOKUP(C1117,'Blnct AR'!$C$2:$D$2255,2,0))," ")</f>
        <v>Empreitada Lavandaria B13</v>
      </c>
      <c r="E1117" s="21" t="s">
        <v>2065</v>
      </c>
      <c r="F1117" s="20">
        <v>460000</v>
      </c>
      <c r="G1117" s="20"/>
      <c r="I1117" s="37"/>
    </row>
    <row r="1118" spans="1:9" s="14" customFormat="1" ht="15" customHeight="1">
      <c r="A1118" s="10">
        <v>44165</v>
      </c>
      <c r="B1118" s="8" t="s">
        <v>1922</v>
      </c>
      <c r="C1118" s="11">
        <v>43106</v>
      </c>
      <c r="D1118" s="12" t="str">
        <f>IF(C1118&gt;0,(VLOOKUP(C1118,'Blnct AR'!$C$2:$D$2255,2,0))," ")</f>
        <v>Banco BIC - 118133685.15.1</v>
      </c>
      <c r="E1118" s="21" t="s">
        <v>1911</v>
      </c>
      <c r="F1118" s="20"/>
      <c r="G1118" s="20">
        <v>15400</v>
      </c>
      <c r="I1118" s="37"/>
    </row>
    <row r="1119" spans="1:9" s="14" customFormat="1" ht="15" customHeight="1">
      <c r="A1119" s="10">
        <v>44165</v>
      </c>
      <c r="B1119" s="8" t="s">
        <v>1922</v>
      </c>
      <c r="C1119" s="11">
        <v>752202</v>
      </c>
      <c r="D1119" s="12" t="str">
        <f>IF(C1119&gt;0,(VLOOKUP(C1119,'Blnct AR'!$C$2:$D$2255,2,0))," ")</f>
        <v>Telefone Móvel / Internet</v>
      </c>
      <c r="E1119" s="21" t="s">
        <v>1911</v>
      </c>
      <c r="F1119" s="20">
        <v>15400</v>
      </c>
      <c r="G1119" s="20"/>
      <c r="I1119" s="37"/>
    </row>
    <row r="1120" spans="1:9" s="14" customFormat="1" ht="15" customHeight="1">
      <c r="A1120" s="10">
        <v>44165</v>
      </c>
      <c r="B1120" s="8" t="s">
        <v>1848</v>
      </c>
      <c r="C1120" s="11">
        <v>43106</v>
      </c>
      <c r="D1120" s="12" t="str">
        <f>IF(C1120&gt;0,(VLOOKUP(C1120,'Blnct AR'!$C$2:$D$2255,2,0))," ")</f>
        <v>Banco BIC - 118133685.15.1</v>
      </c>
      <c r="E1120" s="21" t="s">
        <v>2066</v>
      </c>
      <c r="F1120" s="20"/>
      <c r="G1120" s="20">
        <v>364650</v>
      </c>
      <c r="I1120" s="37"/>
    </row>
    <row r="1121" spans="1:9" s="14" customFormat="1" ht="15" customHeight="1">
      <c r="A1121" s="10">
        <v>44165</v>
      </c>
      <c r="B1121" s="8" t="s">
        <v>1848</v>
      </c>
      <c r="C1121" s="11">
        <v>75227</v>
      </c>
      <c r="D1121" s="12" t="str">
        <f>IF(C1121&gt;0,(VLOOKUP(C1121,'Blnct AR'!$C$2:$D$2255,2,0))," ")</f>
        <v>Vigilância e segurança</v>
      </c>
      <c r="E1121" s="21" t="s">
        <v>2066</v>
      </c>
      <c r="F1121" s="20">
        <v>364650</v>
      </c>
      <c r="G1121" s="20"/>
      <c r="I1121" s="37"/>
    </row>
    <row r="1122" spans="1:9" s="14" customFormat="1" ht="15" customHeight="1">
      <c r="A1122" s="10">
        <v>44165</v>
      </c>
      <c r="B1122" s="8" t="s">
        <v>1916</v>
      </c>
      <c r="C1122" s="11">
        <v>43106</v>
      </c>
      <c r="D1122" s="12" t="str">
        <f>IF(C1122&gt;0,(VLOOKUP(C1122,'Blnct AR'!$C$2:$D$2255,2,0))," ")</f>
        <v>Banco BIC - 118133685.15.1</v>
      </c>
      <c r="E1122" s="21" t="s">
        <v>1913</v>
      </c>
      <c r="F1122" s="20"/>
      <c r="G1122" s="20">
        <v>108434.16</v>
      </c>
      <c r="I1122" s="37"/>
    </row>
    <row r="1123" spans="1:9" s="14" customFormat="1" ht="15" customHeight="1">
      <c r="A1123" s="10">
        <v>44165</v>
      </c>
      <c r="B1123" s="8" t="s">
        <v>1916</v>
      </c>
      <c r="C1123" s="11">
        <v>752131</v>
      </c>
      <c r="D1123" s="12" t="str">
        <f>IF(C1123&gt;0,(VLOOKUP(C1123,'Blnct AR'!$C$2:$D$2255,2,0))," ")</f>
        <v>Gasoleo</v>
      </c>
      <c r="E1123" s="21" t="s">
        <v>1913</v>
      </c>
      <c r="F1123" s="20">
        <v>108434.16</v>
      </c>
      <c r="G1123" s="20"/>
      <c r="I1123" s="37"/>
    </row>
    <row r="1124" spans="1:9" s="14" customFormat="1" ht="15" customHeight="1">
      <c r="A1124" s="10">
        <v>44165</v>
      </c>
      <c r="B1124" s="8" t="s">
        <v>1961</v>
      </c>
      <c r="C1124" s="11">
        <v>43106</v>
      </c>
      <c r="D1124" s="12" t="str">
        <f>IF(C1124&gt;0,(VLOOKUP(C1124,'Blnct AR'!$C$2:$D$2255,2,0))," ")</f>
        <v>Banco BIC - 118133685.15.1</v>
      </c>
      <c r="E1124" s="21" t="s">
        <v>1840</v>
      </c>
      <c r="F1124" s="20"/>
      <c r="G1124" s="20">
        <v>745902</v>
      </c>
      <c r="I1124" s="37"/>
    </row>
    <row r="1125" spans="1:9" s="14" customFormat="1" ht="15" customHeight="1">
      <c r="A1125" s="10">
        <v>44165</v>
      </c>
      <c r="B1125" s="8" t="s">
        <v>1961</v>
      </c>
      <c r="C1125" s="11">
        <v>752144</v>
      </c>
      <c r="D1125" s="12" t="str">
        <f>IF(C1125&gt;0,(VLOOKUP(C1125,'Blnct AR'!$C$2:$D$2255,2,0))," ")</f>
        <v>Equipamento de carga e transporte</v>
      </c>
      <c r="E1125" s="21" t="s">
        <v>1840</v>
      </c>
      <c r="F1125" s="20">
        <v>745902</v>
      </c>
      <c r="G1125" s="20"/>
      <c r="I1125" s="37"/>
    </row>
    <row r="1126" spans="1:9" s="14" customFormat="1" ht="15" customHeight="1">
      <c r="A1126" s="10">
        <v>44165</v>
      </c>
      <c r="B1126" s="8" t="s">
        <v>1873</v>
      </c>
      <c r="C1126" s="11">
        <v>43106</v>
      </c>
      <c r="D1126" s="12" t="str">
        <f>IF(C1126&gt;0,(VLOOKUP(C1126,'Blnct AR'!$C$2:$D$2255,2,0))," ")</f>
        <v>Banco BIC - 118133685.15.1</v>
      </c>
      <c r="E1126" s="21" t="s">
        <v>1997</v>
      </c>
      <c r="F1126" s="20"/>
      <c r="G1126" s="20">
        <v>207939.20000000001</v>
      </c>
      <c r="I1126" s="37"/>
    </row>
    <row r="1127" spans="1:9" s="14" customFormat="1" ht="15" customHeight="1">
      <c r="A1127" s="10">
        <v>44165</v>
      </c>
      <c r="B1127" s="8" t="s">
        <v>1873</v>
      </c>
      <c r="C1127" s="11">
        <v>752211</v>
      </c>
      <c r="D1127" s="12" t="str">
        <f>IF(C1127&gt;0,(VLOOKUP(C1127,'Blnct AR'!$C$2:$D$2255,2,0))," ")</f>
        <v>Rendas de imóveis Prefor</v>
      </c>
      <c r="E1127" s="21" t="s">
        <v>1997</v>
      </c>
      <c r="F1127" s="20">
        <v>207939.20000000001</v>
      </c>
      <c r="G1127" s="20"/>
      <c r="I1127" s="37"/>
    </row>
    <row r="1128" spans="1:9" s="14" customFormat="1" ht="15" customHeight="1">
      <c r="A1128" s="10">
        <v>44165</v>
      </c>
      <c r="B1128" s="8" t="s">
        <v>2027</v>
      </c>
      <c r="C1128" s="11">
        <v>43106</v>
      </c>
      <c r="D1128" s="12" t="str">
        <f>IF(C1128&gt;0,(VLOOKUP(C1128,'Blnct AR'!$C$2:$D$2255,2,0))," ")</f>
        <v>Banco BIC - 118133685.15.1</v>
      </c>
      <c r="E1128" s="21" t="s">
        <v>2028</v>
      </c>
      <c r="F1128" s="20"/>
      <c r="G1128" s="20">
        <v>696000</v>
      </c>
      <c r="I1128" s="37"/>
    </row>
    <row r="1129" spans="1:9" s="14" customFormat="1" ht="15" customHeight="1">
      <c r="A1129" s="10">
        <v>44165</v>
      </c>
      <c r="B1129" s="8" t="s">
        <v>2027</v>
      </c>
      <c r="C1129" s="11">
        <v>752214</v>
      </c>
      <c r="D1129" s="12" t="str">
        <f>IF(C1129&gt;0,(VLOOKUP(C1129,'Blnct AR'!$C$2:$D$2255,2,0))," ")</f>
        <v>Serviço de transporte</v>
      </c>
      <c r="E1129" s="21" t="s">
        <v>2028</v>
      </c>
      <c r="F1129" s="20">
        <v>696000</v>
      </c>
      <c r="G1129" s="20"/>
      <c r="I1129" s="37"/>
    </row>
    <row r="1130" spans="1:9" s="14" customFormat="1" ht="15" customHeight="1">
      <c r="A1130" s="10">
        <v>44165</v>
      </c>
      <c r="B1130" s="8" t="s">
        <v>2027</v>
      </c>
      <c r="C1130" s="11">
        <v>43106</v>
      </c>
      <c r="D1130" s="12" t="str">
        <f>IF(C1130&gt;0,(VLOOKUP(C1130,'Blnct AR'!$C$2:$D$2255,2,0))," ")</f>
        <v>Banco BIC - 118133685.15.1</v>
      </c>
      <c r="E1130" s="21" t="s">
        <v>2067</v>
      </c>
      <c r="F1130" s="20"/>
      <c r="G1130" s="20">
        <v>46750</v>
      </c>
      <c r="I1130" s="37"/>
    </row>
    <row r="1131" spans="1:9" s="14" customFormat="1" ht="15" customHeight="1">
      <c r="A1131" s="10">
        <v>44165</v>
      </c>
      <c r="B1131" s="8" t="s">
        <v>2027</v>
      </c>
      <c r="C1131" s="11">
        <v>752214</v>
      </c>
      <c r="D1131" s="12" t="str">
        <f>IF(C1131&gt;0,(VLOOKUP(C1131,'Blnct AR'!$C$2:$D$2255,2,0))," ")</f>
        <v>Serviço de transporte</v>
      </c>
      <c r="E1131" s="21" t="s">
        <v>2067</v>
      </c>
      <c r="F1131" s="20">
        <v>46750</v>
      </c>
      <c r="G1131" s="20"/>
      <c r="I1131" s="37"/>
    </row>
    <row r="1132" spans="1:9" s="14" customFormat="1" ht="15" customHeight="1">
      <c r="A1132" s="10">
        <v>44165</v>
      </c>
      <c r="B1132" s="8" t="s">
        <v>2027</v>
      </c>
      <c r="C1132" s="11">
        <v>43106</v>
      </c>
      <c r="D1132" s="12" t="str">
        <f>IF(C1132&gt;0,(VLOOKUP(C1132,'Blnct AR'!$C$2:$D$2255,2,0))," ")</f>
        <v>Banco BIC - 118133685.15.1</v>
      </c>
      <c r="E1132" s="21" t="s">
        <v>2068</v>
      </c>
      <c r="F1132" s="20"/>
      <c r="G1132" s="20">
        <v>168300</v>
      </c>
      <c r="I1132" s="37"/>
    </row>
    <row r="1133" spans="1:9" s="14" customFormat="1" ht="15" customHeight="1">
      <c r="A1133" s="10">
        <v>44165</v>
      </c>
      <c r="B1133" s="8" t="s">
        <v>2027</v>
      </c>
      <c r="C1133" s="11">
        <v>752214</v>
      </c>
      <c r="D1133" s="12" t="str">
        <f>IF(C1133&gt;0,(VLOOKUP(C1133,'Blnct AR'!$C$2:$D$2255,2,0))," ")</f>
        <v>Serviço de transporte</v>
      </c>
      <c r="E1133" s="21" t="s">
        <v>2068</v>
      </c>
      <c r="F1133" s="20">
        <v>168300</v>
      </c>
      <c r="G1133" s="20"/>
      <c r="I1133" s="37"/>
    </row>
    <row r="1134" spans="1:9" s="14" customFormat="1" ht="15" customHeight="1">
      <c r="A1134" s="10">
        <v>44165</v>
      </c>
      <c r="B1134" s="8" t="s">
        <v>1873</v>
      </c>
      <c r="C1134" s="11">
        <v>43106</v>
      </c>
      <c r="D1134" s="12" t="str">
        <f>IF(C1134&gt;0,(VLOOKUP(C1134,'Blnct AR'!$C$2:$D$2255,2,0))," ")</f>
        <v>Banco BIC - 118133685.15.1</v>
      </c>
      <c r="E1134" s="21" t="s">
        <v>1998</v>
      </c>
      <c r="F1134" s="20"/>
      <c r="G1134" s="20">
        <v>352000</v>
      </c>
      <c r="I1134" s="37"/>
    </row>
    <row r="1135" spans="1:9" s="14" customFormat="1" ht="15" customHeight="1">
      <c r="A1135" s="10">
        <v>44165</v>
      </c>
      <c r="B1135" s="8" t="s">
        <v>1873</v>
      </c>
      <c r="C1135" s="11">
        <v>752212</v>
      </c>
      <c r="D1135" s="12" t="str">
        <f>IF(C1135&gt;0,(VLOOKUP(C1135,'Blnct AR'!$C$2:$D$2255,2,0))," ")</f>
        <v>Rendas de imóveis Cofrialarme</v>
      </c>
      <c r="E1135" s="21" t="s">
        <v>1998</v>
      </c>
      <c r="F1135" s="20">
        <v>352000</v>
      </c>
      <c r="G1135" s="20"/>
      <c r="I1135" s="37"/>
    </row>
    <row r="1136" spans="1:9" s="14" customFormat="1" ht="15" customHeight="1">
      <c r="A1136" s="10">
        <v>44165</v>
      </c>
      <c r="B1136" s="8" t="s">
        <v>1869</v>
      </c>
      <c r="C1136" s="11">
        <v>43106</v>
      </c>
      <c r="D1136" s="12" t="str">
        <f>IF(C1136&gt;0,(VLOOKUP(C1136,'Blnct AR'!$C$2:$D$2255,2,0))," ")</f>
        <v>Banco BIC - 118133685.15.1</v>
      </c>
      <c r="E1136" s="21" t="s">
        <v>1869</v>
      </c>
      <c r="F1136" s="20"/>
      <c r="G1136" s="20">
        <v>1260</v>
      </c>
      <c r="I1136" s="37"/>
    </row>
    <row r="1137" spans="1:9" s="14" customFormat="1" ht="15" customHeight="1">
      <c r="A1137" s="10">
        <v>44165</v>
      </c>
      <c r="B1137" s="8" t="s">
        <v>1869</v>
      </c>
      <c r="C1137" s="11">
        <v>75314</v>
      </c>
      <c r="D1137" s="12" t="str">
        <f>IF(C1137&gt;0,(VLOOKUP(C1137,'Blnct AR'!$C$2:$D$2255,2,0))," ")</f>
        <v>IVA Suportado</v>
      </c>
      <c r="E1137" s="21" t="s">
        <v>1869</v>
      </c>
      <c r="F1137" s="20">
        <v>1260</v>
      </c>
      <c r="G1137" s="20"/>
      <c r="I1137" s="37"/>
    </row>
    <row r="1138" spans="1:9" s="14" customFormat="1" ht="15" customHeight="1">
      <c r="A1138" s="10"/>
      <c r="B1138" s="8" t="s">
        <v>2010</v>
      </c>
      <c r="C1138" s="11"/>
      <c r="D1138" s="12" t="str">
        <f>IF(C1138&gt;0,(VLOOKUP(C1138,'Blnct AR'!$C$2:$D$2255,2,0))," ")</f>
        <v xml:space="preserve"> </v>
      </c>
      <c r="E1138" s="21"/>
      <c r="F1138" s="20"/>
      <c r="G1138" s="20"/>
      <c r="I1138" s="37"/>
    </row>
    <row r="1139" spans="1:9" s="14" customFormat="1" ht="15" customHeight="1">
      <c r="A1139" s="10">
        <v>44165</v>
      </c>
      <c r="B1139" s="8" t="s">
        <v>1653</v>
      </c>
      <c r="C1139" s="11">
        <v>43103</v>
      </c>
      <c r="D1139" s="12" t="str">
        <f>IF(C1139&gt;0,(VLOOKUP(C1139,'Blnct AR'!$C$2:$D$2255,2,0))," ")</f>
        <v>Milénnium 500471734904 Kz</v>
      </c>
      <c r="E1139" s="21" t="s">
        <v>1907</v>
      </c>
      <c r="F1139" s="20"/>
      <c r="G1139" s="20">
        <v>130000</v>
      </c>
      <c r="I1139" s="37"/>
    </row>
    <row r="1140" spans="1:9" s="14" customFormat="1" ht="15" customHeight="1">
      <c r="A1140" s="10">
        <v>44165</v>
      </c>
      <c r="B1140" s="8" t="s">
        <v>1653</v>
      </c>
      <c r="C1140" s="11">
        <v>45111</v>
      </c>
      <c r="D1140" s="12" t="str">
        <f>IF(C1140&gt;0,(VLOOKUP(C1140,'Blnct AR'!$C$2:$D$2255,2,0))," ")</f>
        <v>Caixa Geral</v>
      </c>
      <c r="E1140" s="21" t="s">
        <v>1907</v>
      </c>
      <c r="F1140" s="20">
        <v>130000</v>
      </c>
      <c r="G1140" s="20"/>
      <c r="I1140" s="37"/>
    </row>
    <row r="1141" spans="1:9" s="14" customFormat="1" ht="15" customHeight="1">
      <c r="A1141" s="10">
        <v>44165</v>
      </c>
      <c r="B1141" s="8" t="s">
        <v>1932</v>
      </c>
      <c r="C1141" s="11">
        <v>43103</v>
      </c>
      <c r="D1141" s="12" t="str">
        <f>IF(C1141&gt;0,(VLOOKUP(C1141,'Blnct AR'!$C$2:$D$2255,2,0))," ")</f>
        <v>Milénnium 500471734904 Kz</v>
      </c>
      <c r="E1141" s="21" t="s">
        <v>2060</v>
      </c>
      <c r="F1141" s="20"/>
      <c r="G1141" s="20">
        <v>2517401.52</v>
      </c>
      <c r="I1141" s="37"/>
    </row>
    <row r="1142" spans="1:9" s="14" customFormat="1" ht="15" customHeight="1">
      <c r="A1142" s="10">
        <v>44165</v>
      </c>
      <c r="B1142" s="8" t="s">
        <v>1932</v>
      </c>
      <c r="C1142" s="11">
        <v>7111</v>
      </c>
      <c r="D1142" s="12" t="str">
        <f>IF(C1142&gt;0,(VLOOKUP(C1142,'Blnct AR'!$C$2:$D$2255,2,0))," ")</f>
        <v>Mp - cevc</v>
      </c>
      <c r="E1142" s="21" t="s">
        <v>2060</v>
      </c>
      <c r="F1142" s="20">
        <v>2517401.52</v>
      </c>
      <c r="G1142" s="20"/>
      <c r="I1142" s="37"/>
    </row>
    <row r="1143" spans="1:9" s="14" customFormat="1" ht="15" customHeight="1">
      <c r="A1143" s="10">
        <v>44165</v>
      </c>
      <c r="B1143" s="8" t="s">
        <v>1946</v>
      </c>
      <c r="C1143" s="11">
        <v>43103</v>
      </c>
      <c r="D1143" s="12" t="str">
        <f>IF(C1143&gt;0,(VLOOKUP(C1143,'Blnct AR'!$C$2:$D$2255,2,0))," ")</f>
        <v>Milénnium 500471734904 Kz</v>
      </c>
      <c r="E1143" s="21" t="s">
        <v>1857</v>
      </c>
      <c r="F1143" s="20"/>
      <c r="G1143" s="20">
        <v>155337.32999999999</v>
      </c>
      <c r="I1143" s="37"/>
    </row>
    <row r="1144" spans="1:9" s="14" customFormat="1" ht="15" customHeight="1">
      <c r="A1144" s="10">
        <v>44165</v>
      </c>
      <c r="B1144" s="8" t="s">
        <v>1946</v>
      </c>
      <c r="C1144" s="11">
        <v>728220</v>
      </c>
      <c r="D1144" s="12" t="str">
        <f>IF(C1144&gt;0,(VLOOKUP(C1144,'Blnct AR'!$C$2:$D$2255,2,0))," ")</f>
        <v>Saúde</v>
      </c>
      <c r="E1144" s="21" t="s">
        <v>1857</v>
      </c>
      <c r="F1144" s="20">
        <v>155337.32999999999</v>
      </c>
      <c r="G1144" s="20"/>
      <c r="I1144" s="37"/>
    </row>
    <row r="1145" spans="1:9" s="14" customFormat="1" ht="15" customHeight="1">
      <c r="A1145" s="10">
        <v>44165</v>
      </c>
      <c r="B1145" s="8" t="s">
        <v>1844</v>
      </c>
      <c r="C1145" s="11">
        <v>43103</v>
      </c>
      <c r="D1145" s="12" t="str">
        <f>IF(C1145&gt;0,(VLOOKUP(C1145,'Blnct AR'!$C$2:$D$2255,2,0))," ")</f>
        <v>Milénnium 500471734904 Kz</v>
      </c>
      <c r="E1145" s="21" t="s">
        <v>1947</v>
      </c>
      <c r="F1145" s="20"/>
      <c r="G1145" s="20">
        <v>345144.31</v>
      </c>
      <c r="I1145" s="37"/>
    </row>
    <row r="1146" spans="1:9" s="14" customFormat="1" ht="15" customHeight="1">
      <c r="A1146" s="10">
        <v>44165</v>
      </c>
      <c r="B1146" s="8" t="s">
        <v>1844</v>
      </c>
      <c r="C1146" s="11">
        <v>7522122</v>
      </c>
      <c r="D1146" s="12" t="str">
        <f>IF(C1146&gt;0,(VLOOKUP(C1146,'Blnct AR'!$C$2:$D$2255,2,0))," ")</f>
        <v>Aluguer de Viatura</v>
      </c>
      <c r="E1146" s="21" t="s">
        <v>1947</v>
      </c>
      <c r="F1146" s="20">
        <v>345144.31</v>
      </c>
      <c r="G1146" s="20"/>
      <c r="I1146" s="37"/>
    </row>
    <row r="1147" spans="1:9" s="14" customFormat="1" ht="15" customHeight="1">
      <c r="A1147" s="10">
        <v>44165</v>
      </c>
      <c r="B1147" s="8" t="s">
        <v>1869</v>
      </c>
      <c r="C1147" s="11">
        <v>43103</v>
      </c>
      <c r="D1147" s="12" t="str">
        <f>IF(C1147&gt;0,(VLOOKUP(C1147,'Blnct AR'!$C$2:$D$2255,2,0))," ")</f>
        <v>Milénnium 500471734904 Kz</v>
      </c>
      <c r="E1147" s="21" t="s">
        <v>1869</v>
      </c>
      <c r="F1147" s="20"/>
      <c r="G1147" s="20">
        <v>3600</v>
      </c>
      <c r="I1147" s="37"/>
    </row>
    <row r="1148" spans="1:9" s="14" customFormat="1" ht="15" customHeight="1">
      <c r="A1148" s="10">
        <v>44165</v>
      </c>
      <c r="B1148" s="8" t="s">
        <v>1869</v>
      </c>
      <c r="C1148" s="11">
        <v>767801</v>
      </c>
      <c r="D1148" s="12" t="str">
        <f>IF(C1148&gt;0,(VLOOKUP(C1148,'Blnct AR'!$C$2:$D$2255,2,0))," ")</f>
        <v>Despesas Operacionais</v>
      </c>
      <c r="E1148" s="21" t="s">
        <v>1869</v>
      </c>
      <c r="F1148" s="20">
        <v>3600</v>
      </c>
      <c r="G1148" s="20"/>
      <c r="I1148" s="37"/>
    </row>
    <row r="1149" spans="1:9" s="14" customFormat="1" ht="15" customHeight="1">
      <c r="A1149" s="10">
        <v>44165</v>
      </c>
      <c r="B1149" s="8" t="s">
        <v>1116</v>
      </c>
      <c r="C1149" s="11">
        <v>43103</v>
      </c>
      <c r="D1149" s="12" t="str">
        <f>IF(C1149&gt;0,(VLOOKUP(C1149,'Blnct AR'!$C$2:$D$2255,2,0))," ")</f>
        <v>Milénnium 500471734904 Kz</v>
      </c>
      <c r="E1149" s="21" t="s">
        <v>2070</v>
      </c>
      <c r="F1149" s="20"/>
      <c r="G1149" s="20">
        <v>665000</v>
      </c>
      <c r="I1149" s="37"/>
    </row>
    <row r="1150" spans="1:9" s="14" customFormat="1" ht="15" customHeight="1">
      <c r="A1150" s="10">
        <v>44165</v>
      </c>
      <c r="B1150" s="8" t="s">
        <v>1116</v>
      </c>
      <c r="C1150" s="11">
        <v>72211</v>
      </c>
      <c r="D1150" s="12" t="str">
        <f>IF(C1150&gt;0,(VLOOKUP(C1150,'Blnct AR'!$C$2:$D$2255,2,0))," ")</f>
        <v>Ordenados</v>
      </c>
      <c r="E1150" s="21" t="s">
        <v>2070</v>
      </c>
      <c r="F1150" s="20">
        <v>665000</v>
      </c>
      <c r="G1150" s="20"/>
      <c r="I1150" s="37"/>
    </row>
    <row r="1151" spans="1:9" s="14" customFormat="1" ht="15" customHeight="1">
      <c r="A1151" s="10">
        <v>44165</v>
      </c>
      <c r="B1151" s="8" t="s">
        <v>1976</v>
      </c>
      <c r="C1151" s="11">
        <v>43103</v>
      </c>
      <c r="D1151" s="12" t="str">
        <f>IF(C1151&gt;0,(VLOOKUP(C1151,'Blnct AR'!$C$2:$D$2255,2,0))," ")</f>
        <v>Milénnium 500471734904 Kz</v>
      </c>
      <c r="E1151" s="21" t="s">
        <v>1993</v>
      </c>
      <c r="F1151" s="20"/>
      <c r="G1151" s="20">
        <v>143000</v>
      </c>
      <c r="I1151" s="37"/>
    </row>
    <row r="1152" spans="1:9" s="14" customFormat="1" ht="15" customHeight="1">
      <c r="A1152" s="10">
        <v>44165</v>
      </c>
      <c r="B1152" s="8" t="s">
        <v>1976</v>
      </c>
      <c r="C1152" s="11">
        <v>75114</v>
      </c>
      <c r="D1152" s="12" t="str">
        <f>IF(C1152&gt;0,(VLOOKUP(C1152,'Blnct AR'!$C$2:$D$2255,2,0))," ")</f>
        <v>Empreitada B13 Sdavid</v>
      </c>
      <c r="E1152" s="21" t="s">
        <v>1993</v>
      </c>
      <c r="F1152" s="20">
        <v>143000</v>
      </c>
      <c r="G1152" s="20"/>
      <c r="I1152" s="37"/>
    </row>
    <row r="1153" spans="1:9" s="14" customFormat="1" ht="15" customHeight="1">
      <c r="A1153" s="10">
        <v>44165</v>
      </c>
      <c r="B1153" s="8" t="s">
        <v>1928</v>
      </c>
      <c r="C1153" s="11">
        <v>43103</v>
      </c>
      <c r="D1153" s="12" t="str">
        <f>IF(C1153&gt;0,(VLOOKUP(C1153,'Blnct AR'!$C$2:$D$2255,2,0))," ")</f>
        <v>Milénnium 500471734904 Kz</v>
      </c>
      <c r="E1153" s="21" t="s">
        <v>1978</v>
      </c>
      <c r="F1153" s="20"/>
      <c r="G1153" s="20">
        <v>3500</v>
      </c>
      <c r="I1153" s="37"/>
    </row>
    <row r="1154" spans="1:9" s="14" customFormat="1" ht="15" customHeight="1">
      <c r="A1154" s="10">
        <v>44165</v>
      </c>
      <c r="B1154" s="8" t="s">
        <v>1928</v>
      </c>
      <c r="C1154" s="11">
        <v>75215</v>
      </c>
      <c r="D1154" s="12" t="str">
        <f>IF(C1154&gt;0,(VLOOKUP(C1154,'Blnct AR'!$C$2:$D$2255,2,0))," ")</f>
        <v>Material protecção, seg.e conforto</v>
      </c>
      <c r="E1154" s="21" t="s">
        <v>1978</v>
      </c>
      <c r="F1154" s="20">
        <v>3500</v>
      </c>
      <c r="G1154" s="20"/>
      <c r="I1154" s="37"/>
    </row>
    <row r="1155" spans="1:9" s="14" customFormat="1" ht="15" customHeight="1">
      <c r="A1155" s="10">
        <v>44165</v>
      </c>
      <c r="B1155" s="8" t="s">
        <v>1949</v>
      </c>
      <c r="C1155" s="11">
        <v>43103</v>
      </c>
      <c r="D1155" s="12" t="str">
        <f>IF(C1155&gt;0,(VLOOKUP(C1155,'Blnct AR'!$C$2:$D$2255,2,0))," ")</f>
        <v>Milénnium 500471734904 Kz</v>
      </c>
      <c r="E1155" s="21" t="s">
        <v>43</v>
      </c>
      <c r="F1155" s="20"/>
      <c r="G1155" s="20">
        <v>16905.73</v>
      </c>
      <c r="I1155" s="37"/>
    </row>
    <row r="1156" spans="1:9" s="14" customFormat="1" ht="15" customHeight="1">
      <c r="A1156" s="10">
        <v>44165</v>
      </c>
      <c r="B1156" s="8" t="s">
        <v>1949</v>
      </c>
      <c r="C1156" s="11">
        <v>75216</v>
      </c>
      <c r="D1156" s="12" t="str">
        <f>IF(C1156&gt;0,(VLOOKUP(C1156,'Blnct AR'!$C$2:$D$2255,2,0))," ")</f>
        <v>Ferrament.e utensílios desg.rápido</v>
      </c>
      <c r="E1156" s="21" t="s">
        <v>43</v>
      </c>
      <c r="F1156" s="20">
        <v>16905.73</v>
      </c>
      <c r="G1156" s="20"/>
      <c r="I1156" s="37"/>
    </row>
    <row r="1157" spans="1:9" s="14" customFormat="1" ht="15" customHeight="1">
      <c r="A1157" s="10">
        <v>44165</v>
      </c>
      <c r="B1157" s="8" t="s">
        <v>59</v>
      </c>
      <c r="C1157" s="11">
        <v>43103</v>
      </c>
      <c r="D1157" s="12" t="str">
        <f>IF(C1157&gt;0,(VLOOKUP(C1157,'Blnct AR'!$C$2:$D$2255,2,0))," ")</f>
        <v>Milénnium 500471734904 Kz</v>
      </c>
      <c r="E1157" s="21" t="s">
        <v>2021</v>
      </c>
      <c r="F1157" s="20"/>
      <c r="G1157" s="20">
        <v>83950</v>
      </c>
      <c r="I1157" s="37"/>
    </row>
    <row r="1158" spans="1:9" s="14" customFormat="1" ht="15" customHeight="1">
      <c r="A1158" s="10">
        <v>44165</v>
      </c>
      <c r="B1158" s="8" t="s">
        <v>59</v>
      </c>
      <c r="C1158" s="11">
        <v>75217</v>
      </c>
      <c r="D1158" s="12" t="str">
        <f>IF(C1158&gt;0,(VLOOKUP(C1158,'Blnct AR'!$C$2:$D$2255,2,0))," ")</f>
        <v>Material de escritório</v>
      </c>
      <c r="E1158" s="21" t="s">
        <v>2021</v>
      </c>
      <c r="F1158" s="20">
        <v>83950</v>
      </c>
      <c r="G1158" s="20"/>
      <c r="I1158" s="37"/>
    </row>
    <row r="1159" spans="1:9" s="14" customFormat="1" ht="15" customHeight="1">
      <c r="A1159" s="10">
        <v>44165</v>
      </c>
      <c r="B1159" s="8" t="s">
        <v>1922</v>
      </c>
      <c r="C1159" s="11">
        <v>43103</v>
      </c>
      <c r="D1159" s="12" t="str">
        <f>IF(C1159&gt;0,(VLOOKUP(C1159,'Blnct AR'!$C$2:$D$2255,2,0))," ")</f>
        <v>Milénnium 500471734904 Kz</v>
      </c>
      <c r="E1159" s="21" t="s">
        <v>1911</v>
      </c>
      <c r="F1159" s="20"/>
      <c r="G1159" s="20">
        <v>63000</v>
      </c>
      <c r="I1159" s="37"/>
    </row>
    <row r="1160" spans="1:9" s="14" customFormat="1" ht="15" customHeight="1">
      <c r="A1160" s="10">
        <v>44165</v>
      </c>
      <c r="B1160" s="8" t="s">
        <v>1922</v>
      </c>
      <c r="C1160" s="11">
        <v>752202</v>
      </c>
      <c r="D1160" s="12" t="str">
        <f>IF(C1160&gt;0,(VLOOKUP(C1160,'Blnct AR'!$C$2:$D$2255,2,0))," ")</f>
        <v>Telefone Móvel / Internet</v>
      </c>
      <c r="E1160" s="21" t="s">
        <v>1911</v>
      </c>
      <c r="F1160" s="20">
        <v>63000</v>
      </c>
      <c r="G1160" s="20"/>
      <c r="I1160" s="37"/>
    </row>
    <row r="1161" spans="1:9" s="14" customFormat="1" ht="15" customHeight="1">
      <c r="A1161" s="10">
        <v>44165</v>
      </c>
      <c r="B1161" s="8" t="s">
        <v>1984</v>
      </c>
      <c r="C1161" s="11">
        <v>43103</v>
      </c>
      <c r="D1161" s="12" t="str">
        <f>IF(C1161&gt;0,(VLOOKUP(C1161,'Blnct AR'!$C$2:$D$2255,2,0))," ")</f>
        <v>Milénnium 500471734904 Kz</v>
      </c>
      <c r="E1161" s="21" t="s">
        <v>2071</v>
      </c>
      <c r="F1161" s="20"/>
      <c r="G1161" s="20">
        <v>288663</v>
      </c>
      <c r="I1161" s="37"/>
    </row>
    <row r="1162" spans="1:9" s="14" customFormat="1" ht="15" customHeight="1">
      <c r="A1162" s="10">
        <v>44165</v>
      </c>
      <c r="B1162" s="8" t="s">
        <v>1984</v>
      </c>
      <c r="C1162" s="11">
        <v>752232</v>
      </c>
      <c r="D1162" s="12" t="str">
        <f>IF(C1162&gt;0,(VLOOKUP(C1162,'Blnct AR'!$C$2:$D$2255,2,0))," ")</f>
        <v>Viagens</v>
      </c>
      <c r="E1162" s="21" t="s">
        <v>2071</v>
      </c>
      <c r="F1162" s="20">
        <v>288663</v>
      </c>
      <c r="G1162" s="20"/>
      <c r="I1162" s="37"/>
    </row>
    <row r="1163" spans="1:9" s="14" customFormat="1" ht="15" customHeight="1">
      <c r="A1163" s="10">
        <v>44165</v>
      </c>
      <c r="B1163" s="8" t="s">
        <v>1984</v>
      </c>
      <c r="C1163" s="11">
        <v>43103</v>
      </c>
      <c r="D1163" s="12" t="str">
        <f>IF(C1163&gt;0,(VLOOKUP(C1163,'Blnct AR'!$C$2:$D$2255,2,0))," ")</f>
        <v>Milénnium 500471734904 Kz</v>
      </c>
      <c r="E1163" s="21" t="s">
        <v>2006</v>
      </c>
      <c r="F1163" s="20"/>
      <c r="G1163" s="20">
        <v>184571.08</v>
      </c>
      <c r="I1163" s="37"/>
    </row>
    <row r="1164" spans="1:9" s="14" customFormat="1" ht="15" customHeight="1">
      <c r="A1164" s="10">
        <v>44165</v>
      </c>
      <c r="B1164" s="8" t="s">
        <v>1984</v>
      </c>
      <c r="C1164" s="11">
        <v>752231</v>
      </c>
      <c r="D1164" s="12" t="str">
        <f>IF(C1164&gt;0,(VLOOKUP(C1164,'Blnct AR'!$C$2:$D$2255,2,0))," ")</f>
        <v>Refeições e estadas</v>
      </c>
      <c r="E1164" s="21" t="s">
        <v>2006</v>
      </c>
      <c r="F1164" s="20">
        <v>184571.08</v>
      </c>
      <c r="G1164" s="20"/>
      <c r="I1164" s="37"/>
    </row>
    <row r="1165" spans="1:9" s="14" customFormat="1" ht="15" customHeight="1">
      <c r="A1165" s="10">
        <v>44165</v>
      </c>
      <c r="B1165" s="8" t="s">
        <v>41</v>
      </c>
      <c r="C1165" s="11">
        <v>43103</v>
      </c>
      <c r="D1165" s="12" t="str">
        <f>IF(C1165&gt;0,(VLOOKUP(C1165,'Blnct AR'!$C$2:$D$2255,2,0))," ")</f>
        <v>Milénnium 500471734904 Kz</v>
      </c>
      <c r="E1165" s="21" t="s">
        <v>1985</v>
      </c>
      <c r="F1165" s="20"/>
      <c r="G1165" s="20">
        <v>88650</v>
      </c>
      <c r="I1165" s="37"/>
    </row>
    <row r="1166" spans="1:9" s="14" customFormat="1" ht="15" customHeight="1">
      <c r="A1166" s="10">
        <v>44165</v>
      </c>
      <c r="B1166" s="8" t="s">
        <v>41</v>
      </c>
      <c r="C1166" s="11">
        <v>75224</v>
      </c>
      <c r="D1166" s="12" t="str">
        <f>IF(C1166&gt;0,(VLOOKUP(C1166,'Blnct AR'!$C$2:$D$2255,2,0))," ")</f>
        <v>Despesas de representação</v>
      </c>
      <c r="E1166" s="21" t="s">
        <v>1985</v>
      </c>
      <c r="F1166" s="20">
        <v>88650</v>
      </c>
      <c r="G1166" s="20"/>
      <c r="I1166" s="37"/>
    </row>
    <row r="1167" spans="1:9" s="14" customFormat="1" ht="15" customHeight="1">
      <c r="A1167" s="10">
        <v>44165</v>
      </c>
      <c r="B1167" s="8" t="s">
        <v>1921</v>
      </c>
      <c r="C1167" s="11">
        <v>43103</v>
      </c>
      <c r="D1167" s="12" t="str">
        <f>IF(C1167&gt;0,(VLOOKUP(C1167,'Blnct AR'!$C$2:$D$2255,2,0))," ")</f>
        <v>Milénnium 500471734904 Kz</v>
      </c>
      <c r="E1167" s="21" t="s">
        <v>1860</v>
      </c>
      <c r="F1167" s="20"/>
      <c r="G1167" s="20">
        <v>82825</v>
      </c>
      <c r="I1167" s="37"/>
    </row>
    <row r="1168" spans="1:9" s="14" customFormat="1" ht="15" customHeight="1">
      <c r="A1168" s="10">
        <v>44165</v>
      </c>
      <c r="B1168" s="8" t="s">
        <v>1921</v>
      </c>
      <c r="C1168" s="11">
        <v>75228</v>
      </c>
      <c r="D1168" s="12" t="str">
        <f>IF(C1168&gt;0,(VLOOKUP(C1168,'Blnct AR'!$C$2:$D$2255,2,0))," ")</f>
        <v>Limpeza, higiene e conforto</v>
      </c>
      <c r="E1168" s="21" t="s">
        <v>1860</v>
      </c>
      <c r="F1168" s="20">
        <v>82825</v>
      </c>
      <c r="G1168" s="20"/>
      <c r="I1168" s="37"/>
    </row>
    <row r="1169" spans="1:9" s="14" customFormat="1" ht="15" customHeight="1">
      <c r="A1169" s="10">
        <v>44165</v>
      </c>
      <c r="B1169" s="8" t="s">
        <v>1915</v>
      </c>
      <c r="C1169" s="11">
        <v>43103</v>
      </c>
      <c r="D1169" s="12" t="str">
        <f>IF(C1169&gt;0,(VLOOKUP(C1169,'Blnct AR'!$C$2:$D$2255,2,0))," ")</f>
        <v>Milénnium 500471734904 Kz</v>
      </c>
      <c r="E1169" s="21" t="s">
        <v>42</v>
      </c>
      <c r="F1169" s="20"/>
      <c r="G1169" s="20">
        <v>83654</v>
      </c>
      <c r="I1169" s="37"/>
    </row>
    <row r="1170" spans="1:9" s="14" customFormat="1" ht="15" customHeight="1">
      <c r="A1170" s="10">
        <v>44165</v>
      </c>
      <c r="B1170" s="8" t="s">
        <v>1915</v>
      </c>
      <c r="C1170" s="11">
        <v>75229</v>
      </c>
      <c r="D1170" s="12" t="str">
        <f>IF(C1170&gt;0,(VLOOKUP(C1170,'Blnct AR'!$C$2:$D$2255,2,0))," ")</f>
        <v>Publicidade e propaganda</v>
      </c>
      <c r="E1170" s="21" t="s">
        <v>42</v>
      </c>
      <c r="F1170" s="20">
        <v>83654</v>
      </c>
      <c r="G1170" s="20"/>
      <c r="I1170" s="37"/>
    </row>
    <row r="1171" spans="1:9" s="14" customFormat="1" ht="15" customHeight="1">
      <c r="A1171" s="10">
        <v>44165</v>
      </c>
      <c r="B1171" s="8" t="s">
        <v>1955</v>
      </c>
      <c r="C1171" s="11">
        <v>43103</v>
      </c>
      <c r="D1171" s="12" t="str">
        <f>IF(C1171&gt;0,(VLOOKUP(C1171,'Blnct AR'!$C$2:$D$2255,2,0))," ")</f>
        <v>Milénnium 500471734904 Kz</v>
      </c>
      <c r="E1171" s="21" t="s">
        <v>1861</v>
      </c>
      <c r="F1171" s="20"/>
      <c r="G1171" s="20">
        <v>62616</v>
      </c>
      <c r="I1171" s="37"/>
    </row>
    <row r="1172" spans="1:9" s="14" customFormat="1" ht="15" customHeight="1">
      <c r="A1172" s="10">
        <v>44165</v>
      </c>
      <c r="B1172" s="8" t="s">
        <v>1955</v>
      </c>
      <c r="C1172" s="11">
        <v>752131</v>
      </c>
      <c r="D1172" s="12" t="str">
        <f>IF(C1172&gt;0,(VLOOKUP(C1172,'Blnct AR'!$C$2:$D$2255,2,0))," ")</f>
        <v>Gasoleo</v>
      </c>
      <c r="E1172" s="21" t="s">
        <v>1861</v>
      </c>
      <c r="F1172" s="20">
        <v>62616</v>
      </c>
      <c r="G1172" s="20"/>
      <c r="I1172" s="37"/>
    </row>
    <row r="1173" spans="1:9" s="14" customFormat="1" ht="15" customHeight="1">
      <c r="A1173" s="10">
        <v>44165</v>
      </c>
      <c r="B1173" s="8" t="s">
        <v>1959</v>
      </c>
      <c r="C1173" s="11">
        <v>43103</v>
      </c>
      <c r="D1173" s="12" t="str">
        <f>IF(C1173&gt;0,(VLOOKUP(C1173,'Blnct AR'!$C$2:$D$2255,2,0))," ")</f>
        <v>Milénnium 500471734904 Kz</v>
      </c>
      <c r="E1173" s="21" t="s">
        <v>1960</v>
      </c>
      <c r="F1173" s="20"/>
      <c r="G1173" s="20">
        <v>490590</v>
      </c>
      <c r="I1173" s="37"/>
    </row>
    <row r="1174" spans="1:9" s="14" customFormat="1" ht="15" customHeight="1">
      <c r="A1174" s="10">
        <v>44165</v>
      </c>
      <c r="B1174" s="8" t="s">
        <v>1959</v>
      </c>
      <c r="C1174" s="11">
        <v>752143</v>
      </c>
      <c r="D1174" s="12" t="str">
        <f>IF(C1174&gt;0,(VLOOKUP(C1174,'Blnct AR'!$C$2:$D$2255,2,0))," ")</f>
        <v>Equipamento básico</v>
      </c>
      <c r="E1174" s="21" t="s">
        <v>1960</v>
      </c>
      <c r="F1174" s="20">
        <v>490590</v>
      </c>
      <c r="G1174" s="20"/>
      <c r="I1174" s="37"/>
    </row>
    <row r="1175" spans="1:9" s="14" customFormat="1" ht="15" customHeight="1">
      <c r="A1175" s="10">
        <v>44165</v>
      </c>
      <c r="B1175" s="8" t="s">
        <v>1961</v>
      </c>
      <c r="C1175" s="11">
        <v>43103</v>
      </c>
      <c r="D1175" s="12" t="str">
        <f>IF(C1175&gt;0,(VLOOKUP(C1175,'Blnct AR'!$C$2:$D$2255,2,0))," ")</f>
        <v>Milénnium 500471734904 Kz</v>
      </c>
      <c r="E1175" s="21" t="s">
        <v>1840</v>
      </c>
      <c r="F1175" s="20"/>
      <c r="G1175" s="20">
        <v>1813592</v>
      </c>
      <c r="I1175" s="37"/>
    </row>
    <row r="1176" spans="1:9" s="14" customFormat="1" ht="15" customHeight="1">
      <c r="A1176" s="10">
        <v>44165</v>
      </c>
      <c r="B1176" s="8" t="s">
        <v>1961</v>
      </c>
      <c r="C1176" s="11">
        <v>752144</v>
      </c>
      <c r="D1176" s="12" t="str">
        <f>IF(C1176&gt;0,(VLOOKUP(C1176,'Blnct AR'!$C$2:$D$2255,2,0))," ")</f>
        <v>Equipamento de carga e transporte</v>
      </c>
      <c r="E1176" s="21" t="s">
        <v>1840</v>
      </c>
      <c r="F1176" s="20">
        <v>1813592</v>
      </c>
      <c r="G1176" s="20"/>
      <c r="I1176" s="37"/>
    </row>
    <row r="1177" spans="1:9" s="14" customFormat="1" ht="15" customHeight="1">
      <c r="A1177" s="10">
        <v>44165</v>
      </c>
      <c r="B1177" s="8" t="s">
        <v>1409</v>
      </c>
      <c r="C1177" s="11">
        <v>43103</v>
      </c>
      <c r="D1177" s="12" t="str">
        <f>IF(C1177&gt;0,(VLOOKUP(C1177,'Blnct AR'!$C$2:$D$2255,2,0))," ")</f>
        <v>Milénnium 500471734904 Kz</v>
      </c>
      <c r="E1177" s="21" t="s">
        <v>135</v>
      </c>
      <c r="F1177" s="20"/>
      <c r="G1177" s="20">
        <v>312579</v>
      </c>
      <c r="I1177" s="37"/>
    </row>
    <row r="1178" spans="1:9" s="14" customFormat="1" ht="15" customHeight="1">
      <c r="A1178" s="10">
        <v>44165</v>
      </c>
      <c r="B1178" s="8" t="s">
        <v>1409</v>
      </c>
      <c r="C1178" s="11">
        <v>3431</v>
      </c>
      <c r="D1178" s="12" t="str">
        <f>IF(C1178&gt;0,(VLOOKUP(C1178,'Blnct AR'!$C$2:$D$2255,2,0))," ")</f>
        <v>IRT dependentes</v>
      </c>
      <c r="E1178" s="21" t="s">
        <v>135</v>
      </c>
      <c r="F1178" s="20">
        <v>312579</v>
      </c>
      <c r="G1178" s="20"/>
      <c r="I1178" s="37"/>
    </row>
    <row r="1179" spans="1:9" s="14" customFormat="1" ht="15" customHeight="1">
      <c r="A1179" s="10">
        <v>44165</v>
      </c>
      <c r="B1179" s="8" t="s">
        <v>1409</v>
      </c>
      <c r="C1179" s="11">
        <v>43103</v>
      </c>
      <c r="D1179" s="12" t="str">
        <f>IF(C1179&gt;0,(VLOOKUP(C1179,'Blnct AR'!$C$2:$D$2255,2,0))," ")</f>
        <v>Milénnium 500471734904 Kz</v>
      </c>
      <c r="E1179" s="21" t="s">
        <v>1964</v>
      </c>
      <c r="F1179" s="20"/>
      <c r="G1179" s="20">
        <v>118840</v>
      </c>
      <c r="I1179" s="37"/>
    </row>
    <row r="1180" spans="1:9" s="14" customFormat="1" ht="15" customHeight="1">
      <c r="A1180" s="10">
        <v>44165</v>
      </c>
      <c r="B1180" s="8" t="s">
        <v>1409</v>
      </c>
      <c r="C1180" s="11">
        <v>75318</v>
      </c>
      <c r="D1180" s="12" t="str">
        <f>IF(C1180&gt;0,(VLOOKUP(C1180,'Blnct AR'!$C$2:$D$2255,2,0))," ")</f>
        <v>Lei 19/14 Rf 6,5%</v>
      </c>
      <c r="E1180" s="21" t="s">
        <v>1964</v>
      </c>
      <c r="F1180" s="20">
        <v>118840</v>
      </c>
      <c r="G1180" s="20"/>
      <c r="I1180" s="37"/>
    </row>
    <row r="1181" spans="1:9" s="14" customFormat="1" ht="15" customHeight="1">
      <c r="A1181" s="10">
        <v>44165</v>
      </c>
      <c r="B1181" s="8" t="s">
        <v>1409</v>
      </c>
      <c r="C1181" s="11">
        <v>43103</v>
      </c>
      <c r="D1181" s="12" t="str">
        <f>IF(C1181&gt;0,(VLOOKUP(C1181,'Blnct AR'!$C$2:$D$2255,2,0))," ")</f>
        <v>Milénnium 500471734904 Kz</v>
      </c>
      <c r="E1181" s="21" t="s">
        <v>1965</v>
      </c>
      <c r="F1181" s="20"/>
      <c r="G1181" s="20">
        <v>78000</v>
      </c>
      <c r="I1181" s="37"/>
    </row>
    <row r="1182" spans="1:9" s="14" customFormat="1" ht="15" customHeight="1">
      <c r="A1182" s="10">
        <v>44165</v>
      </c>
      <c r="B1182" s="8" t="s">
        <v>1409</v>
      </c>
      <c r="C1182" s="11">
        <v>75317</v>
      </c>
      <c r="D1182" s="12" t="str">
        <f>IF(C1182&gt;0,(VLOOKUP(C1182,'Blnct AR'!$C$2:$D$2255,2,0))," ")</f>
        <v>IPU</v>
      </c>
      <c r="E1182" s="21" t="s">
        <v>1965</v>
      </c>
      <c r="F1182" s="20">
        <v>78000</v>
      </c>
      <c r="G1182" s="20"/>
      <c r="I1182" s="37"/>
    </row>
    <row r="1183" spans="1:9" s="14" customFormat="1" ht="15" customHeight="1">
      <c r="A1183" s="10">
        <v>44165</v>
      </c>
      <c r="B1183" s="8" t="s">
        <v>1869</v>
      </c>
      <c r="C1183" s="11">
        <v>43103</v>
      </c>
      <c r="D1183" s="12" t="str">
        <f>IF(C1183&gt;0,(VLOOKUP(C1183,'Blnct AR'!$C$2:$D$2255,2,0))," ")</f>
        <v>Milénnium 500471734904 Kz</v>
      </c>
      <c r="E1183" s="21" t="s">
        <v>1869</v>
      </c>
      <c r="F1183" s="20"/>
      <c r="G1183" s="20">
        <v>504</v>
      </c>
      <c r="I1183" s="37"/>
    </row>
    <row r="1184" spans="1:9" s="14" customFormat="1" ht="15" customHeight="1">
      <c r="A1184" s="10">
        <v>44165</v>
      </c>
      <c r="B1184" s="8" t="s">
        <v>1869</v>
      </c>
      <c r="C1184" s="11">
        <v>75314</v>
      </c>
      <c r="D1184" s="12" t="str">
        <f>IF(C1184&gt;0,(VLOOKUP(C1184,'Blnct AR'!$C$2:$D$2255,2,0))," ")</f>
        <v>IVA Suportado</v>
      </c>
      <c r="E1184" s="21" t="s">
        <v>1869</v>
      </c>
      <c r="F1184" s="20">
        <v>504</v>
      </c>
      <c r="G1184" s="20"/>
      <c r="I1184" s="37"/>
    </row>
    <row r="1185" spans="1:9" s="14" customFormat="1" ht="15" customHeight="1">
      <c r="A1185" s="10"/>
      <c r="B1185" s="8" t="s">
        <v>2008</v>
      </c>
      <c r="C1185" s="11"/>
      <c r="D1185" s="12" t="str">
        <f>IF(C1185&gt;0,(VLOOKUP(C1185,'Blnct AR'!$C$2:$D$2255,2,0))," ")</f>
        <v xml:space="preserve"> </v>
      </c>
      <c r="E1185" s="21"/>
      <c r="F1185" s="20"/>
      <c r="G1185" s="20"/>
      <c r="I1185" s="37"/>
    </row>
    <row r="1186" spans="1:9" s="14" customFormat="1" ht="15" customHeight="1">
      <c r="A1186" s="10">
        <v>44196</v>
      </c>
      <c r="B1186" s="8" t="s">
        <v>1932</v>
      </c>
      <c r="C1186" s="11">
        <v>43101</v>
      </c>
      <c r="D1186" s="12" t="str">
        <f>IF(C1186&gt;0,(VLOOKUP(C1186,'Blnct AR'!$C$2:$D$2255,2,0))," ")</f>
        <v>Banco - BFA</v>
      </c>
      <c r="E1186" s="21" t="s">
        <v>1930</v>
      </c>
      <c r="F1186" s="20"/>
      <c r="G1186" s="20">
        <v>1500000</v>
      </c>
      <c r="I1186" s="37"/>
    </row>
    <row r="1187" spans="1:9" s="14" customFormat="1" ht="15" customHeight="1">
      <c r="A1187" s="10">
        <v>44196</v>
      </c>
      <c r="B1187" s="8" t="s">
        <v>1932</v>
      </c>
      <c r="C1187" s="11">
        <v>2211</v>
      </c>
      <c r="D1187" s="12" t="str">
        <f>IF(C1187&gt;0,(VLOOKUP(C1187,'Blnct AR'!$C$2:$D$2255,2,0))," ")</f>
        <v>Mp-Existências</v>
      </c>
      <c r="E1187" s="21" t="s">
        <v>1930</v>
      </c>
      <c r="F1187" s="20">
        <v>1500000</v>
      </c>
      <c r="G1187" s="20"/>
      <c r="I1187" s="37"/>
    </row>
    <row r="1188" spans="1:9" s="14" customFormat="1" ht="15" customHeight="1">
      <c r="A1188" s="10">
        <v>44196</v>
      </c>
      <c r="B1188" s="8" t="s">
        <v>1932</v>
      </c>
      <c r="C1188" s="11">
        <v>43101</v>
      </c>
      <c r="D1188" s="12" t="str">
        <f>IF(C1188&gt;0,(VLOOKUP(C1188,'Blnct AR'!$C$2:$D$2255,2,0))," ")</f>
        <v>Banco - BFA</v>
      </c>
      <c r="E1188" s="21" t="s">
        <v>1931</v>
      </c>
      <c r="F1188" s="20"/>
      <c r="G1188" s="20">
        <v>3254400</v>
      </c>
      <c r="I1188" s="37"/>
    </row>
    <row r="1189" spans="1:9" s="14" customFormat="1" ht="15" customHeight="1">
      <c r="A1189" s="10">
        <v>44196</v>
      </c>
      <c r="B1189" s="8" t="s">
        <v>1932</v>
      </c>
      <c r="C1189" s="11">
        <v>2211</v>
      </c>
      <c r="D1189" s="12" t="str">
        <f>IF(C1189&gt;0,(VLOOKUP(C1189,'Blnct AR'!$C$2:$D$2255,2,0))," ")</f>
        <v>Mp-Existências</v>
      </c>
      <c r="E1189" s="21" t="s">
        <v>1931</v>
      </c>
      <c r="F1189" s="20">
        <v>3254400</v>
      </c>
      <c r="G1189" s="20"/>
      <c r="I1189" s="37"/>
    </row>
    <row r="1190" spans="1:9" s="14" customFormat="1" ht="15" customHeight="1">
      <c r="A1190" s="10">
        <v>44196</v>
      </c>
      <c r="B1190" s="8" t="s">
        <v>1928</v>
      </c>
      <c r="C1190" s="11">
        <v>43101</v>
      </c>
      <c r="D1190" s="12" t="str">
        <f>IF(C1190&gt;0,(VLOOKUP(C1190,'Blnct AR'!$C$2:$D$2255,2,0))," ")</f>
        <v>Banco - BFA</v>
      </c>
      <c r="E1190" s="21" t="s">
        <v>1929</v>
      </c>
      <c r="F1190" s="20"/>
      <c r="G1190" s="20">
        <v>170000</v>
      </c>
      <c r="I1190" s="37"/>
    </row>
    <row r="1191" spans="1:9" s="14" customFormat="1" ht="15" customHeight="1">
      <c r="A1191" s="10">
        <v>44196</v>
      </c>
      <c r="B1191" s="8" t="s">
        <v>1928</v>
      </c>
      <c r="C1191" s="11">
        <v>75215</v>
      </c>
      <c r="D1191" s="12" t="str">
        <f>IF(C1191&gt;0,(VLOOKUP(C1191,'Blnct AR'!$C$2:$D$2255,2,0))," ")</f>
        <v>Material protecção, seg.e conforto</v>
      </c>
      <c r="E1191" s="21" t="s">
        <v>1929</v>
      </c>
      <c r="F1191" s="20">
        <v>170000</v>
      </c>
      <c r="G1191" s="20"/>
      <c r="I1191" s="37"/>
    </row>
    <row r="1192" spans="1:9" s="14" customFormat="1" ht="15" customHeight="1">
      <c r="A1192" s="10">
        <v>44196</v>
      </c>
      <c r="B1192" s="8" t="s">
        <v>2009</v>
      </c>
      <c r="C1192" s="11"/>
      <c r="D1192" s="12" t="str">
        <f>IF(C1192&gt;0,(VLOOKUP(C1192,'Blnct AR'!$C$2:$D$2255,2,0))," ")</f>
        <v xml:space="preserve"> </v>
      </c>
      <c r="E1192" s="21"/>
      <c r="F1192" s="20"/>
      <c r="G1192" s="20"/>
      <c r="I1192" s="37"/>
    </row>
    <row r="1193" spans="1:9" s="14" customFormat="1" ht="15" customHeight="1">
      <c r="A1193" s="10">
        <v>44196</v>
      </c>
      <c r="B1193" s="8" t="s">
        <v>1932</v>
      </c>
      <c r="C1193" s="11">
        <v>43106</v>
      </c>
      <c r="D1193" s="12" t="str">
        <f>IF(C1193&gt;0,(VLOOKUP(C1193,'Blnct AR'!$C$2:$D$2255,2,0))," ")</f>
        <v>Banco BIC - 118133685.15.1</v>
      </c>
      <c r="E1193" s="21" t="s">
        <v>2072</v>
      </c>
      <c r="F1193" s="20"/>
      <c r="G1193" s="20">
        <v>122465.41</v>
      </c>
      <c r="I1193" s="37"/>
    </row>
    <row r="1194" spans="1:9" s="14" customFormat="1" ht="15" customHeight="1">
      <c r="A1194" s="10">
        <v>44196</v>
      </c>
      <c r="B1194" s="8" t="s">
        <v>1932</v>
      </c>
      <c r="C1194" s="11">
        <v>2211</v>
      </c>
      <c r="D1194" s="12" t="str">
        <f>IF(C1194&gt;0,(VLOOKUP(C1194,'Blnct AR'!$C$2:$D$2255,2,0))," ")</f>
        <v>Mp-Existências</v>
      </c>
      <c r="E1194" s="21" t="s">
        <v>2072</v>
      </c>
      <c r="F1194" s="20">
        <v>122465.41</v>
      </c>
      <c r="G1194" s="20"/>
      <c r="I1194" s="37"/>
    </row>
    <row r="1195" spans="1:9" s="14" customFormat="1" ht="15" customHeight="1">
      <c r="A1195" s="10">
        <v>44196</v>
      </c>
      <c r="B1195" s="8" t="s">
        <v>1932</v>
      </c>
      <c r="C1195" s="11">
        <v>43106</v>
      </c>
      <c r="D1195" s="12" t="str">
        <f>IF(C1195&gt;0,(VLOOKUP(C1195,'Blnct AR'!$C$2:$D$2255,2,0))," ")</f>
        <v>Banco BIC - 118133685.15.1</v>
      </c>
      <c r="E1195" s="21" t="s">
        <v>2072</v>
      </c>
      <c r="F1195" s="20"/>
      <c r="G1195" s="20">
        <v>19954630.77</v>
      </c>
      <c r="I1195" s="37"/>
    </row>
    <row r="1196" spans="1:9" s="14" customFormat="1" ht="15" customHeight="1">
      <c r="A1196" s="10">
        <v>44196</v>
      </c>
      <c r="B1196" s="8" t="s">
        <v>1932</v>
      </c>
      <c r="C1196" s="11">
        <v>2211</v>
      </c>
      <c r="D1196" s="12" t="str">
        <f>IF(C1196&gt;0,(VLOOKUP(C1196,'Blnct AR'!$C$2:$D$2255,2,0))," ")</f>
        <v>Mp-Existências</v>
      </c>
      <c r="E1196" s="21" t="s">
        <v>2072</v>
      </c>
      <c r="F1196" s="20">
        <v>19954630.77</v>
      </c>
      <c r="G1196" s="20"/>
      <c r="I1196" s="37"/>
    </row>
    <row r="1197" spans="1:9" s="14" customFormat="1" ht="15" customHeight="1">
      <c r="A1197" s="10">
        <v>44196</v>
      </c>
      <c r="B1197" s="8" t="s">
        <v>1869</v>
      </c>
      <c r="C1197" s="11">
        <v>43106</v>
      </c>
      <c r="D1197" s="12" t="str">
        <f>IF(C1197&gt;0,(VLOOKUP(C1197,'Blnct AR'!$C$2:$D$2255,2,0))," ")</f>
        <v>Banco BIC - 118133685.15.1</v>
      </c>
      <c r="E1197" s="21" t="s">
        <v>1869</v>
      </c>
      <c r="F1197" s="20"/>
      <c r="G1197" s="20">
        <v>5400</v>
      </c>
      <c r="I1197" s="37"/>
    </row>
    <row r="1198" spans="1:9" s="14" customFormat="1" ht="15" customHeight="1">
      <c r="A1198" s="10">
        <v>44196</v>
      </c>
      <c r="B1198" s="8" t="s">
        <v>1869</v>
      </c>
      <c r="C1198" s="11">
        <v>767801</v>
      </c>
      <c r="D1198" s="12" t="str">
        <f>IF(C1198&gt;0,(VLOOKUP(C1198,'Blnct AR'!$C$2:$D$2255,2,0))," ")</f>
        <v>Despesas Operacionais</v>
      </c>
      <c r="E1198" s="21" t="s">
        <v>1869</v>
      </c>
      <c r="F1198" s="20">
        <v>5400</v>
      </c>
      <c r="G1198" s="20"/>
      <c r="I1198" s="37"/>
    </row>
    <row r="1199" spans="1:9" s="14" customFormat="1" ht="15" customHeight="1">
      <c r="A1199" s="10">
        <v>44196</v>
      </c>
      <c r="B1199" s="8" t="s">
        <v>132</v>
      </c>
      <c r="C1199" s="11">
        <v>43106</v>
      </c>
      <c r="D1199" s="12" t="str">
        <f>IF(C1199&gt;0,(VLOOKUP(C1199,'Blnct AR'!$C$2:$D$2255,2,0))," ")</f>
        <v>Banco BIC - 118133685.15.1</v>
      </c>
      <c r="E1199" s="21" t="s">
        <v>2073</v>
      </c>
      <c r="F1199" s="20"/>
      <c r="G1199" s="20">
        <v>124553</v>
      </c>
      <c r="I1199" s="37"/>
    </row>
    <row r="1200" spans="1:9" s="14" customFormat="1" ht="15" customHeight="1">
      <c r="A1200" s="10">
        <v>44196</v>
      </c>
      <c r="B1200" s="8" t="s">
        <v>132</v>
      </c>
      <c r="C1200" s="11">
        <v>72522</v>
      </c>
      <c r="D1200" s="12" t="str">
        <f>IF(C1200&gt;0,(VLOOKUP(C1200,'Blnct AR'!$C$2:$D$2255,2,0))," ")</f>
        <v>Produção Seg. Social</v>
      </c>
      <c r="E1200" s="21" t="s">
        <v>2073</v>
      </c>
      <c r="F1200" s="20">
        <v>124553</v>
      </c>
      <c r="G1200" s="20"/>
      <c r="I1200" s="37"/>
    </row>
    <row r="1201" spans="1:9" s="14" customFormat="1" ht="15" customHeight="1">
      <c r="A1201" s="10">
        <v>44196</v>
      </c>
      <c r="B1201" s="8" t="s">
        <v>1976</v>
      </c>
      <c r="C1201" s="11">
        <v>43106</v>
      </c>
      <c r="D1201" s="12" t="str">
        <f>IF(C1201&gt;0,(VLOOKUP(C1201,'Blnct AR'!$C$2:$D$2255,2,0))," ")</f>
        <v>Banco BIC - 118133685.15.1</v>
      </c>
      <c r="E1201" s="21" t="s">
        <v>1972</v>
      </c>
      <c r="F1201" s="20"/>
      <c r="G1201" s="20">
        <v>6120597.5</v>
      </c>
      <c r="I1201" s="37"/>
    </row>
    <row r="1202" spans="1:9" s="14" customFormat="1" ht="15" customHeight="1">
      <c r="A1202" s="10">
        <v>44196</v>
      </c>
      <c r="B1202" s="8" t="s">
        <v>1976</v>
      </c>
      <c r="C1202" s="11">
        <v>75113</v>
      </c>
      <c r="D1202" s="12" t="str">
        <f>IF(C1202&gt;0,(VLOOKUP(C1202,'Blnct AR'!$C$2:$D$2255,2,0))," ")</f>
        <v>Empreitada B13 Cimaleste</v>
      </c>
      <c r="E1202" s="21" t="s">
        <v>1972</v>
      </c>
      <c r="F1202" s="20">
        <v>6120597.5</v>
      </c>
      <c r="G1202" s="20"/>
      <c r="I1202" s="37"/>
    </row>
    <row r="1203" spans="1:9" s="14" customFormat="1" ht="15" customHeight="1">
      <c r="A1203" s="10">
        <v>44196</v>
      </c>
      <c r="B1203" s="8" t="s">
        <v>1921</v>
      </c>
      <c r="C1203" s="11">
        <v>43106</v>
      </c>
      <c r="D1203" s="12" t="str">
        <f>IF(C1203&gt;0,(VLOOKUP(C1203,'Blnct AR'!$C$2:$D$2255,2,0))," ")</f>
        <v>Banco BIC - 118133685.15.1</v>
      </c>
      <c r="E1203" s="21" t="s">
        <v>1860</v>
      </c>
      <c r="F1203" s="20"/>
      <c r="G1203" s="20">
        <v>41298.5</v>
      </c>
      <c r="I1203" s="37"/>
    </row>
    <row r="1204" spans="1:9" s="14" customFormat="1" ht="15" customHeight="1">
      <c r="A1204" s="10">
        <v>44196</v>
      </c>
      <c r="B1204" s="8" t="s">
        <v>1921</v>
      </c>
      <c r="C1204" s="11">
        <v>75228</v>
      </c>
      <c r="D1204" s="12" t="str">
        <f>IF(C1204&gt;0,(VLOOKUP(C1204,'Blnct AR'!$C$2:$D$2255,2,0))," ")</f>
        <v>Limpeza, higiene e conforto</v>
      </c>
      <c r="E1204" s="21" t="s">
        <v>1860</v>
      </c>
      <c r="F1204" s="20">
        <v>41298.5</v>
      </c>
      <c r="G1204" s="20"/>
      <c r="I1204" s="37"/>
    </row>
    <row r="1205" spans="1:9" s="14" customFormat="1" ht="15" customHeight="1">
      <c r="A1205" s="10">
        <v>44196</v>
      </c>
      <c r="B1205" s="8" t="s">
        <v>1869</v>
      </c>
      <c r="C1205" s="11">
        <v>43106</v>
      </c>
      <c r="D1205" s="12" t="str">
        <f>IF(C1205&gt;0,(VLOOKUP(C1205,'Blnct AR'!$C$2:$D$2255,2,0))," ")</f>
        <v>Banco BIC - 118133685.15.1</v>
      </c>
      <c r="E1205" s="21" t="s">
        <v>1869</v>
      </c>
      <c r="F1205" s="20"/>
      <c r="G1205" s="20">
        <v>756</v>
      </c>
      <c r="I1205" s="37"/>
    </row>
    <row r="1206" spans="1:9" s="14" customFormat="1" ht="15" customHeight="1">
      <c r="A1206" s="10">
        <v>44196</v>
      </c>
      <c r="B1206" s="8" t="s">
        <v>1869</v>
      </c>
      <c r="C1206" s="11">
        <v>75314</v>
      </c>
      <c r="D1206" s="12" t="str">
        <f>IF(C1206&gt;0,(VLOOKUP(C1206,'Blnct AR'!$C$2:$D$2255,2,0))," ")</f>
        <v>IVA Suportado</v>
      </c>
      <c r="E1206" s="21" t="s">
        <v>1869</v>
      </c>
      <c r="F1206" s="20">
        <v>756</v>
      </c>
      <c r="G1206" s="20"/>
      <c r="I1206" s="37"/>
    </row>
    <row r="1207" spans="1:9" s="14" customFormat="1" ht="15" customHeight="1">
      <c r="A1207" s="10"/>
      <c r="B1207" s="8" t="s">
        <v>2010</v>
      </c>
      <c r="C1207" s="11"/>
      <c r="D1207" s="12" t="str">
        <f>IF(C1207&gt;0,(VLOOKUP(C1207,'Blnct AR'!$C$2:$D$2255,2,0))," ")</f>
        <v xml:space="preserve"> </v>
      </c>
      <c r="E1207" s="21"/>
      <c r="F1207" s="20"/>
      <c r="G1207" s="20"/>
      <c r="I1207" s="37"/>
    </row>
    <row r="1208" spans="1:9" s="14" customFormat="1" ht="15" customHeight="1">
      <c r="A1208" s="10">
        <v>44196</v>
      </c>
      <c r="B1208" s="8" t="s">
        <v>1653</v>
      </c>
      <c r="C1208" s="11">
        <v>43103</v>
      </c>
      <c r="D1208" s="12" t="str">
        <f>IF(C1208&gt;0,(VLOOKUP(C1208,'Blnct AR'!$C$2:$D$2255,2,0))," ")</f>
        <v>Milénnium 500471734904 Kz</v>
      </c>
      <c r="E1208" s="21" t="s">
        <v>1907</v>
      </c>
      <c r="F1208" s="20"/>
      <c r="G1208" s="20">
        <v>170000</v>
      </c>
      <c r="I1208" s="37"/>
    </row>
    <row r="1209" spans="1:9" s="14" customFormat="1" ht="15" customHeight="1">
      <c r="A1209" s="10">
        <v>44196</v>
      </c>
      <c r="B1209" s="8" t="s">
        <v>1653</v>
      </c>
      <c r="C1209" s="11">
        <v>45111</v>
      </c>
      <c r="D1209" s="12" t="str">
        <f>IF(C1209&gt;0,(VLOOKUP(C1209,'Blnct AR'!$C$2:$D$2255,2,0))," ")</f>
        <v>Caixa Geral</v>
      </c>
      <c r="E1209" s="21" t="s">
        <v>1907</v>
      </c>
      <c r="F1209" s="20">
        <v>170000</v>
      </c>
      <c r="G1209" s="20"/>
      <c r="I1209" s="37"/>
    </row>
    <row r="1210" spans="1:9" s="14" customFormat="1" ht="15" customHeight="1">
      <c r="A1210" s="10">
        <v>44196</v>
      </c>
      <c r="B1210" s="8" t="s">
        <v>1932</v>
      </c>
      <c r="C1210" s="11">
        <v>43103</v>
      </c>
      <c r="D1210" s="12" t="str">
        <f>IF(C1210&gt;0,(VLOOKUP(C1210,'Blnct AR'!$C$2:$D$2255,2,0))," ")</f>
        <v>Milénnium 500471734904 Kz</v>
      </c>
      <c r="E1210" s="21" t="s">
        <v>2072</v>
      </c>
      <c r="F1210" s="20"/>
      <c r="G1210" s="20">
        <v>10936207.01</v>
      </c>
      <c r="I1210" s="37"/>
    </row>
    <row r="1211" spans="1:9" s="14" customFormat="1" ht="15" customHeight="1">
      <c r="A1211" s="10">
        <v>44196</v>
      </c>
      <c r="B1211" s="8" t="s">
        <v>1932</v>
      </c>
      <c r="C1211" s="11">
        <v>2211</v>
      </c>
      <c r="D1211" s="12" t="str">
        <f>IF(C1211&gt;0,(VLOOKUP(C1211,'Blnct AR'!$C$2:$D$2255,2,0))," ")</f>
        <v>Mp-Existências</v>
      </c>
      <c r="E1211" s="21" t="s">
        <v>2072</v>
      </c>
      <c r="F1211" s="20">
        <v>10936207.01</v>
      </c>
      <c r="G1211" s="20"/>
      <c r="I1211" s="37"/>
    </row>
    <row r="1212" spans="1:9" s="14" customFormat="1" ht="15" customHeight="1">
      <c r="A1212" s="10">
        <v>44196</v>
      </c>
      <c r="B1212" s="8" t="s">
        <v>1946</v>
      </c>
      <c r="C1212" s="11">
        <v>43103</v>
      </c>
      <c r="D1212" s="12" t="str">
        <f>IF(C1212&gt;0,(VLOOKUP(C1212,'Blnct AR'!$C$2:$D$2255,2,0))," ")</f>
        <v>Milénnium 500471734904 Kz</v>
      </c>
      <c r="E1212" s="21" t="s">
        <v>1857</v>
      </c>
      <c r="F1212" s="20"/>
      <c r="G1212" s="20">
        <v>195000</v>
      </c>
      <c r="I1212" s="37"/>
    </row>
    <row r="1213" spans="1:9" s="14" customFormat="1" ht="15" customHeight="1">
      <c r="A1213" s="10">
        <v>44196</v>
      </c>
      <c r="B1213" s="8" t="s">
        <v>1946</v>
      </c>
      <c r="C1213" s="11">
        <v>728220</v>
      </c>
      <c r="D1213" s="12" t="str">
        <f>IF(C1213&gt;0,(VLOOKUP(C1213,'Blnct AR'!$C$2:$D$2255,2,0))," ")</f>
        <v>Saúde</v>
      </c>
      <c r="E1213" s="21" t="s">
        <v>1857</v>
      </c>
      <c r="F1213" s="20">
        <v>195000</v>
      </c>
      <c r="G1213" s="20"/>
      <c r="I1213" s="37"/>
    </row>
    <row r="1214" spans="1:9" s="14" customFormat="1" ht="15" customHeight="1">
      <c r="A1214" s="10">
        <v>44196</v>
      </c>
      <c r="B1214" s="8" t="s">
        <v>1844</v>
      </c>
      <c r="C1214" s="11">
        <v>43103</v>
      </c>
      <c r="D1214" s="12" t="str">
        <f>IF(C1214&gt;0,(VLOOKUP(C1214,'Blnct AR'!$C$2:$D$2255,2,0))," ")</f>
        <v>Milénnium 500471734904 Kz</v>
      </c>
      <c r="E1214" s="21" t="s">
        <v>1947</v>
      </c>
      <c r="F1214" s="20"/>
      <c r="G1214" s="20">
        <v>345665.60000000003</v>
      </c>
      <c r="I1214" s="37"/>
    </row>
    <row r="1215" spans="1:9" s="14" customFormat="1" ht="15" customHeight="1">
      <c r="A1215" s="10">
        <v>44196</v>
      </c>
      <c r="B1215" s="8" t="s">
        <v>1844</v>
      </c>
      <c r="C1215" s="11">
        <v>7522122</v>
      </c>
      <c r="D1215" s="12" t="str">
        <f>IF(C1215&gt;0,(VLOOKUP(C1215,'Blnct AR'!$C$2:$D$2255,2,0))," ")</f>
        <v>Aluguer de Viatura</v>
      </c>
      <c r="E1215" s="21" t="s">
        <v>1947</v>
      </c>
      <c r="F1215" s="20">
        <v>345665.60000000003</v>
      </c>
      <c r="G1215" s="20"/>
      <c r="I1215" s="37"/>
    </row>
    <row r="1216" spans="1:9" s="14" customFormat="1" ht="15" customHeight="1">
      <c r="A1216" s="10">
        <v>44196</v>
      </c>
      <c r="B1216" s="8" t="s">
        <v>1869</v>
      </c>
      <c r="C1216" s="11">
        <v>43103</v>
      </c>
      <c r="D1216" s="12" t="str">
        <f>IF(C1216&gt;0,(VLOOKUP(C1216,'Blnct AR'!$C$2:$D$2255,2,0))," ")</f>
        <v>Milénnium 500471734904 Kz</v>
      </c>
      <c r="E1216" s="21" t="s">
        <v>1869</v>
      </c>
      <c r="F1216" s="20"/>
      <c r="G1216" s="20">
        <v>1200</v>
      </c>
      <c r="I1216" s="37"/>
    </row>
    <row r="1217" spans="1:9" s="14" customFormat="1" ht="15" customHeight="1">
      <c r="A1217" s="10">
        <v>44196</v>
      </c>
      <c r="B1217" s="8" t="s">
        <v>1869</v>
      </c>
      <c r="C1217" s="11">
        <v>767801</v>
      </c>
      <c r="D1217" s="12" t="str">
        <f>IF(C1217&gt;0,(VLOOKUP(C1217,'Blnct AR'!$C$2:$D$2255,2,0))," ")</f>
        <v>Despesas Operacionais</v>
      </c>
      <c r="E1217" s="21" t="s">
        <v>1869</v>
      </c>
      <c r="F1217" s="20">
        <v>1200</v>
      </c>
      <c r="G1217" s="20"/>
      <c r="I1217" s="37"/>
    </row>
    <row r="1218" spans="1:9" s="14" customFormat="1" ht="15" customHeight="1">
      <c r="A1218" s="10">
        <v>44196</v>
      </c>
      <c r="B1218" s="8" t="s">
        <v>1116</v>
      </c>
      <c r="C1218" s="11">
        <v>43103</v>
      </c>
      <c r="D1218" s="12" t="str">
        <f>IF(C1218&gt;0,(VLOOKUP(C1218,'Blnct AR'!$C$2:$D$2255,2,0))," ")</f>
        <v>Milénnium 500471734904 Kz</v>
      </c>
      <c r="E1218" s="21" t="s">
        <v>2070</v>
      </c>
      <c r="F1218" s="20"/>
      <c r="G1218" s="20">
        <v>2677174.4700000002</v>
      </c>
      <c r="I1218" s="37"/>
    </row>
    <row r="1219" spans="1:9" s="14" customFormat="1" ht="15" customHeight="1">
      <c r="A1219" s="10">
        <v>44196</v>
      </c>
      <c r="B1219" s="8" t="s">
        <v>1116</v>
      </c>
      <c r="C1219" s="11">
        <v>72211</v>
      </c>
      <c r="D1219" s="12" t="str">
        <f>IF(C1219&gt;0,(VLOOKUP(C1219,'Blnct AR'!$C$2:$D$2255,2,0))," ")</f>
        <v>Ordenados</v>
      </c>
      <c r="E1219" s="21" t="s">
        <v>2070</v>
      </c>
      <c r="F1219" s="20">
        <v>2677174.4700000002</v>
      </c>
      <c r="G1219" s="20"/>
      <c r="I1219" s="37"/>
    </row>
    <row r="1220" spans="1:9" s="14" customFormat="1" ht="15" customHeight="1">
      <c r="A1220" s="10">
        <v>44196</v>
      </c>
      <c r="B1220" s="8" t="s">
        <v>1116</v>
      </c>
      <c r="C1220" s="11">
        <v>43103</v>
      </c>
      <c r="D1220" s="12" t="str">
        <f>IF(C1220&gt;0,(VLOOKUP(C1220,'Blnct AR'!$C$2:$D$2255,2,0))," ")</f>
        <v>Milénnium 500471734904 Kz</v>
      </c>
      <c r="E1220" s="21" t="s">
        <v>2075</v>
      </c>
      <c r="F1220" s="20"/>
      <c r="G1220" s="20">
        <v>400000</v>
      </c>
      <c r="I1220" s="37"/>
    </row>
    <row r="1221" spans="1:9" s="14" customFormat="1" ht="15" customHeight="1">
      <c r="A1221" s="10">
        <v>44196</v>
      </c>
      <c r="B1221" s="8" t="s">
        <v>1116</v>
      </c>
      <c r="C1221" s="11">
        <v>72211</v>
      </c>
      <c r="D1221" s="12" t="str">
        <f>IF(C1221&gt;0,(VLOOKUP(C1221,'Blnct AR'!$C$2:$D$2255,2,0))," ")</f>
        <v>Ordenados</v>
      </c>
      <c r="E1221" s="21" t="s">
        <v>2075</v>
      </c>
      <c r="F1221" s="20">
        <v>400000</v>
      </c>
      <c r="G1221" s="20"/>
      <c r="I1221" s="37"/>
    </row>
    <row r="1222" spans="1:9" s="14" customFormat="1" ht="15" customHeight="1">
      <c r="A1222" s="10">
        <v>44196</v>
      </c>
      <c r="B1222" s="8" t="s">
        <v>1949</v>
      </c>
      <c r="C1222" s="11">
        <v>43103</v>
      </c>
      <c r="D1222" s="12" t="str">
        <f>IF(C1222&gt;0,(VLOOKUP(C1222,'Blnct AR'!$C$2:$D$2255,2,0))," ")</f>
        <v>Milénnium 500471734904 Kz</v>
      </c>
      <c r="E1222" s="21" t="s">
        <v>43</v>
      </c>
      <c r="F1222" s="20"/>
      <c r="G1222" s="20">
        <v>46759.06</v>
      </c>
      <c r="I1222" s="37"/>
    </row>
    <row r="1223" spans="1:9" s="14" customFormat="1" ht="15" customHeight="1">
      <c r="A1223" s="10">
        <v>44196</v>
      </c>
      <c r="B1223" s="8" t="s">
        <v>1949</v>
      </c>
      <c r="C1223" s="11">
        <v>75216</v>
      </c>
      <c r="D1223" s="12" t="str">
        <f>IF(C1223&gt;0,(VLOOKUP(C1223,'Blnct AR'!$C$2:$D$2255,2,0))," ")</f>
        <v>Ferrament.e utensílios desg.rápido</v>
      </c>
      <c r="E1223" s="21" t="s">
        <v>43</v>
      </c>
      <c r="F1223" s="20">
        <v>46759.06</v>
      </c>
      <c r="G1223" s="20"/>
      <c r="I1223" s="37"/>
    </row>
    <row r="1224" spans="1:9" s="14" customFormat="1" ht="15" customHeight="1">
      <c r="A1224" s="10">
        <v>44196</v>
      </c>
      <c r="B1224" s="8" t="s">
        <v>1984</v>
      </c>
      <c r="C1224" s="11">
        <v>43103</v>
      </c>
      <c r="D1224" s="12" t="str">
        <f>IF(C1224&gt;0,(VLOOKUP(C1224,'Blnct AR'!$C$2:$D$2255,2,0))," ")</f>
        <v>Milénnium 500471734904 Kz</v>
      </c>
      <c r="E1224" s="21" t="s">
        <v>2006</v>
      </c>
      <c r="F1224" s="20"/>
      <c r="G1224" s="20">
        <v>102900</v>
      </c>
      <c r="I1224" s="37"/>
    </row>
    <row r="1225" spans="1:9" s="14" customFormat="1" ht="15" customHeight="1">
      <c r="A1225" s="10">
        <v>44196</v>
      </c>
      <c r="B1225" s="8" t="s">
        <v>1984</v>
      </c>
      <c r="C1225" s="11">
        <v>752231</v>
      </c>
      <c r="D1225" s="12" t="str">
        <f>IF(C1225&gt;0,(VLOOKUP(C1225,'Blnct AR'!$C$2:$D$2255,2,0))," ")</f>
        <v>Refeições e estadas</v>
      </c>
      <c r="E1225" s="21" t="s">
        <v>2006</v>
      </c>
      <c r="F1225" s="20">
        <v>102900</v>
      </c>
      <c r="G1225" s="20"/>
      <c r="I1225" s="37"/>
    </row>
    <row r="1226" spans="1:9" s="14" customFormat="1" ht="15" customHeight="1">
      <c r="A1226" s="10">
        <v>44196</v>
      </c>
      <c r="B1226" s="8" t="s">
        <v>41</v>
      </c>
      <c r="C1226" s="11">
        <v>43103</v>
      </c>
      <c r="D1226" s="12" t="str">
        <f>IF(C1226&gt;0,(VLOOKUP(C1226,'Blnct AR'!$C$2:$D$2255,2,0))," ")</f>
        <v>Milénnium 500471734904 Kz</v>
      </c>
      <c r="E1226" s="21" t="s">
        <v>1985</v>
      </c>
      <c r="F1226" s="20"/>
      <c r="G1226" s="20">
        <v>208350</v>
      </c>
      <c r="I1226" s="37"/>
    </row>
    <row r="1227" spans="1:9" s="14" customFormat="1" ht="15" customHeight="1">
      <c r="A1227" s="10">
        <v>44196</v>
      </c>
      <c r="B1227" s="8" t="s">
        <v>41</v>
      </c>
      <c r="C1227" s="11">
        <v>75224</v>
      </c>
      <c r="D1227" s="12" t="str">
        <f>IF(C1227&gt;0,(VLOOKUP(C1227,'Blnct AR'!$C$2:$D$2255,2,0))," ")</f>
        <v>Despesas de representação</v>
      </c>
      <c r="E1227" s="21" t="s">
        <v>1985</v>
      </c>
      <c r="F1227" s="20">
        <v>208350</v>
      </c>
      <c r="G1227" s="20"/>
      <c r="I1227" s="37"/>
    </row>
    <row r="1228" spans="1:9" s="14" customFormat="1" ht="15" customHeight="1">
      <c r="A1228" s="10">
        <v>44196</v>
      </c>
      <c r="B1228" s="8" t="s">
        <v>1921</v>
      </c>
      <c r="C1228" s="11">
        <v>43103</v>
      </c>
      <c r="D1228" s="12" t="str">
        <f>IF(C1228&gt;0,(VLOOKUP(C1228,'Blnct AR'!$C$2:$D$2255,2,0))," ")</f>
        <v>Milénnium 500471734904 Kz</v>
      </c>
      <c r="E1228" s="21" t="s">
        <v>1860</v>
      </c>
      <c r="F1228" s="20"/>
      <c r="G1228" s="20">
        <v>22038</v>
      </c>
      <c r="I1228" s="37"/>
    </row>
    <row r="1229" spans="1:9" s="14" customFormat="1" ht="15" customHeight="1">
      <c r="A1229" s="10">
        <v>44196</v>
      </c>
      <c r="B1229" s="8" t="s">
        <v>1921</v>
      </c>
      <c r="C1229" s="11">
        <v>75228</v>
      </c>
      <c r="D1229" s="12" t="str">
        <f>IF(C1229&gt;0,(VLOOKUP(C1229,'Blnct AR'!$C$2:$D$2255,2,0))," ")</f>
        <v>Limpeza, higiene e conforto</v>
      </c>
      <c r="E1229" s="21" t="s">
        <v>1860</v>
      </c>
      <c r="F1229" s="20">
        <v>22038</v>
      </c>
      <c r="G1229" s="20"/>
      <c r="I1229" s="37"/>
    </row>
    <row r="1230" spans="1:9" s="14" customFormat="1" ht="15" customHeight="1">
      <c r="A1230" s="10">
        <v>44196</v>
      </c>
      <c r="B1230" s="8" t="s">
        <v>1955</v>
      </c>
      <c r="C1230" s="11">
        <v>43103</v>
      </c>
      <c r="D1230" s="12" t="str">
        <f>IF(C1230&gt;0,(VLOOKUP(C1230,'Blnct AR'!$C$2:$D$2255,2,0))," ")</f>
        <v>Milénnium 500471734904 Kz</v>
      </c>
      <c r="E1230" s="21" t="s">
        <v>1861</v>
      </c>
      <c r="F1230" s="20"/>
      <c r="G1230" s="20">
        <v>16300</v>
      </c>
      <c r="I1230" s="37"/>
    </row>
    <row r="1231" spans="1:9" s="14" customFormat="1" ht="15" customHeight="1">
      <c r="A1231" s="10">
        <v>44196</v>
      </c>
      <c r="B1231" s="8" t="s">
        <v>1955</v>
      </c>
      <c r="C1231" s="11">
        <v>752131</v>
      </c>
      <c r="D1231" s="12" t="str">
        <f>IF(C1231&gt;0,(VLOOKUP(C1231,'Blnct AR'!$C$2:$D$2255,2,0))," ")</f>
        <v>Gasoleo</v>
      </c>
      <c r="E1231" s="21" t="s">
        <v>1861</v>
      </c>
      <c r="F1231" s="20">
        <v>16300</v>
      </c>
      <c r="G1231" s="20"/>
      <c r="I1231" s="37"/>
    </row>
    <row r="1232" spans="1:9" s="14" customFormat="1" ht="15" customHeight="1">
      <c r="A1232" s="10">
        <v>44196</v>
      </c>
      <c r="B1232" s="8" t="s">
        <v>1955</v>
      </c>
      <c r="C1232" s="11">
        <v>43103</v>
      </c>
      <c r="D1232" s="12" t="str">
        <f>IF(C1232&gt;0,(VLOOKUP(C1232,'Blnct AR'!$C$2:$D$2255,2,0))," ")</f>
        <v>Milénnium 500471734904 Kz</v>
      </c>
      <c r="E1232" s="21" t="s">
        <v>1861</v>
      </c>
      <c r="F1232" s="20"/>
      <c r="G1232" s="20">
        <v>8800</v>
      </c>
      <c r="I1232" s="37"/>
    </row>
    <row r="1233" spans="1:9" s="14" customFormat="1" ht="15" customHeight="1">
      <c r="A1233" s="10">
        <v>44196</v>
      </c>
      <c r="B1233" s="8" t="s">
        <v>1955</v>
      </c>
      <c r="C1233" s="11">
        <v>752132</v>
      </c>
      <c r="D1233" s="12" t="str">
        <f>IF(C1233&gt;0,(VLOOKUP(C1233,'Blnct AR'!$C$2:$D$2255,2,0))," ")</f>
        <v>Gasolina</v>
      </c>
      <c r="E1233" s="21" t="s">
        <v>1861</v>
      </c>
      <c r="F1233" s="20">
        <v>8800</v>
      </c>
      <c r="G1233" s="20"/>
      <c r="I1233" s="37"/>
    </row>
    <row r="1234" spans="1:9" s="14" customFormat="1" ht="15" customHeight="1">
      <c r="A1234" s="10">
        <v>44196</v>
      </c>
      <c r="B1234" s="8" t="s">
        <v>1957</v>
      </c>
      <c r="C1234" s="11">
        <v>43103</v>
      </c>
      <c r="D1234" s="12" t="str">
        <f>IF(C1234&gt;0,(VLOOKUP(C1234,'Blnct AR'!$C$2:$D$2255,2,0))," ")</f>
        <v>Milénnium 500471734904 Kz</v>
      </c>
      <c r="E1234" s="21" t="s">
        <v>2040</v>
      </c>
      <c r="F1234" s="20"/>
      <c r="G1234" s="20">
        <v>1100</v>
      </c>
      <c r="I1234" s="37"/>
    </row>
    <row r="1235" spans="1:9" s="14" customFormat="1" ht="15" customHeight="1">
      <c r="A1235" s="10">
        <v>44196</v>
      </c>
      <c r="B1235" s="8" t="s">
        <v>1957</v>
      </c>
      <c r="C1235" s="11">
        <v>752133</v>
      </c>
      <c r="D1235" s="12" t="str">
        <f>IF(C1235&gt;0,(VLOOKUP(C1235,'Blnct AR'!$C$2:$D$2255,2,0))," ")</f>
        <v>Gás</v>
      </c>
      <c r="E1235" s="21" t="s">
        <v>2040</v>
      </c>
      <c r="F1235" s="20">
        <v>1100</v>
      </c>
      <c r="G1235" s="20"/>
      <c r="I1235" s="37"/>
    </row>
    <row r="1236" spans="1:9" s="14" customFormat="1" ht="15" customHeight="1">
      <c r="A1236" s="10">
        <v>44196</v>
      </c>
      <c r="B1236" s="8" t="s">
        <v>1986</v>
      </c>
      <c r="C1236" s="11">
        <v>43103</v>
      </c>
      <c r="D1236" s="12" t="str">
        <f>IF(C1236&gt;0,(VLOOKUP(C1236,'Blnct AR'!$C$2:$D$2255,2,0))," ")</f>
        <v>Milénnium 500471734904 Kz</v>
      </c>
      <c r="E1236" s="21" t="s">
        <v>2045</v>
      </c>
      <c r="F1236" s="20"/>
      <c r="G1236" s="20">
        <v>18000</v>
      </c>
      <c r="I1236" s="37"/>
    </row>
    <row r="1237" spans="1:9" s="14" customFormat="1" ht="15" customHeight="1">
      <c r="A1237" s="10">
        <v>44196</v>
      </c>
      <c r="B1237" s="8" t="s">
        <v>1986</v>
      </c>
      <c r="C1237" s="11">
        <v>752143</v>
      </c>
      <c r="D1237" s="12" t="str">
        <f>IF(C1237&gt;0,(VLOOKUP(C1237,'Blnct AR'!$C$2:$D$2255,2,0))," ")</f>
        <v>Equipamento básico</v>
      </c>
      <c r="E1237" s="21" t="s">
        <v>2045</v>
      </c>
      <c r="F1237" s="20">
        <v>18000</v>
      </c>
      <c r="G1237" s="20"/>
      <c r="I1237" s="37"/>
    </row>
    <row r="1238" spans="1:9" s="14" customFormat="1" ht="15" customHeight="1">
      <c r="A1238" s="10">
        <v>44196</v>
      </c>
      <c r="B1238" s="8" t="s">
        <v>1961</v>
      </c>
      <c r="C1238" s="11">
        <v>43103</v>
      </c>
      <c r="D1238" s="12" t="str">
        <f>IF(C1238&gt;0,(VLOOKUP(C1238,'Blnct AR'!$C$2:$D$2255,2,0))," ")</f>
        <v>Milénnium 500471734904 Kz</v>
      </c>
      <c r="E1238" s="21" t="s">
        <v>1840</v>
      </c>
      <c r="F1238" s="20"/>
      <c r="G1238" s="20">
        <v>3916000</v>
      </c>
      <c r="I1238" s="37"/>
    </row>
    <row r="1239" spans="1:9" s="14" customFormat="1" ht="15" customHeight="1">
      <c r="A1239" s="10">
        <v>44196</v>
      </c>
      <c r="B1239" s="8" t="s">
        <v>1961</v>
      </c>
      <c r="C1239" s="11">
        <v>752144</v>
      </c>
      <c r="D1239" s="12" t="str">
        <f>IF(C1239&gt;0,(VLOOKUP(C1239,'Blnct AR'!$C$2:$D$2255,2,0))," ")</f>
        <v>Equipamento de carga e transporte</v>
      </c>
      <c r="E1239" s="21" t="s">
        <v>1840</v>
      </c>
      <c r="F1239" s="20">
        <v>3916000</v>
      </c>
      <c r="G1239" s="20"/>
      <c r="I1239" s="37"/>
    </row>
    <row r="1240" spans="1:9" s="14" customFormat="1" ht="15" customHeight="1">
      <c r="A1240" s="10">
        <v>44196</v>
      </c>
      <c r="B1240" s="8" t="s">
        <v>2027</v>
      </c>
      <c r="C1240" s="11">
        <v>43103</v>
      </c>
      <c r="D1240" s="12" t="str">
        <f>IF(C1240&gt;0,(VLOOKUP(C1240,'Blnct AR'!$C$2:$D$2255,2,0))," ")</f>
        <v>Milénnium 500471734904 Kz</v>
      </c>
      <c r="E1240" s="21" t="s">
        <v>2069</v>
      </c>
      <c r="F1240" s="20"/>
      <c r="G1240" s="20">
        <v>50000</v>
      </c>
      <c r="I1240" s="37"/>
    </row>
    <row r="1241" spans="1:9" s="14" customFormat="1" ht="15" customHeight="1">
      <c r="A1241" s="10">
        <v>44196</v>
      </c>
      <c r="B1241" s="8" t="s">
        <v>2027</v>
      </c>
      <c r="C1241" s="11">
        <v>752214</v>
      </c>
      <c r="D1241" s="12" t="str">
        <f>IF(C1241&gt;0,(VLOOKUP(C1241,'Blnct AR'!$C$2:$D$2255,2,0))," ")</f>
        <v>Serviço de transporte</v>
      </c>
      <c r="E1241" s="21" t="s">
        <v>2069</v>
      </c>
      <c r="F1241" s="20">
        <v>50000</v>
      </c>
      <c r="G1241" s="20"/>
      <c r="I1241" s="37"/>
    </row>
    <row r="1242" spans="1:9" s="14" customFormat="1" ht="15" customHeight="1">
      <c r="A1242" s="10">
        <v>44196</v>
      </c>
      <c r="B1242" s="8" t="s">
        <v>1409</v>
      </c>
      <c r="C1242" s="11">
        <v>43103</v>
      </c>
      <c r="D1242" s="12" t="str">
        <f>IF(C1242&gt;0,(VLOOKUP(C1242,'Blnct AR'!$C$2:$D$2255,2,0))," ")</f>
        <v>Milénnium 500471734904 Kz</v>
      </c>
      <c r="E1242" s="21" t="s">
        <v>1964</v>
      </c>
      <c r="F1242" s="20"/>
      <c r="G1242" s="20">
        <v>41712</v>
      </c>
      <c r="I1242" s="37"/>
    </row>
    <row r="1243" spans="1:9" s="14" customFormat="1" ht="15" customHeight="1">
      <c r="A1243" s="10">
        <v>44196</v>
      </c>
      <c r="B1243" s="8" t="s">
        <v>1409</v>
      </c>
      <c r="C1243" s="11">
        <v>75318</v>
      </c>
      <c r="D1243" s="12" t="str">
        <f>IF(C1243&gt;0,(VLOOKUP(C1243,'Blnct AR'!$C$2:$D$2255,2,0))," ")</f>
        <v>Lei 19/14 Rf 6,5%</v>
      </c>
      <c r="E1243" s="21" t="s">
        <v>1964</v>
      </c>
      <c r="F1243" s="20">
        <v>41712</v>
      </c>
      <c r="G1243" s="20"/>
      <c r="I1243" s="37"/>
    </row>
    <row r="1244" spans="1:9" s="14" customFormat="1" ht="15" customHeight="1">
      <c r="A1244" s="10">
        <v>44196</v>
      </c>
      <c r="B1244" s="8" t="s">
        <v>1869</v>
      </c>
      <c r="C1244" s="11">
        <v>43103</v>
      </c>
      <c r="D1244" s="12" t="str">
        <f>IF(C1244&gt;0,(VLOOKUP(C1244,'Blnct AR'!$C$2:$D$2255,2,0))," ")</f>
        <v>Milénnium 500471734904 Kz</v>
      </c>
      <c r="E1244" s="21" t="s">
        <v>1869</v>
      </c>
      <c r="F1244" s="20"/>
      <c r="G1244" s="20">
        <v>168</v>
      </c>
      <c r="I1244" s="37"/>
    </row>
    <row r="1245" spans="1:9" s="14" customFormat="1" ht="15" customHeight="1">
      <c r="A1245" s="10">
        <v>44196</v>
      </c>
      <c r="B1245" s="8" t="s">
        <v>1869</v>
      </c>
      <c r="C1245" s="11">
        <v>75314</v>
      </c>
      <c r="D1245" s="12" t="str">
        <f>IF(C1245&gt;0,(VLOOKUP(C1245,'Blnct AR'!$C$2:$D$2255,2,0))," ")</f>
        <v>IVA Suportado</v>
      </c>
      <c r="E1245" s="21" t="s">
        <v>1869</v>
      </c>
      <c r="F1245" s="20">
        <v>168</v>
      </c>
      <c r="G1245" s="20"/>
      <c r="I1245" s="37"/>
    </row>
    <row r="1246" spans="1:9" s="14" customFormat="1" ht="15" customHeight="1">
      <c r="A1246" s="10">
        <v>44196</v>
      </c>
      <c r="B1246" s="8"/>
      <c r="C1246" s="11"/>
      <c r="D1246" s="12" t="str">
        <f>IF(C1246&gt;0,(VLOOKUP(C1246,'Blnct AR'!$C$2:$D$2255,2,0))," ")</f>
        <v xml:space="preserve"> </v>
      </c>
      <c r="E1246" s="369" t="s">
        <v>1845</v>
      </c>
      <c r="F1246" s="366">
        <f>SUM(F354:F1191)</f>
        <v>243511436.39000008</v>
      </c>
      <c r="G1246" s="366">
        <f>SUM(G354:G1191)</f>
        <v>243511436.39000008</v>
      </c>
      <c r="I1246" s="37"/>
    </row>
    <row r="1247" spans="1:9" s="14" customFormat="1" ht="15" customHeight="1">
      <c r="A1247" s="10">
        <v>44196</v>
      </c>
      <c r="B1247" s="8" t="s">
        <v>164</v>
      </c>
      <c r="C1247" s="11">
        <v>32122002</v>
      </c>
      <c r="D1247" s="12" t="str">
        <f>IF(C1247&gt;0,(VLOOKUP(C1247,'Blnct AR'!$C$2:$D$2259,2,0))," ")</f>
        <v>UEM-Unid. Estruturas Metálicas, SA</v>
      </c>
      <c r="E1247" s="12" t="s">
        <v>1846</v>
      </c>
      <c r="F1247" s="20"/>
      <c r="G1247" s="13">
        <v>91283683.5</v>
      </c>
      <c r="H1247" s="368" t="s">
        <v>1847</v>
      </c>
      <c r="I1247" s="37"/>
    </row>
    <row r="1248" spans="1:9" s="14" customFormat="1" ht="15" customHeight="1">
      <c r="A1248" s="10">
        <v>44196</v>
      </c>
      <c r="B1248" s="8" t="str">
        <f>+B1247</f>
        <v>Cmp_Crd</v>
      </c>
      <c r="C1248" s="11">
        <v>752337</v>
      </c>
      <c r="D1248" s="12" t="str">
        <f>IF(C1248&gt;0,(VLOOKUP(C1248,'Blnct AR'!$C$2:$D$2259,2,0))," ")</f>
        <v>Cedência de Mão de Obra</v>
      </c>
      <c r="E1248" s="12" t="s">
        <v>1846</v>
      </c>
      <c r="F1248" s="20">
        <v>91283683.5</v>
      </c>
      <c r="G1248" s="20"/>
      <c r="I1248" s="37"/>
    </row>
    <row r="1249" spans="1:9" s="14" customFormat="1" ht="15" customHeight="1">
      <c r="A1249" s="10">
        <v>44197</v>
      </c>
      <c r="B1249" s="8" t="s">
        <v>1867</v>
      </c>
      <c r="C1249" s="11">
        <v>114210</v>
      </c>
      <c r="D1249" s="12" t="str">
        <f>IF(C1249&gt;0,(VLOOKUP(C1249,'Blnct AR'!$C$2:$D$2259,2,0))," ")</f>
        <v>Toyota Land Cruiser - LD-74-36-FS</v>
      </c>
      <c r="E1249" s="12" t="s">
        <v>1868</v>
      </c>
      <c r="F1249" s="20">
        <v>11300000</v>
      </c>
      <c r="G1249" s="20"/>
      <c r="I1249" s="37"/>
    </row>
    <row r="1250" spans="1:9" s="14" customFormat="1" ht="15" customHeight="1">
      <c r="A1250" s="10">
        <v>44198</v>
      </c>
      <c r="B1250" s="8" t="str">
        <f>+B1249</f>
        <v>Cmp_CImobC</v>
      </c>
      <c r="C1250" s="11">
        <v>321219</v>
      </c>
      <c r="D1250" s="12" t="str">
        <f>IF(C1250&gt;0,(VLOOKUP(C1250,'Blnct AR'!$C$2:$D$2259,2,0))," ")</f>
        <v>Diversos</v>
      </c>
      <c r="E1250" s="12" t="s">
        <v>1868</v>
      </c>
      <c r="F1250" s="20"/>
      <c r="G1250" s="13">
        <v>11300000</v>
      </c>
      <c r="I1250" s="37"/>
    </row>
    <row r="1251" spans="1:9" s="14" customFormat="1" ht="15" customHeight="1">
      <c r="A1251" s="10">
        <v>44199</v>
      </c>
      <c r="B1251" s="8" t="s">
        <v>1841</v>
      </c>
      <c r="C1251" s="11"/>
      <c r="D1251" s="12" t="str">
        <f>IF(C1251&gt;0,(VLOOKUP(C1251,'Blnct AR'!$C$2:$D$2259,2,0))," ")</f>
        <v xml:space="preserve"> </v>
      </c>
      <c r="E1251" s="12" t="s">
        <v>1862</v>
      </c>
      <c r="F1251" s="20"/>
      <c r="G1251" s="20"/>
      <c r="I1251" s="37"/>
    </row>
    <row r="1252" spans="1:9" s="14" customFormat="1" ht="15" customHeight="1">
      <c r="A1252" s="10">
        <v>44200</v>
      </c>
      <c r="B1252" s="8" t="s">
        <v>1841</v>
      </c>
      <c r="C1252" s="11"/>
      <c r="D1252" s="12" t="str">
        <f>IF(C1252&gt;0,(VLOOKUP(C1252,'Blnct AR'!$C$2:$D$2259,2,0))," ")</f>
        <v xml:space="preserve"> </v>
      </c>
      <c r="E1252" s="12"/>
      <c r="F1252" s="20"/>
      <c r="G1252" s="20"/>
      <c r="I1252" s="37"/>
    </row>
    <row r="1253" spans="1:9" s="14" customFormat="1" ht="15" customHeight="1">
      <c r="A1253" s="10">
        <v>44201</v>
      </c>
      <c r="B1253" s="8" t="s">
        <v>1841</v>
      </c>
      <c r="C1253" s="11"/>
      <c r="D1253" s="12" t="str">
        <f>IF(C1253&gt;0,(VLOOKUP(C1253,'Blnct AR'!$C$2:$D$2259,2,0))," ")</f>
        <v xml:space="preserve"> </v>
      </c>
      <c r="E1253" s="12"/>
      <c r="F1253" s="20"/>
      <c r="G1253" s="20"/>
      <c r="I1253" s="37"/>
    </row>
    <row r="1254" spans="1:9" s="14" customFormat="1" ht="15" customHeight="1">
      <c r="A1254" s="10">
        <v>44202</v>
      </c>
      <c r="B1254" s="8" t="s">
        <v>1841</v>
      </c>
      <c r="C1254" s="11"/>
      <c r="D1254" s="12" t="str">
        <f>IF(C1254&gt;0,(VLOOKUP(C1254,'Blnct AR'!$C$2:$D$2259,2,0))," ")</f>
        <v xml:space="preserve"> </v>
      </c>
      <c r="E1254" s="12"/>
      <c r="F1254" s="20"/>
      <c r="G1254" s="20"/>
      <c r="I1254" s="37"/>
    </row>
    <row r="1255" spans="1:9" s="14" customFormat="1" ht="15" customHeight="1">
      <c r="A1255" s="10">
        <v>44203</v>
      </c>
      <c r="B1255" s="8" t="s">
        <v>1841</v>
      </c>
      <c r="C1255" s="11"/>
      <c r="D1255" s="12" t="str">
        <f>IF(C1255&gt;0,(VLOOKUP(C1255,'Blnct AR'!$C$2:$D$2259,2,0))," ")</f>
        <v xml:space="preserve"> </v>
      </c>
      <c r="E1255" s="12"/>
      <c r="F1255" s="20"/>
      <c r="G1255" s="20"/>
      <c r="I1255" s="37"/>
    </row>
    <row r="1256" spans="1:9" s="14" customFormat="1" ht="15" customHeight="1">
      <c r="A1256" s="10">
        <v>44204</v>
      </c>
      <c r="B1256" s="8" t="s">
        <v>1841</v>
      </c>
      <c r="C1256" s="11"/>
      <c r="D1256" s="12" t="str">
        <f>IF(C1256&gt;0,(VLOOKUP(C1256,'Blnct AR'!$C$2:$D$2259,2,0))," ")</f>
        <v xml:space="preserve"> </v>
      </c>
      <c r="E1256" s="12"/>
      <c r="F1256" s="20"/>
      <c r="G1256" s="20"/>
      <c r="I1256" s="37"/>
    </row>
    <row r="1257" spans="1:9" s="14" customFormat="1" ht="15" customHeight="1">
      <c r="A1257" s="10">
        <v>44205</v>
      </c>
      <c r="B1257" s="8" t="s">
        <v>1841</v>
      </c>
      <c r="C1257" s="11"/>
      <c r="D1257" s="12" t="str">
        <f>IF(C1257&gt;0,(VLOOKUP(C1257,'Blnct AR'!$C$2:$D$2259,2,0))," ")</f>
        <v xml:space="preserve"> </v>
      </c>
      <c r="E1257" s="12"/>
      <c r="F1257" s="20"/>
      <c r="G1257" s="20"/>
      <c r="I1257" s="37"/>
    </row>
    <row r="1258" spans="1:9" s="14" customFormat="1" ht="15" customHeight="1">
      <c r="A1258" s="10">
        <v>44206</v>
      </c>
      <c r="B1258" s="8" t="s">
        <v>1841</v>
      </c>
      <c r="C1258" s="11"/>
      <c r="D1258" s="12" t="str">
        <f>IF(C1258&gt;0,(VLOOKUP(C1258,'Blnct AR'!$C$2:$D$2259,2,0))," ")</f>
        <v xml:space="preserve"> </v>
      </c>
      <c r="E1258" s="12" t="str">
        <f>E1251</f>
        <v>Alimentação B13</v>
      </c>
      <c r="F1258" s="20"/>
      <c r="G1258" s="13"/>
      <c r="I1258" s="37"/>
    </row>
    <row r="1259" spans="1:9" s="14" customFormat="1" ht="15" customHeight="1">
      <c r="A1259" s="10"/>
      <c r="B1259" s="8"/>
      <c r="C1259" s="11"/>
      <c r="D1259" s="12" t="str">
        <f>IF(C1259&gt;0,(VLOOKUP(C1259,'Blnct AR'!$C$2:$D$2259,2,0))," ")</f>
        <v xml:space="preserve"> </v>
      </c>
      <c r="E1259" s="369" t="s">
        <v>1849</v>
      </c>
      <c r="F1259" s="366">
        <f>SUM(F1247:F1258)</f>
        <v>102583683.5</v>
      </c>
      <c r="G1259" s="366">
        <f>SUM(G1247:G1258)</f>
        <v>102583683.5</v>
      </c>
      <c r="I1259" s="37"/>
    </row>
    <row r="1260" spans="1:9" s="14" customFormat="1" ht="15" customHeight="1">
      <c r="A1260" s="10">
        <v>43831</v>
      </c>
      <c r="B1260" s="8" t="s">
        <v>1858</v>
      </c>
      <c r="C1260" s="11"/>
      <c r="D1260" s="12" t="str">
        <f>IF(C1260&gt;0,(VLOOKUP(C1260,'Blnct AR'!$C$2:$D$2259,2,0))," ")</f>
        <v xml:space="preserve"> </v>
      </c>
      <c r="E1260" s="12" t="s">
        <v>1856</v>
      </c>
      <c r="F1260" s="20"/>
      <c r="G1260" s="13"/>
      <c r="H1260" s="368" t="s">
        <v>1850</v>
      </c>
      <c r="I1260" s="37"/>
    </row>
    <row r="1261" spans="1:9" s="14" customFormat="1" ht="15" customHeight="1">
      <c r="A1261" s="10">
        <v>43831</v>
      </c>
      <c r="B1261" s="8" t="str">
        <f>B1260</f>
        <v>Cx_Fst</v>
      </c>
      <c r="C1261" s="11"/>
      <c r="D1261" s="12" t="str">
        <f>IF(C1261&gt;0,(VLOOKUP(C1261,'Blnct AR'!$C$2:$D$2259,2,0))," ")</f>
        <v xml:space="preserve"> </v>
      </c>
      <c r="E1261" s="12" t="s">
        <v>1856</v>
      </c>
      <c r="F1261" s="13"/>
      <c r="G1261" s="13"/>
      <c r="I1261" s="37"/>
    </row>
    <row r="1262" spans="1:9" s="14" customFormat="1" ht="15" customHeight="1">
      <c r="A1262" s="10">
        <v>43831</v>
      </c>
      <c r="B1262" s="8"/>
      <c r="C1262" s="11"/>
      <c r="D1262" s="12" t="str">
        <f>IF(C1262&gt;0,(VLOOKUP(C1262,'Blnct AR'!$C$2:$D$2259,2,0))," ")</f>
        <v xml:space="preserve"> </v>
      </c>
      <c r="E1262" s="369" t="s">
        <v>1851</v>
      </c>
      <c r="F1262" s="366">
        <f>SUM(F1260:F1261)</f>
        <v>0</v>
      </c>
      <c r="G1262" s="366">
        <f>SUM(G1260:G1261)</f>
        <v>0</v>
      </c>
      <c r="I1262" s="37"/>
    </row>
    <row r="1263" spans="1:9" s="14" customFormat="1" ht="15" customHeight="1">
      <c r="A1263" s="10">
        <v>43831</v>
      </c>
      <c r="B1263" s="8" t="s">
        <v>110</v>
      </c>
      <c r="C1263" s="11">
        <v>6211</v>
      </c>
      <c r="D1263" s="12" t="str">
        <f>IF(C1263&gt;0,(VLOOKUP(C1263,'Blnct AR'!$C$2:$D$2259,2,0))," ")</f>
        <v>Mercado nacional</v>
      </c>
      <c r="E1263" s="12" t="s">
        <v>1866</v>
      </c>
      <c r="F1263" s="20"/>
      <c r="G1263" s="20">
        <v>93534161.430000007</v>
      </c>
      <c r="H1263" s="368" t="s">
        <v>1852</v>
      </c>
      <c r="I1263" s="37"/>
    </row>
    <row r="1264" spans="1:9" s="14" customFormat="1" ht="15" customHeight="1">
      <c r="A1264" s="10">
        <v>43831</v>
      </c>
      <c r="B1264" s="8" t="s">
        <v>110</v>
      </c>
      <c r="C1264" s="11">
        <v>345312111</v>
      </c>
      <c r="D1264" s="12" t="str">
        <f>IF(C1264&gt;0,(VLOOKUP(C1264,'Blnct AR'!$C$2:$D$2259,2,0))," ")</f>
        <v>IVA Liq. - Op. gerais - Prest. Serv. - M.interno - 14%</v>
      </c>
      <c r="E1264" s="12" t="s">
        <v>1866</v>
      </c>
      <c r="F1264" s="20"/>
      <c r="G1264" s="20">
        <v>13094782.6</v>
      </c>
      <c r="H1264" s="368"/>
      <c r="I1264" s="37"/>
    </row>
    <row r="1265" spans="1:9" s="14" customFormat="1" ht="15" customHeight="1">
      <c r="A1265" s="10">
        <v>43831</v>
      </c>
      <c r="B1265" s="8" t="s">
        <v>110</v>
      </c>
      <c r="C1265" s="11">
        <v>31121077</v>
      </c>
      <c r="D1265" s="12" t="str">
        <f>IF(C1265&gt;0,(VLOOKUP(C1265,'Blnct AR'!$C$2:$D$2259,2,0))," ")</f>
        <v>CATOCA - Sociedade Mineira de Catoca, Lda</v>
      </c>
      <c r="E1265" s="12" t="str">
        <f>E1263</f>
        <v>FA 2020C_01</v>
      </c>
      <c r="F1265" s="20">
        <f>G1263+G1264-6079720.49</f>
        <v>100549223.54000001</v>
      </c>
      <c r="G1265" s="13"/>
      <c r="I1265" s="37"/>
    </row>
    <row r="1266" spans="1:9" s="14" customFormat="1" ht="15" customHeight="1">
      <c r="A1266" s="10">
        <v>43831</v>
      </c>
      <c r="B1266" s="8" t="s">
        <v>110</v>
      </c>
      <c r="C1266" s="11">
        <v>3171077</v>
      </c>
      <c r="D1266" s="12" t="str">
        <f>IF(C1266&gt;0,(VLOOKUP(C1266,'Blnct AR'!$C$2:$D$2259,2,0))," ")</f>
        <v>CATOCA - Sociedade Mineira de Catoca, Lda</v>
      </c>
      <c r="E1266" s="12" t="str">
        <f>E1265</f>
        <v>FA 2020C_01</v>
      </c>
      <c r="F1266" s="20">
        <v>6079720.4900000002</v>
      </c>
      <c r="G1266" s="13"/>
      <c r="I1266" s="37"/>
    </row>
    <row r="1267" spans="1:9" s="14" customFormat="1" ht="15" customHeight="1">
      <c r="A1267" s="10">
        <v>43899</v>
      </c>
      <c r="B1267" s="8" t="s">
        <v>110</v>
      </c>
      <c r="C1267" s="11">
        <v>6211</v>
      </c>
      <c r="D1267" s="12" t="str">
        <f>IF(C1267&gt;0,(VLOOKUP(C1267,'Blnct AR'!$C$2:$D$2259,2,0))," ")</f>
        <v>Mercado nacional</v>
      </c>
      <c r="E1267" s="12" t="s">
        <v>1878</v>
      </c>
      <c r="F1267" s="20"/>
      <c r="G1267" s="20">
        <v>1844913.52</v>
      </c>
      <c r="I1267" s="37"/>
    </row>
    <row r="1268" spans="1:9" s="14" customFormat="1" ht="15" customHeight="1">
      <c r="A1268" s="10">
        <v>43899</v>
      </c>
      <c r="B1268" s="8" t="s">
        <v>110</v>
      </c>
      <c r="C1268" s="11">
        <v>345311111</v>
      </c>
      <c r="D1268" s="12" t="str">
        <f>IF(C1268&gt;0,(VLOOKUP(C1268,'Blnct AR'!$C$2:$D$2259,2,0))," ")</f>
        <v>IVA Liq. - Op. gerais - Vendas - M.interno - 14%</v>
      </c>
      <c r="E1268" s="12" t="s">
        <v>1878</v>
      </c>
      <c r="F1268" s="20"/>
      <c r="G1268" s="20">
        <v>258287.89</v>
      </c>
      <c r="I1268" s="37"/>
    </row>
    <row r="1269" spans="1:9" s="14" customFormat="1" ht="15" customHeight="1">
      <c r="A1269" s="10">
        <v>43899</v>
      </c>
      <c r="B1269" s="8" t="s">
        <v>110</v>
      </c>
      <c r="C1269" s="11">
        <v>31121077</v>
      </c>
      <c r="D1269" s="12" t="str">
        <f>IF(C1269&gt;0,(VLOOKUP(C1269,'Blnct AR'!$C$2:$D$2259,2,0))," ")</f>
        <v>CATOCA - Sociedade Mineira de Catoca, Lda</v>
      </c>
      <c r="E1269" s="12" t="s">
        <v>1878</v>
      </c>
      <c r="F1269" s="20">
        <f>G1267+G1268-119919.38</f>
        <v>1983282.0300000003</v>
      </c>
      <c r="G1269" s="20"/>
      <c r="I1269" s="37"/>
    </row>
    <row r="1270" spans="1:9" s="14" customFormat="1" ht="15" customHeight="1">
      <c r="A1270" s="10">
        <v>43899</v>
      </c>
      <c r="B1270" s="8" t="s">
        <v>110</v>
      </c>
      <c r="C1270" s="11">
        <v>3171077</v>
      </c>
      <c r="D1270" s="12" t="str">
        <f>IF(C1270&gt;0,(VLOOKUP(C1270,'Blnct AR'!$C$2:$D$2259,2,0))," ")</f>
        <v>CATOCA - Sociedade Mineira de Catoca, Lda</v>
      </c>
      <c r="E1270" s="12" t="s">
        <v>1878</v>
      </c>
      <c r="F1270" s="20">
        <v>119919.38</v>
      </c>
      <c r="G1270" s="20"/>
      <c r="I1270" s="37"/>
    </row>
    <row r="1271" spans="1:9" s="14" customFormat="1" ht="15" customHeight="1">
      <c r="A1271" s="10">
        <v>43908</v>
      </c>
      <c r="B1271" s="8" t="s">
        <v>110</v>
      </c>
      <c r="C1271" s="11">
        <v>6111</v>
      </c>
      <c r="D1271" s="12" t="str">
        <f>IF(C1271&gt;0,(VLOOKUP(C1271,'Blnct AR'!$C$2:$D$2259,2,0))," ")</f>
        <v>Vnd Mercado nacional</v>
      </c>
      <c r="E1271" s="12" t="s">
        <v>1883</v>
      </c>
      <c r="F1271" s="20"/>
      <c r="G1271" s="20">
        <v>41150047.420000002</v>
      </c>
    </row>
    <row r="1272" spans="1:9" s="14" customFormat="1" ht="15" customHeight="1">
      <c r="A1272" s="10">
        <v>43908</v>
      </c>
      <c r="B1272" s="8" t="s">
        <v>110</v>
      </c>
      <c r="C1272" s="11">
        <v>345311111</v>
      </c>
      <c r="D1272" s="12" t="str">
        <f>IF(C1272&gt;0,(VLOOKUP(C1272,'Blnct AR'!$C$2:$D$2259,2,0))," ")</f>
        <v>IVA Liq. - Op. gerais - Vendas - M.interno - 14%</v>
      </c>
      <c r="E1272" s="12" t="s">
        <v>1883</v>
      </c>
      <c r="F1272" s="20"/>
      <c r="G1272" s="20">
        <v>5761006.6399999997</v>
      </c>
      <c r="I1272" s="37"/>
    </row>
    <row r="1273" spans="1:9" s="14" customFormat="1" ht="15" customHeight="1">
      <c r="A1273" s="10">
        <v>43908</v>
      </c>
      <c r="B1273" s="8" t="s">
        <v>110</v>
      </c>
      <c r="C1273" s="11">
        <v>31121077</v>
      </c>
      <c r="D1273" s="12" t="str">
        <f>IF(C1273&gt;0,(VLOOKUP(C1273,'Blnct AR'!$C$2:$D$2259,2,0))," ")</f>
        <v>CATOCA - Sociedade Mineira de Catoca, Lda</v>
      </c>
      <c r="E1273" s="12" t="s">
        <v>1883</v>
      </c>
      <c r="F1273" s="20">
        <f>G1271+G1272</f>
        <v>46911054.060000002</v>
      </c>
      <c r="G1273" s="20"/>
      <c r="I1273" s="37"/>
    </row>
    <row r="1274" spans="1:9" s="14" customFormat="1" ht="15" customHeight="1">
      <c r="A1274" s="10">
        <v>43908</v>
      </c>
      <c r="B1274" s="8" t="s">
        <v>110</v>
      </c>
      <c r="C1274" s="11">
        <v>6211</v>
      </c>
      <c r="D1274" s="12" t="str">
        <f>IF(C1274&gt;0,(VLOOKUP(C1274,'Blnct AR'!$C$2:$D$2259,2,0))," ")</f>
        <v>Mercado nacional</v>
      </c>
      <c r="E1274" s="12" t="s">
        <v>1899</v>
      </c>
      <c r="F1274" s="20"/>
      <c r="G1274" s="20">
        <v>31295828.390000001</v>
      </c>
      <c r="I1274" s="37"/>
    </row>
    <row r="1275" spans="1:9" s="14" customFormat="1" ht="15" customHeight="1">
      <c r="A1275" s="10">
        <v>44018</v>
      </c>
      <c r="B1275" s="8" t="s">
        <v>110</v>
      </c>
      <c r="C1275" s="11">
        <v>345311111</v>
      </c>
      <c r="D1275" s="12" t="str">
        <f>IF(C1275&gt;0,(VLOOKUP(C1275,'Blnct AR'!$C$2:$D$2259,2,0))," ")</f>
        <v>IVA Liq. - Op. gerais - Vendas - M.interno - 14%</v>
      </c>
      <c r="E1275" s="12" t="s">
        <v>1899</v>
      </c>
      <c r="F1275" s="20"/>
      <c r="G1275" s="20">
        <v>4381415.9800000004</v>
      </c>
      <c r="I1275" s="37"/>
    </row>
    <row r="1276" spans="1:9" s="14" customFormat="1" ht="15" customHeight="1">
      <c r="A1276" s="10">
        <v>44018</v>
      </c>
      <c r="B1276" s="8" t="s">
        <v>110</v>
      </c>
      <c r="C1276" s="11">
        <v>31121077</v>
      </c>
      <c r="D1276" s="12" t="str">
        <f>IF(C1276&gt;0,(VLOOKUP(C1276,'Blnct AR'!$C$2:$D$2259,2,0))," ")</f>
        <v>CATOCA - Sociedade Mineira de Catoca, Lda</v>
      </c>
      <c r="E1276" s="12" t="s">
        <v>1899</v>
      </c>
      <c r="F1276" s="20">
        <f>G1274+G1275-F1277</f>
        <v>33643015.524650007</v>
      </c>
      <c r="G1276" s="20"/>
      <c r="I1276" s="37"/>
    </row>
    <row r="1277" spans="1:9" s="14" customFormat="1" ht="15" customHeight="1">
      <c r="A1277" s="10">
        <v>44018</v>
      </c>
      <c r="B1277" s="8" t="s">
        <v>110</v>
      </c>
      <c r="C1277" s="11">
        <v>3171077</v>
      </c>
      <c r="D1277" s="12" t="str">
        <f>IF(C1277&gt;0,(VLOOKUP(C1277,'Blnct AR'!$C$2:$D$2259,2,0))," ")</f>
        <v>CATOCA - Sociedade Mineira de Catoca, Lda</v>
      </c>
      <c r="E1277" s="12" t="s">
        <v>1899</v>
      </c>
      <c r="F1277" s="20">
        <f>G1274*6.5%</f>
        <v>2034228.8453500001</v>
      </c>
      <c r="G1277" s="20"/>
      <c r="I1277" s="37"/>
    </row>
    <row r="1278" spans="1:9" s="14" customFormat="1" ht="15" customHeight="1">
      <c r="A1278" s="10">
        <v>44111</v>
      </c>
      <c r="B1278" s="8" t="s">
        <v>102</v>
      </c>
      <c r="C1278" s="11">
        <v>6111</v>
      </c>
      <c r="D1278" s="12" t="str">
        <f>IF(C1278&gt;0,(VLOOKUP(C1278,'Blnct AR'!$C$2:$D$2259,2,0))," ")</f>
        <v>Vnd Mercado nacional</v>
      </c>
      <c r="E1278" s="12" t="s">
        <v>1900</v>
      </c>
      <c r="F1278" s="20"/>
      <c r="G1278" s="20">
        <v>2280701.75</v>
      </c>
      <c r="I1278" s="37"/>
    </row>
    <row r="1279" spans="1:9" s="14" customFormat="1" ht="15" customHeight="1">
      <c r="A1279" s="10">
        <v>44111</v>
      </c>
      <c r="B1279" s="8" t="s">
        <v>102</v>
      </c>
      <c r="C1279" s="11">
        <v>345311111</v>
      </c>
      <c r="D1279" s="12" t="str">
        <f>IF(C1279&gt;0,(VLOOKUP(C1279,'Blnct AR'!$C$2:$D$2259,2,0))," ")</f>
        <v>IVA Liq. - Op. gerais - Vendas - M.interno - 14%</v>
      </c>
      <c r="E1279" s="12" t="s">
        <v>1900</v>
      </c>
      <c r="F1279" s="20"/>
      <c r="G1279" s="20">
        <v>319298.25</v>
      </c>
      <c r="I1279" s="37"/>
    </row>
    <row r="1280" spans="1:9" s="14" customFormat="1" ht="15" customHeight="1">
      <c r="A1280" s="10">
        <v>44111</v>
      </c>
      <c r="B1280" s="8" t="s">
        <v>102</v>
      </c>
      <c r="C1280" s="11">
        <v>31121119</v>
      </c>
      <c r="D1280" s="12" t="str">
        <f>IF(C1280&gt;0,(VLOOKUP(C1280,'Blnct AR'!$C$2:$D$2259,2,0))," ")</f>
        <v>Céos - Serviços e participações, Lda</v>
      </c>
      <c r="E1280" s="12" t="s">
        <v>1900</v>
      </c>
      <c r="F1280" s="20">
        <f>G1278+G1279-F1281</f>
        <v>2600000</v>
      </c>
      <c r="G1280" s="20"/>
      <c r="I1280" s="37"/>
    </row>
    <row r="1281" spans="1:9" s="14" customFormat="1" ht="15" customHeight="1">
      <c r="A1281" s="10">
        <v>44111</v>
      </c>
      <c r="B1281" s="8" t="s">
        <v>102</v>
      </c>
      <c r="C1281" s="11">
        <v>6111</v>
      </c>
      <c r="D1281" s="12" t="str">
        <f>IF(C1281&gt;0,(VLOOKUP(C1281,'Blnct AR'!$C$2:$D$2259,2,0))," ")</f>
        <v>Vnd Mercado nacional</v>
      </c>
      <c r="E1281" s="12" t="s">
        <v>1901</v>
      </c>
      <c r="F1281" s="20"/>
      <c r="G1281" s="20">
        <v>23095479.510000002</v>
      </c>
      <c r="I1281" s="37"/>
    </row>
    <row r="1282" spans="1:9" s="14" customFormat="1" ht="15" customHeight="1">
      <c r="A1282" s="10">
        <v>44126</v>
      </c>
      <c r="B1282" s="8" t="s">
        <v>102</v>
      </c>
      <c r="C1282" s="11">
        <v>345311111</v>
      </c>
      <c r="D1282" s="12" t="str">
        <f>IF(C1282&gt;0,(VLOOKUP(C1282,'Blnct AR'!$C$2:$D$2259,2,0))," ")</f>
        <v>IVA Liq. - Op. gerais - Vendas - M.interno - 14%</v>
      </c>
      <c r="E1282" s="12" t="s">
        <v>1901</v>
      </c>
      <c r="F1282" s="20"/>
      <c r="G1282" s="20">
        <v>3233367.13</v>
      </c>
      <c r="I1282" s="37"/>
    </row>
    <row r="1283" spans="1:9" s="14" customFormat="1" ht="15" customHeight="1">
      <c r="A1283" s="10">
        <v>44126</v>
      </c>
      <c r="B1283" s="8" t="s">
        <v>102</v>
      </c>
      <c r="C1283" s="11">
        <v>31121120</v>
      </c>
      <c r="D1283" s="12" t="str">
        <f>IF(C1283&gt;0,(VLOOKUP(C1283,'Blnct AR'!$C$2:$D$2259,2,0))," ")</f>
        <v>Clinica Sagrada Esperança, Lda</v>
      </c>
      <c r="E1283" s="12" t="s">
        <v>1901</v>
      </c>
      <c r="F1283" s="20">
        <f>G1281+G1282</f>
        <v>26328846.640000001</v>
      </c>
      <c r="G1283" s="20"/>
      <c r="I1283" s="37"/>
    </row>
    <row r="1284" spans="1:9" s="14" customFormat="1" ht="15" customHeight="1">
      <c r="A1284" s="10">
        <v>44126</v>
      </c>
      <c r="B1284" s="8" t="s">
        <v>102</v>
      </c>
      <c r="C1284" s="11">
        <v>6111</v>
      </c>
      <c r="D1284" s="12" t="str">
        <f>IF(C1284&gt;0,(VLOOKUP(C1284,'Blnct AR'!$C$2:$D$2259,2,0))," ")</f>
        <v>Vnd Mercado nacional</v>
      </c>
      <c r="E1284" s="12" t="s">
        <v>1902</v>
      </c>
      <c r="F1284" s="20"/>
      <c r="G1284" s="20">
        <v>550000</v>
      </c>
      <c r="I1284" s="37"/>
    </row>
    <row r="1285" spans="1:9" s="14" customFormat="1" ht="15" customHeight="1">
      <c r="A1285" s="10">
        <v>44147</v>
      </c>
      <c r="B1285" s="8" t="s">
        <v>110</v>
      </c>
      <c r="C1285" s="11">
        <v>345311111</v>
      </c>
      <c r="D1285" s="12" t="str">
        <f>IF(C1285&gt;0,(VLOOKUP(C1285,'Blnct AR'!$C$2:$D$2259,2,0))," ")</f>
        <v>IVA Liq. - Op. gerais - Vendas - M.interno - 14%</v>
      </c>
      <c r="E1285" s="12" t="s">
        <v>1902</v>
      </c>
      <c r="F1285" s="20"/>
      <c r="G1285" s="20">
        <v>77000</v>
      </c>
      <c r="I1285" s="37"/>
    </row>
    <row r="1286" spans="1:9" s="14" customFormat="1" ht="15" customHeight="1">
      <c r="A1286" s="10">
        <v>44147</v>
      </c>
      <c r="B1286" s="8" t="s">
        <v>102</v>
      </c>
      <c r="C1286" s="11">
        <v>31121120</v>
      </c>
      <c r="D1286" s="12" t="str">
        <f>IF(C1286&gt;0,(VLOOKUP(C1286,'Blnct AR'!$C$2:$D$2259,2,0))," ")</f>
        <v>Clinica Sagrada Esperança, Lda</v>
      </c>
      <c r="E1286" s="12" t="s">
        <v>1902</v>
      </c>
      <c r="F1286" s="20">
        <f>G1284+G1285-F1288</f>
        <v>627000</v>
      </c>
      <c r="G1286" s="20"/>
      <c r="I1286" s="37"/>
    </row>
    <row r="1287" spans="1:9" s="14" customFormat="1" ht="15" customHeight="1">
      <c r="A1287" s="10">
        <v>44147</v>
      </c>
      <c r="B1287" s="8" t="s">
        <v>110</v>
      </c>
      <c r="C1287" s="11">
        <v>6111</v>
      </c>
      <c r="D1287" s="12" t="str">
        <f>IF(C1287&gt;0,(VLOOKUP(C1287,'Blnct AR'!$C$2:$D$2259,2,0))," ")</f>
        <v>Vnd Mercado nacional</v>
      </c>
      <c r="E1287" s="12" t="s">
        <v>1903</v>
      </c>
      <c r="F1287" s="20"/>
      <c r="G1287" s="20">
        <v>20155773.359999999</v>
      </c>
      <c r="I1287" s="37"/>
    </row>
    <row r="1288" spans="1:9" s="14" customFormat="1" ht="15" customHeight="1">
      <c r="A1288" s="10">
        <v>44173</v>
      </c>
      <c r="B1288" s="8" t="s">
        <v>102</v>
      </c>
      <c r="C1288" s="11">
        <v>345311111</v>
      </c>
      <c r="D1288" s="12" t="str">
        <f>IF(C1288&gt;0,(VLOOKUP(C1288,'Blnct AR'!$C$2:$D$2259,2,0))," ")</f>
        <v>IVA Liq. - Op. gerais - Vendas - M.interno - 14%</v>
      </c>
      <c r="E1288" s="12" t="s">
        <v>1903</v>
      </c>
      <c r="F1288" s="20"/>
      <c r="G1288" s="20">
        <v>2821808.27</v>
      </c>
      <c r="I1288" s="37"/>
    </row>
    <row r="1289" spans="1:9" s="14" customFormat="1" ht="15" customHeight="1">
      <c r="A1289" s="10">
        <v>44173</v>
      </c>
      <c r="B1289" s="8" t="s">
        <v>110</v>
      </c>
      <c r="C1289" s="11">
        <v>31121077</v>
      </c>
      <c r="D1289" s="12" t="str">
        <f>IF(C1289&gt;0,(VLOOKUP(C1289,'Blnct AR'!$C$2:$D$2259,2,0))," ")</f>
        <v>CATOCA - Sociedade Mineira de Catoca, Lda</v>
      </c>
      <c r="E1289" s="12" t="s">
        <v>1903</v>
      </c>
      <c r="F1289" s="20">
        <f>G1287+G1288-F1291</f>
        <v>22977581.629999999</v>
      </c>
      <c r="G1289" s="20"/>
      <c r="I1289" s="37"/>
    </row>
    <row r="1290" spans="1:9" s="14" customFormat="1" ht="15" customHeight="1">
      <c r="A1290" s="10">
        <v>44173</v>
      </c>
      <c r="B1290" s="8" t="s">
        <v>102</v>
      </c>
      <c r="C1290" s="11">
        <v>6211</v>
      </c>
      <c r="D1290" s="12" t="str">
        <f>IF(C1290&gt;0,(VLOOKUP(C1290,'Blnct AR'!$C$2:$D$2259,2,0))," ")</f>
        <v>Mercado nacional</v>
      </c>
      <c r="E1290" s="12" t="s">
        <v>1904</v>
      </c>
      <c r="F1290" s="20"/>
      <c r="G1290" s="20">
        <v>91798803.799999997</v>
      </c>
      <c r="I1290" s="37"/>
    </row>
    <row r="1291" spans="1:9" s="14" customFormat="1" ht="15" customHeight="1">
      <c r="A1291" s="10">
        <v>44173</v>
      </c>
      <c r="B1291" s="8" t="s">
        <v>110</v>
      </c>
      <c r="C1291" s="11">
        <v>345312111</v>
      </c>
      <c r="D1291" s="12" t="str">
        <f>IF(C1291&gt;0,(VLOOKUP(C1291,'Blnct AR'!$C$2:$D$2259,2,0))," ")</f>
        <v>IVA Liq. - Op. gerais - Prest. Serv. - M.interno - 14%</v>
      </c>
      <c r="E1291" s="12" t="s">
        <v>1904</v>
      </c>
      <c r="F1291" s="20"/>
      <c r="G1291" s="20">
        <v>12851832.529999999</v>
      </c>
      <c r="I1291" s="37"/>
    </row>
    <row r="1292" spans="1:9" s="14" customFormat="1" ht="15" customHeight="1">
      <c r="A1292" s="10">
        <v>44173</v>
      </c>
      <c r="B1292" s="8" t="s">
        <v>110</v>
      </c>
      <c r="C1292" s="11">
        <v>31121077</v>
      </c>
      <c r="D1292" s="12" t="str">
        <f>IF(C1292&gt;0,(VLOOKUP(C1292,'Blnct AR'!$C$2:$D$2259,2,0))," ")</f>
        <v>CATOCA - Sociedade Mineira de Catoca, Lda</v>
      </c>
      <c r="E1292" s="12" t="s">
        <v>1904</v>
      </c>
      <c r="F1292" s="20">
        <f>G1290+G1291-F1293</f>
        <v>98683714.079999998</v>
      </c>
      <c r="G1292" s="13"/>
      <c r="I1292" s="37"/>
    </row>
    <row r="1293" spans="1:9" s="14" customFormat="1" ht="15" customHeight="1">
      <c r="A1293" s="10">
        <v>44173</v>
      </c>
      <c r="B1293" s="23" t="s">
        <v>110</v>
      </c>
      <c r="C1293" s="11">
        <v>3171077</v>
      </c>
      <c r="D1293" s="12" t="str">
        <f>IF(C1293&gt;0,(VLOOKUP(C1293,'Blnct AR'!$C$2:$D$2259,2,0))," ")</f>
        <v>CATOCA - Sociedade Mineira de Catoca, Lda</v>
      </c>
      <c r="E1293" s="12" t="s">
        <v>1904</v>
      </c>
      <c r="F1293" s="20">
        <v>5966922.25</v>
      </c>
      <c r="G1293" s="13"/>
    </row>
    <row r="1294" spans="1:9" s="14" customFormat="1" ht="15" customHeight="1">
      <c r="A1294" s="10">
        <v>44174</v>
      </c>
      <c r="B1294" s="8" t="s">
        <v>110</v>
      </c>
      <c r="C1294" s="11">
        <v>6111</v>
      </c>
      <c r="D1294" s="12" t="str">
        <f>IF(C1294&gt;0,(VLOOKUP(C1294,'Blnct AR'!$C$2:$D$2259,2,0))," ")</f>
        <v>Vnd Mercado nacional</v>
      </c>
      <c r="E1294" s="12"/>
      <c r="F1294" s="20"/>
      <c r="G1294" s="13">
        <v>1721812.67</v>
      </c>
    </row>
    <row r="1295" spans="1:9" s="14" customFormat="1" ht="15" customHeight="1">
      <c r="A1295" s="10">
        <v>44174</v>
      </c>
      <c r="B1295" s="23" t="s">
        <v>110</v>
      </c>
      <c r="C1295" s="11">
        <v>31121077</v>
      </c>
      <c r="D1295" s="12" t="str">
        <f>IF(C1295&gt;0,(VLOOKUP(C1295,'Blnct AR'!$C$2:$D$2259,2,0))," ")</f>
        <v>CATOCA - Sociedade Mineira de Catoca, Lda</v>
      </c>
      <c r="E1295" s="12"/>
      <c r="F1295" s="13">
        <v>1721812.67</v>
      </c>
      <c r="G1295" s="13"/>
    </row>
    <row r="1296" spans="1:9" s="14" customFormat="1" ht="15" customHeight="1">
      <c r="A1296" s="10">
        <v>43831</v>
      </c>
      <c r="D1296" s="12" t="str">
        <f>IF(C1296&gt;0,(VLOOKUP(C1296,'Blnct AR'!$C$2:$D$2259,2,0))," ")</f>
        <v xml:space="preserve"> </v>
      </c>
      <c r="E1296" s="370" t="s">
        <v>1853</v>
      </c>
      <c r="F1296" s="366">
        <f>SUM(F1263:F1293)</f>
        <v>348504508.46999997</v>
      </c>
      <c r="G1296" s="366">
        <f>SUM(G1263:G1293)</f>
        <v>348504508.46999991</v>
      </c>
      <c r="I1296" s="37"/>
    </row>
    <row r="1297" spans="1:10" s="14" customFormat="1" ht="15" customHeight="1">
      <c r="A1297" s="10">
        <v>43831</v>
      </c>
      <c r="B1297" s="15" t="s">
        <v>1879</v>
      </c>
      <c r="C1297" s="11">
        <v>45111</v>
      </c>
      <c r="D1297" s="12" t="str">
        <f>IF(C1297&gt;0,(VLOOKUP(C1297,'Blnct AR'!$C$2:$D$2259,2,0))," ")</f>
        <v>Caixa Geral</v>
      </c>
      <c r="E1297" s="32" t="s">
        <v>1880</v>
      </c>
      <c r="F1297" s="13"/>
      <c r="G1297" s="13">
        <f>3511615.73</f>
        <v>3511615.73</v>
      </c>
      <c r="H1297" s="371" t="s">
        <v>1855</v>
      </c>
      <c r="I1297" s="37"/>
    </row>
    <row r="1298" spans="1:10" s="14" customFormat="1" ht="15" customHeight="1">
      <c r="A1298" s="10">
        <v>43831</v>
      </c>
      <c r="B1298" s="15" t="s">
        <v>1879</v>
      </c>
      <c r="C1298" s="11">
        <v>780103</v>
      </c>
      <c r="D1298" s="12" t="str">
        <f>IF(C1298&gt;0,(VLOOKUP(C1298,'Blnct AR'!$C$2:$D$2259,2,0))," ")</f>
        <v>Correcções Relativo ao Exercicio Anterior</v>
      </c>
      <c r="E1298" s="32" t="s">
        <v>1880</v>
      </c>
      <c r="F1298" s="13"/>
      <c r="G1298" s="13"/>
      <c r="I1298" s="37"/>
    </row>
    <row r="1299" spans="1:10" s="14" customFormat="1" ht="15" customHeight="1">
      <c r="A1299" s="10">
        <v>43831</v>
      </c>
      <c r="B1299" s="15" t="s">
        <v>1991</v>
      </c>
      <c r="C1299" s="11">
        <v>3454112111</v>
      </c>
      <c r="D1299" s="12" t="str">
        <f>IF(C1299&gt;0,(VLOOKUP(C1299,'Blnct AR'!$C$2:$D$2259,2,0))," ")</f>
        <v>IVA Reg. Emp. - Op. gerais - Prest. Serv. - M.interno - 14%</v>
      </c>
      <c r="E1299" s="32" t="s">
        <v>1882</v>
      </c>
      <c r="F1299" s="13"/>
      <c r="G1299" s="13">
        <v>8704471.5099999998</v>
      </c>
      <c r="J1299" s="13"/>
    </row>
    <row r="1300" spans="1:10" s="14" customFormat="1" ht="15" customHeight="1">
      <c r="A1300" s="10">
        <v>43831</v>
      </c>
      <c r="B1300" s="15" t="s">
        <v>1991</v>
      </c>
      <c r="C1300" s="11">
        <v>68104</v>
      </c>
      <c r="D1300" s="12" t="str">
        <f>IF(C1300&gt;0,(VLOOKUP(C1300,'Blnct AR'!$C$2:$D$2259,2,0))," ")</f>
        <v>Correcções Relativa ao Exercicio Anterior</v>
      </c>
      <c r="E1300" s="32" t="s">
        <v>1882</v>
      </c>
      <c r="F1300" s="13">
        <v>8704471.5099999998</v>
      </c>
      <c r="G1300" s="13"/>
    </row>
    <row r="1301" spans="1:10" s="14" customFormat="1" ht="15" customHeight="1">
      <c r="A1301" s="10">
        <v>43831</v>
      </c>
      <c r="B1301" s="15" t="s">
        <v>1991</v>
      </c>
      <c r="C1301" s="11">
        <v>345232111</v>
      </c>
      <c r="D1301" s="12" t="str">
        <f>IF(C1301&gt;0,(VLOOKUP(C1301,'Blnct AR'!$C$2:$D$2259,2,0))," ")</f>
        <v>IVA Dedutível - Serviços - M. interno  - 14%</v>
      </c>
      <c r="E1301" s="32" t="s">
        <v>1882</v>
      </c>
      <c r="G1301" s="13">
        <v>99549.9</v>
      </c>
    </row>
    <row r="1302" spans="1:10" s="14" customFormat="1" ht="15" customHeight="1">
      <c r="A1302" s="10">
        <v>43831</v>
      </c>
      <c r="B1302" s="15" t="s">
        <v>1991</v>
      </c>
      <c r="C1302" s="11">
        <v>68104</v>
      </c>
      <c r="D1302" s="12" t="str">
        <f>IF(C1302&gt;0,(VLOOKUP(C1302,'Blnct AR'!$C$2:$D$2259,2,0))," ")</f>
        <v>Correcções Relativa ao Exercicio Anterior</v>
      </c>
      <c r="E1302" s="32" t="s">
        <v>1882</v>
      </c>
      <c r="F1302" s="13">
        <v>99549.9</v>
      </c>
      <c r="I1302" s="37"/>
    </row>
    <row r="1303" spans="1:10" s="14" customFormat="1" ht="15" customHeight="1">
      <c r="A1303" s="10">
        <v>43831</v>
      </c>
      <c r="B1303" s="15" t="s">
        <v>1991</v>
      </c>
      <c r="C1303" s="11">
        <v>3454112111</v>
      </c>
      <c r="D1303" s="12" t="str">
        <f>IF(C1303&gt;0,(VLOOKUP(C1303,'Blnct AR'!$C$2:$D$2259,2,0))," ")</f>
        <v>IVA Reg. Emp. - Op. gerais - Prest. Serv. - M.interno - 14%</v>
      </c>
      <c r="E1303" s="32" t="s">
        <v>1882</v>
      </c>
      <c r="F1303" s="13"/>
      <c r="G1303" s="13">
        <v>5247733</v>
      </c>
      <c r="I1303" s="37"/>
    </row>
    <row r="1304" spans="1:10" s="14" customFormat="1" ht="15" customHeight="1">
      <c r="A1304" s="10">
        <v>43831</v>
      </c>
      <c r="B1304" s="15" t="s">
        <v>1991</v>
      </c>
      <c r="C1304" s="11">
        <v>68104</v>
      </c>
      <c r="D1304" s="12" t="str">
        <f>IF(C1304&gt;0,(VLOOKUP(C1304,'Blnct AR'!$C$2:$D$2259,2,0))," ")</f>
        <v>Correcções Relativa ao Exercicio Anterior</v>
      </c>
      <c r="E1304" s="32" t="s">
        <v>1882</v>
      </c>
      <c r="F1304" s="13">
        <v>5247733</v>
      </c>
      <c r="I1304" s="37"/>
    </row>
    <row r="1305" spans="1:10" s="14" customFormat="1" ht="15" customHeight="1">
      <c r="A1305" s="10">
        <v>43831</v>
      </c>
      <c r="B1305" s="8" t="s">
        <v>102</v>
      </c>
      <c r="C1305" s="11">
        <v>318121100</v>
      </c>
      <c r="D1305" s="12" t="str">
        <f>IF(C1305&gt;0,(VLOOKUP(C1305,'Blnct AR'!$C$2:$D$2259,2,0))," ")</f>
        <v>Motortech serviços</v>
      </c>
      <c r="E1305" s="12" t="s">
        <v>1871</v>
      </c>
      <c r="F1305" s="20"/>
      <c r="G1305" s="13">
        <v>3400000</v>
      </c>
      <c r="I1305" s="37"/>
    </row>
    <row r="1306" spans="1:10" s="14" customFormat="1" ht="15" customHeight="1">
      <c r="A1306" s="10">
        <v>43831</v>
      </c>
      <c r="B1306" s="8" t="s">
        <v>102</v>
      </c>
      <c r="C1306" s="11">
        <v>31121100</v>
      </c>
      <c r="D1306" s="12" t="str">
        <f>IF(C1306&gt;0,(VLOOKUP(C1306,'Blnct AR'!$C$2:$D$2259,2,0))," ")</f>
        <v>Motortech serviços</v>
      </c>
      <c r="E1306" s="12" t="s">
        <v>1871</v>
      </c>
      <c r="F1306" s="20">
        <v>3400000</v>
      </c>
      <c r="G1306" s="20"/>
      <c r="I1306" s="37"/>
    </row>
    <row r="1307" spans="1:10" s="14" customFormat="1" ht="15" customHeight="1">
      <c r="A1307" s="10">
        <v>43831</v>
      </c>
      <c r="B1307" s="8" t="s">
        <v>102</v>
      </c>
      <c r="C1307" s="11">
        <v>31121100</v>
      </c>
      <c r="D1307" s="12" t="str">
        <f>IF(C1307&gt;0,(VLOOKUP(C1307,'Blnct AR'!$C$2:$D$2259,2,0))," ")</f>
        <v>Motortech serviços</v>
      </c>
      <c r="E1307" s="12" t="s">
        <v>1870</v>
      </c>
      <c r="F1307" s="20"/>
      <c r="G1307" s="20">
        <v>6400000</v>
      </c>
      <c r="I1307" s="37"/>
    </row>
    <row r="1308" spans="1:10" s="14" customFormat="1" ht="15" customHeight="1">
      <c r="A1308" s="10">
        <v>43831</v>
      </c>
      <c r="B1308" s="8" t="s">
        <v>102</v>
      </c>
      <c r="C1308" s="11">
        <v>61711</v>
      </c>
      <c r="D1308" s="12" t="str">
        <f>IF(C1308&gt;0,(VLOOKUP(C1308,'Blnct AR'!$C$2:$D$2259,2,0))," ")</f>
        <v>Produtos acabados e intermedios</v>
      </c>
      <c r="E1308" s="12" t="s">
        <v>2001</v>
      </c>
      <c r="F1308" s="20">
        <v>3400000</v>
      </c>
      <c r="G1308" s="20"/>
      <c r="I1308" s="37"/>
    </row>
    <row r="1309" spans="1:10" s="14" customFormat="1" ht="15" customHeight="1">
      <c r="A1309" s="10">
        <v>43831</v>
      </c>
      <c r="B1309" s="8" t="s">
        <v>102</v>
      </c>
      <c r="C1309" s="11">
        <v>61711</v>
      </c>
      <c r="D1309" s="12" t="str">
        <f>IF(C1309&gt;0,(VLOOKUP(C1309,'Blnct AR'!$C$2:$D$2259,2,0))," ")</f>
        <v>Produtos acabados e intermedios</v>
      </c>
      <c r="E1309" s="12" t="s">
        <v>1870</v>
      </c>
      <c r="F1309" s="20">
        <v>3000000</v>
      </c>
      <c r="G1309" s="20"/>
      <c r="I1309" s="37"/>
    </row>
    <row r="1310" spans="1:10" s="14" customFormat="1" ht="15" customHeight="1">
      <c r="A1310" s="10">
        <v>43831</v>
      </c>
      <c r="B1310" s="8" t="s">
        <v>102</v>
      </c>
      <c r="C1310" s="11">
        <v>7111</v>
      </c>
      <c r="D1310" s="12" t="str">
        <f>IF(C1310&gt;0,(VLOOKUP(C1310,'Blnct AR'!$C$2:$D$2259,2,0))," ")</f>
        <v>Mp - cevc</v>
      </c>
      <c r="E1310" s="12" t="s">
        <v>1870</v>
      </c>
      <c r="F1310" s="20"/>
      <c r="G1310" s="13">
        <v>4500000</v>
      </c>
      <c r="I1310" s="37"/>
    </row>
    <row r="1311" spans="1:10" s="14" customFormat="1" ht="15" customHeight="1">
      <c r="A1311" s="10">
        <v>43831</v>
      </c>
      <c r="B1311" s="8" t="s">
        <v>102</v>
      </c>
      <c r="C1311" s="11">
        <v>2611</v>
      </c>
      <c r="D1311" s="12" t="str">
        <f>IF(C1311&gt;0,(VLOOKUP(C1311,'Blnct AR'!$C$2:$D$2259,2,0))," ")</f>
        <v>Merc-Existências</v>
      </c>
      <c r="E1311" s="12" t="s">
        <v>1870</v>
      </c>
      <c r="F1311" s="20">
        <v>4500000</v>
      </c>
      <c r="G1311" s="13"/>
      <c r="I1311" s="37"/>
    </row>
    <row r="1312" spans="1:10" s="14" customFormat="1" ht="15" customHeight="1">
      <c r="A1312" s="10">
        <v>43832</v>
      </c>
      <c r="B1312" s="8" t="s">
        <v>2088</v>
      </c>
      <c r="C1312" s="11">
        <v>1136</v>
      </c>
      <c r="D1312" s="12" t="str">
        <f>IF(C1312&gt;0,(VLOOKUP(C1312,'Blnct AR'!$C$2:$D$2259,2,0))," ")</f>
        <v>Gerador Kipor</v>
      </c>
      <c r="E1312" s="12" t="s">
        <v>2091</v>
      </c>
      <c r="F1312" s="20">
        <v>1200000</v>
      </c>
      <c r="I1312" s="37"/>
    </row>
    <row r="1313" spans="1:9" s="14" customFormat="1" ht="15" customHeight="1">
      <c r="A1313" s="10">
        <v>43833</v>
      </c>
      <c r="B1313" s="8" t="s">
        <v>2088</v>
      </c>
      <c r="C1313" s="11">
        <v>752144</v>
      </c>
      <c r="D1313" s="12" t="str">
        <f>IF(C1313&gt;0,(VLOOKUP(C1313,'Blnct AR'!$C$2:$D$2259,2,0))," ")</f>
        <v>Equipamento de carga e transporte</v>
      </c>
      <c r="E1313" s="12"/>
      <c r="G1313" s="13"/>
      <c r="I1313" s="37"/>
    </row>
    <row r="1314" spans="1:9" s="14" customFormat="1" ht="15" customHeight="1">
      <c r="A1314" s="10">
        <v>43831</v>
      </c>
      <c r="B1314" s="8" t="s">
        <v>2088</v>
      </c>
      <c r="C1314" s="11">
        <v>114210</v>
      </c>
      <c r="D1314" s="12" t="str">
        <f>IF(C1314&gt;0,(VLOOKUP(C1314,'Blnct AR'!$C$2:$D$2259,2,0))," ")</f>
        <v>Toyota Land Cruiser - LD-74-36-FS</v>
      </c>
      <c r="E1314" s="12"/>
      <c r="F1314" s="20">
        <v>2311615.73</v>
      </c>
      <c r="G1314" s="13"/>
      <c r="I1314" s="37"/>
    </row>
    <row r="1315" spans="1:9" s="14" customFormat="1" ht="15" customHeight="1">
      <c r="A1315" s="10"/>
      <c r="B1315" s="8"/>
      <c r="C1315" s="11"/>
      <c r="D1315" s="12"/>
      <c r="E1315" s="12"/>
      <c r="F1315" s="20"/>
      <c r="G1315" s="13"/>
      <c r="I1315" s="37"/>
    </row>
    <row r="1316" spans="1:9" s="14" customFormat="1" ht="15" customHeight="1">
      <c r="A1316" s="10"/>
      <c r="B1316" s="8"/>
      <c r="C1316" s="11"/>
      <c r="D1316" s="12"/>
      <c r="E1316" s="12"/>
      <c r="F1316" s="20"/>
      <c r="G1316" s="13"/>
      <c r="I1316" s="37"/>
    </row>
    <row r="1317" spans="1:9" s="14" customFormat="1" ht="15" customHeight="1">
      <c r="A1317" s="10"/>
      <c r="B1317" s="8"/>
      <c r="C1317" s="11"/>
      <c r="D1317" s="12"/>
      <c r="E1317" s="12"/>
      <c r="F1317" s="20"/>
      <c r="G1317" s="13"/>
      <c r="I1317" s="37"/>
    </row>
    <row r="1318" spans="1:9" s="14" customFormat="1" ht="15" customHeight="1">
      <c r="A1318" s="10"/>
      <c r="B1318" s="8"/>
      <c r="C1318" s="11"/>
      <c r="D1318" s="12"/>
      <c r="E1318" s="12"/>
      <c r="F1318" s="20"/>
      <c r="G1318" s="13"/>
      <c r="I1318" s="37"/>
    </row>
    <row r="1319" spans="1:9" s="14" customFormat="1" ht="15" customHeight="1">
      <c r="A1319" s="10"/>
      <c r="B1319" s="8"/>
      <c r="C1319" s="11"/>
      <c r="D1319" s="12"/>
      <c r="E1319" s="12"/>
      <c r="F1319" s="20"/>
      <c r="G1319" s="13"/>
      <c r="I1319" s="37"/>
    </row>
    <row r="1320" spans="1:9" s="14" customFormat="1" ht="15" customHeight="1">
      <c r="A1320" s="10"/>
      <c r="B1320" s="8"/>
      <c r="C1320" s="11"/>
      <c r="D1320" s="12"/>
      <c r="E1320" s="12"/>
      <c r="F1320" s="20"/>
      <c r="G1320" s="13"/>
      <c r="I1320" s="37"/>
    </row>
    <row r="1321" spans="1:9" s="14" customFormat="1" ht="15" customHeight="1">
      <c r="A1321" s="10"/>
      <c r="B1321" s="8"/>
      <c r="C1321" s="11"/>
      <c r="D1321" s="12"/>
      <c r="E1321" s="12"/>
      <c r="F1321" s="20"/>
      <c r="G1321" s="13"/>
      <c r="I1321" s="37"/>
    </row>
    <row r="1322" spans="1:9" s="14" customFormat="1" ht="15" customHeight="1">
      <c r="A1322" s="10"/>
      <c r="B1322" s="8"/>
      <c r="C1322" s="11"/>
      <c r="D1322" s="12"/>
      <c r="E1322" s="12"/>
      <c r="F1322" s="20"/>
      <c r="G1322" s="13"/>
      <c r="I1322" s="37"/>
    </row>
    <row r="1323" spans="1:9" s="14" customFormat="1" ht="15" customHeight="1">
      <c r="A1323" s="10"/>
      <c r="B1323" s="23"/>
      <c r="C1323" s="11"/>
      <c r="D1323" s="12" t="str">
        <f>IF(C1323&gt;0,(VLOOKUP(C1323,'Blnct AR'!$C$2:$D$2259,2,0))," ")</f>
        <v xml:space="preserve"> </v>
      </c>
      <c r="E1323" s="370" t="s">
        <v>1854</v>
      </c>
      <c r="F1323" s="366">
        <f>SUM(F1297:F1322)</f>
        <v>31863370.140000001</v>
      </c>
      <c r="G1323" s="366">
        <f>SUM(G1297:G1322)</f>
        <v>31863370.140000001</v>
      </c>
      <c r="I1323" s="37"/>
    </row>
    <row r="1324" spans="1:9" s="14" customFormat="1" ht="15" customHeight="1">
      <c r="A1324" s="10"/>
      <c r="B1324" s="15"/>
      <c r="C1324" s="11"/>
      <c r="D1324" s="12" t="str">
        <f>IF(C1324&gt;0,(VLOOKUP(C1324,'Blnct AR'!$C$2:$D$2259,2,0))," ")</f>
        <v xml:space="preserve"> </v>
      </c>
      <c r="E1324" s="21"/>
      <c r="F1324" s="13"/>
      <c r="G1324" s="13"/>
      <c r="I1324" s="37"/>
    </row>
    <row r="1325" spans="1:9" s="14" customFormat="1" ht="15" customHeight="1">
      <c r="A1325" s="10"/>
      <c r="B1325" s="23"/>
      <c r="C1325" s="11"/>
      <c r="D1325" s="12" t="str">
        <f>IF(C1325&gt;0,(VLOOKUP(C1325,'Blnct AR'!$C$2:$D$2259,2,0))," ")</f>
        <v xml:space="preserve"> </v>
      </c>
      <c r="E1325" s="32"/>
      <c r="F1325" s="13"/>
      <c r="G1325" s="13"/>
      <c r="I1325" s="37"/>
    </row>
    <row r="1326" spans="1:9" s="14" customFormat="1" ht="15" customHeight="1">
      <c r="A1326" s="10"/>
      <c r="B1326" s="15"/>
      <c r="C1326" s="11"/>
      <c r="D1326" s="12" t="str">
        <f>IF(C1326&gt;0,(VLOOKUP(C1326,'Blnct AR'!$C$2:$D$2259,2,0))," ")</f>
        <v xml:space="preserve"> </v>
      </c>
      <c r="E1326" s="21"/>
      <c r="F1326" s="13"/>
      <c r="G1326" s="13"/>
      <c r="I1326" s="37"/>
    </row>
    <row r="1327" spans="1:9" s="14" customFormat="1" ht="15" customHeight="1">
      <c r="A1327" s="10"/>
      <c r="B1327" s="23"/>
      <c r="C1327" s="11"/>
      <c r="D1327" s="12" t="str">
        <f>IF(C1327&gt;0,(VLOOKUP(C1327,'Blnct AR'!$C$2:$D$2259,2,0))," ")</f>
        <v xml:space="preserve"> </v>
      </c>
      <c r="E1327" s="32"/>
      <c r="F1327" s="13"/>
      <c r="G1327" s="13"/>
      <c r="I1327" s="37"/>
    </row>
    <row r="1328" spans="1:9" s="14" customFormat="1" ht="15" customHeight="1">
      <c r="A1328" s="10"/>
      <c r="B1328" s="15"/>
      <c r="C1328" s="11"/>
      <c r="D1328" s="12" t="str">
        <f>IF(C1328&gt;0,(VLOOKUP(C1328,'Blnct AR'!$C$2:$D$2259,2,0))," ")</f>
        <v xml:space="preserve"> </v>
      </c>
      <c r="E1328" s="32"/>
      <c r="F1328" s="13"/>
      <c r="G1328" s="13"/>
      <c r="I1328" s="37"/>
    </row>
    <row r="1329" spans="1:9" s="14" customFormat="1" ht="15" customHeight="1">
      <c r="A1329" s="10"/>
      <c r="B1329" s="15"/>
      <c r="C1329" s="11"/>
      <c r="D1329" s="12" t="str">
        <f>IF(C1329&gt;0,(VLOOKUP(C1329,'Blnct AR'!$C$2:$D$2259,2,0))," ")</f>
        <v xml:space="preserve"> </v>
      </c>
      <c r="E1329" s="32"/>
      <c r="F1329" s="13"/>
      <c r="G1329" s="13"/>
      <c r="I1329" s="37"/>
    </row>
    <row r="1330" spans="1:9" s="14" customFormat="1" ht="15" customHeight="1">
      <c r="A1330" s="10"/>
      <c r="B1330" s="15"/>
      <c r="C1330" s="11"/>
      <c r="D1330" s="12" t="str">
        <f>IF(C1330&gt;0,(VLOOKUP(C1330,'Blnct AR'!$C$2:$D$2259,2,0))," ")</f>
        <v xml:space="preserve"> </v>
      </c>
      <c r="E1330" s="21"/>
      <c r="F1330" s="13"/>
      <c r="G1330" s="13"/>
      <c r="I1330" s="37"/>
    </row>
    <row r="1331" spans="1:9" s="14" customFormat="1" ht="15" customHeight="1">
      <c r="A1331" s="10"/>
      <c r="B1331" s="23"/>
      <c r="C1331" s="11"/>
      <c r="D1331" s="12" t="str">
        <f>IF(C1331&gt;0,(VLOOKUP(C1331,'Blnct AR'!$C$2:$D$2259,2,0))," ")</f>
        <v xml:space="preserve"> </v>
      </c>
      <c r="E1331" s="32"/>
      <c r="F1331" s="13"/>
      <c r="G1331" s="13"/>
      <c r="I1331" s="37"/>
    </row>
    <row r="1332" spans="1:9" s="14" customFormat="1" ht="15" customHeight="1">
      <c r="A1332" s="10"/>
      <c r="B1332" s="15"/>
      <c r="C1332" s="11"/>
      <c r="D1332" s="12" t="str">
        <f>IF(C1332&gt;0,(VLOOKUP(C1332,'Blnct AR'!$C$2:$D$2259,2,0))," ")</f>
        <v xml:space="preserve"> </v>
      </c>
      <c r="E1332" s="21"/>
      <c r="F1332" s="13"/>
      <c r="G1332" s="13"/>
      <c r="I1332" s="37"/>
    </row>
    <row r="1333" spans="1:9" s="14" customFormat="1" ht="15" customHeight="1">
      <c r="A1333" s="10"/>
      <c r="B1333" s="23"/>
      <c r="C1333" s="11"/>
      <c r="D1333" s="12" t="str">
        <f>IF(C1333&gt;0,(VLOOKUP(C1333,'Blnct AR'!$C$2:$D$2259,2,0))," ")</f>
        <v xml:space="preserve"> </v>
      </c>
      <c r="E1333" s="32"/>
      <c r="F1333" s="13"/>
      <c r="G1333" s="13"/>
      <c r="I1333" s="37"/>
    </row>
    <row r="1334" spans="1:9" s="14" customFormat="1" ht="15" customHeight="1">
      <c r="A1334" s="10"/>
      <c r="B1334" s="15"/>
      <c r="C1334" s="11"/>
      <c r="D1334" s="12" t="str">
        <f>IF(C1334&gt;0,(VLOOKUP(C1334,'Blnct AR'!$C$2:$D$2259,2,0))," ")</f>
        <v xml:space="preserve"> </v>
      </c>
      <c r="E1334" s="32"/>
      <c r="F1334" s="13"/>
      <c r="G1334" s="13"/>
      <c r="I1334" s="37"/>
    </row>
    <row r="1335" spans="1:9" s="14" customFormat="1" ht="15" customHeight="1">
      <c r="A1335" s="10"/>
      <c r="B1335" s="15"/>
      <c r="C1335" s="11"/>
      <c r="D1335" s="12" t="str">
        <f>IF(C1335&gt;0,(VLOOKUP(C1335,'Blnct AR'!$C$2:$D$2259,2,0))," ")</f>
        <v xml:space="preserve"> </v>
      </c>
      <c r="E1335" s="32"/>
      <c r="F1335" s="13"/>
      <c r="G1335" s="13"/>
      <c r="I1335" s="37"/>
    </row>
    <row r="1336" spans="1:9" s="14" customFormat="1" ht="15" customHeight="1">
      <c r="A1336" s="10"/>
      <c r="B1336" s="15"/>
      <c r="C1336" s="11"/>
      <c r="D1336" s="12" t="str">
        <f>IF(C1336&gt;0,(VLOOKUP(C1336,'Blnct AR'!$C$2:$D$2259,2,0))," ")</f>
        <v xml:space="preserve"> </v>
      </c>
      <c r="E1336" s="21"/>
      <c r="F1336" s="13"/>
      <c r="G1336" s="13"/>
      <c r="I1336" s="37"/>
    </row>
    <row r="1337" spans="1:9" s="14" customFormat="1" ht="15" customHeight="1">
      <c r="A1337" s="10"/>
      <c r="B1337" s="23"/>
      <c r="C1337" s="11"/>
      <c r="D1337" s="12" t="str">
        <f>IF(C1337&gt;0,(VLOOKUP(C1337,'Blnct AR'!$C$2:$D$2259,2,0))," ")</f>
        <v xml:space="preserve"> </v>
      </c>
      <c r="E1337" s="32"/>
      <c r="F1337" s="13"/>
      <c r="G1337" s="13"/>
      <c r="I1337" s="37"/>
    </row>
    <row r="1338" spans="1:9" s="14" customFormat="1" ht="15" customHeight="1">
      <c r="A1338" s="10"/>
      <c r="B1338" s="23"/>
      <c r="C1338" s="11"/>
      <c r="D1338" s="12" t="str">
        <f>IF(C1338&gt;0,(VLOOKUP(C1338,'Blnct AR'!$C$2:$D$2259,2,0))," ")</f>
        <v xml:space="preserve"> </v>
      </c>
      <c r="E1338" s="21"/>
      <c r="F1338" s="13"/>
      <c r="G1338" s="13"/>
      <c r="I1338" s="37"/>
    </row>
    <row r="1339" spans="1:9" s="14" customFormat="1" ht="15" customHeight="1">
      <c r="A1339" s="10"/>
      <c r="B1339" s="15"/>
      <c r="C1339" s="11"/>
      <c r="D1339" s="12" t="str">
        <f>IF(C1339&gt;0,(VLOOKUP(C1339,'Blnct AR'!$C$2:$D$2259,2,0))," ")</f>
        <v xml:space="preserve"> </v>
      </c>
      <c r="E1339" s="32"/>
      <c r="F1339" s="13"/>
      <c r="G1339" s="13"/>
      <c r="I1339" s="37"/>
    </row>
    <row r="1340" spans="1:9" s="14" customFormat="1" ht="15" customHeight="1">
      <c r="A1340" s="10"/>
      <c r="B1340" s="15"/>
      <c r="C1340" s="11"/>
      <c r="D1340" s="12" t="str">
        <f>IF(C1340&gt;0,(VLOOKUP(C1340,'Blnct AR'!$C$2:$D$2259,2,0))," ")</f>
        <v xml:space="preserve"> </v>
      </c>
      <c r="E1340" s="32"/>
      <c r="F1340" s="13"/>
      <c r="G1340" s="13"/>
      <c r="I1340" s="37"/>
    </row>
    <row r="1341" spans="1:9" s="14" customFormat="1" ht="15" customHeight="1">
      <c r="A1341" s="10"/>
      <c r="B1341" s="23"/>
      <c r="C1341" s="11"/>
      <c r="D1341" s="12" t="str">
        <f>IF(C1341&gt;0,(VLOOKUP(C1341,'Blnct AR'!$C$2:$D$2259,2,0))," ")</f>
        <v xml:space="preserve"> </v>
      </c>
      <c r="E1341" s="21"/>
      <c r="F1341" s="13"/>
      <c r="G1341" s="13"/>
      <c r="I1341" s="37"/>
    </row>
    <row r="1342" spans="1:9" s="14" customFormat="1" ht="15" customHeight="1">
      <c r="A1342" s="10"/>
      <c r="B1342" s="15"/>
      <c r="C1342" s="11"/>
      <c r="D1342" s="12" t="str">
        <f>IF(C1342&gt;0,(VLOOKUP(C1342,'Blnct AR'!$C$2:$D$2259,2,0))," ")</f>
        <v xml:space="preserve"> </v>
      </c>
      <c r="E1342" s="32"/>
      <c r="F1342" s="13"/>
      <c r="G1342" s="13"/>
      <c r="I1342" s="37"/>
    </row>
    <row r="1343" spans="1:9" s="14" customFormat="1" ht="15" customHeight="1">
      <c r="A1343" s="10"/>
      <c r="B1343" s="15"/>
      <c r="C1343" s="11"/>
      <c r="D1343" s="12" t="str">
        <f>IF(C1343&gt;0,(VLOOKUP(C1343,'Blnct AR'!$C$2:$D$2259,2,0))," ")</f>
        <v xml:space="preserve"> </v>
      </c>
      <c r="E1343" s="32"/>
      <c r="F1343" s="13"/>
      <c r="G1343" s="13"/>
      <c r="I1343" s="37"/>
    </row>
    <row r="1344" spans="1:9" s="14" customFormat="1" ht="15" customHeight="1">
      <c r="A1344" s="10"/>
      <c r="B1344" s="11"/>
      <c r="C1344" s="11"/>
      <c r="D1344" s="12"/>
      <c r="E1344" s="45"/>
      <c r="F1344" s="46"/>
      <c r="G1344" s="46"/>
    </row>
    <row r="1345" spans="1:9" s="14" customFormat="1" ht="15" customHeight="1">
      <c r="A1345" s="10"/>
      <c r="B1345" s="23"/>
      <c r="C1345" s="11"/>
      <c r="D1345" s="12" t="str">
        <f>IF(C1345&gt;0,(VLOOKUP(C1345,'Blnct AR'!$C$2:$D$2255,2,0))," ")</f>
        <v xml:space="preserve"> </v>
      </c>
      <c r="E1345" s="11"/>
      <c r="F1345" s="13"/>
      <c r="G1345" s="13"/>
      <c r="H1345" s="41"/>
      <c r="I1345" s="37"/>
    </row>
    <row r="1346" spans="1:9" s="14" customFormat="1" ht="15" customHeight="1">
      <c r="A1346" s="10"/>
      <c r="B1346" s="15"/>
      <c r="C1346" s="11"/>
      <c r="D1346" s="12" t="str">
        <f>IF(C1346&gt;0,(VLOOKUP(C1346,'Blnct AR'!$C$2:$D$2259,2,0))," ")</f>
        <v xml:space="preserve"> </v>
      </c>
      <c r="E1346" s="24"/>
      <c r="F1346" s="13"/>
      <c r="G1346" s="19"/>
      <c r="I1346" s="37"/>
    </row>
    <row r="1347" spans="1:9" s="14" customFormat="1" ht="15" customHeight="1">
      <c r="A1347" s="10"/>
      <c r="B1347" s="23"/>
      <c r="C1347" s="11"/>
      <c r="D1347" s="12" t="str">
        <f>IF(C1347&gt;0,(VLOOKUP(C1347,'Blnct AR'!$C$2:$D$2259,2,0))," ")</f>
        <v xml:space="preserve"> </v>
      </c>
      <c r="E1347" s="11"/>
      <c r="F1347" s="13"/>
      <c r="G1347" s="13"/>
      <c r="I1347" s="37"/>
    </row>
    <row r="1348" spans="1:9" s="14" customFormat="1" ht="15" customHeight="1">
      <c r="A1348" s="10"/>
      <c r="B1348" s="15"/>
      <c r="C1348" s="11"/>
      <c r="D1348" s="12" t="str">
        <f>IF(C1348&gt;0,(VLOOKUP(C1348,'Blnct AR'!$C$2:$D$2259,2,0))," ")</f>
        <v xml:space="preserve"> </v>
      </c>
      <c r="E1348" s="24"/>
      <c r="F1348" s="13"/>
      <c r="G1348" s="19"/>
      <c r="I1348" s="37"/>
    </row>
    <row r="1349" spans="1:9" s="14" customFormat="1" ht="15" customHeight="1">
      <c r="A1349" s="10"/>
      <c r="B1349" s="23"/>
      <c r="C1349" s="11"/>
      <c r="D1349" s="12" t="str">
        <f>IF(C1349&gt;0,(VLOOKUP(C1349,'Blnct AR'!$C$2:$D$2259,2,0))," ")</f>
        <v xml:space="preserve"> </v>
      </c>
      <c r="E1349" s="21"/>
      <c r="F1349" s="13"/>
      <c r="G1349" s="13"/>
      <c r="I1349" s="37"/>
    </row>
    <row r="1350" spans="1:9" s="14" customFormat="1" ht="15" customHeight="1">
      <c r="A1350" s="10"/>
      <c r="B1350" s="15"/>
      <c r="C1350" s="11"/>
      <c r="D1350" s="12" t="str">
        <f>IF(C1350&gt;0,(VLOOKUP(C1350,'Blnct AR'!$C$2:$D$2259,2,0))," ")</f>
        <v xml:space="preserve"> </v>
      </c>
      <c r="E1350" s="32"/>
      <c r="F1350" s="13"/>
      <c r="G1350" s="13"/>
      <c r="I1350" s="37"/>
    </row>
    <row r="1351" spans="1:9" s="14" customFormat="1" ht="15" customHeight="1">
      <c r="A1351" s="10"/>
      <c r="B1351" s="23"/>
      <c r="C1351" s="11"/>
      <c r="D1351" s="12" t="str">
        <f>IF(C1351&gt;0,(VLOOKUP(C1351,'Blnct AR'!$C$2:$D$2259,2,0))," ")</f>
        <v xml:space="preserve"> </v>
      </c>
      <c r="E1351" s="11"/>
      <c r="F1351" s="13"/>
      <c r="G1351" s="13"/>
      <c r="I1351" s="37"/>
    </row>
    <row r="1352" spans="1:9" s="14" customFormat="1" ht="15" customHeight="1">
      <c r="A1352" s="10"/>
      <c r="B1352" s="15"/>
      <c r="C1352" s="11"/>
      <c r="D1352" s="12" t="str">
        <f>IF(C1352&gt;0,(VLOOKUP(C1352,'Blnct AR'!$C$2:$D$2259,2,0))," ")</f>
        <v xml:space="preserve"> </v>
      </c>
      <c r="E1352" s="24"/>
      <c r="F1352" s="13"/>
      <c r="G1352" s="19"/>
      <c r="I1352" s="37"/>
    </row>
    <row r="1353" spans="1:9" s="14" customFormat="1" ht="15" customHeight="1">
      <c r="A1353" s="10"/>
      <c r="B1353" s="23"/>
      <c r="C1353" s="11"/>
      <c r="D1353" s="12" t="str">
        <f>IF(C1353&gt;0,(VLOOKUP(C1353,'Blnct AR'!$C$2:$D$2259,2,0))," ")</f>
        <v xml:space="preserve"> </v>
      </c>
      <c r="E1353" s="11"/>
      <c r="F1353" s="13"/>
      <c r="G1353" s="13"/>
      <c r="I1353" s="37"/>
    </row>
    <row r="1354" spans="1:9" s="14" customFormat="1" ht="15" customHeight="1">
      <c r="A1354" s="10"/>
      <c r="B1354" s="15"/>
      <c r="C1354" s="11"/>
      <c r="D1354" s="12" t="str">
        <f>IF(C1354&gt;0,(VLOOKUP(C1354,'Blnct AR'!$C$2:$D$2259,2,0))," ")</f>
        <v xml:space="preserve"> </v>
      </c>
      <c r="E1354" s="24"/>
      <c r="F1354" s="13"/>
      <c r="G1354" s="19"/>
      <c r="I1354" s="37"/>
    </row>
    <row r="1355" spans="1:9" s="14" customFormat="1" ht="15" customHeight="1">
      <c r="A1355" s="10"/>
      <c r="B1355" s="23"/>
      <c r="C1355" s="11"/>
      <c r="D1355" s="12" t="str">
        <f>IF(C1355&gt;0,(VLOOKUP(C1355,'Blnct AR'!$C$2:$D$2259,2,0))," ")</f>
        <v xml:space="preserve"> </v>
      </c>
      <c r="E1355" s="11"/>
      <c r="F1355" s="13"/>
      <c r="G1355" s="13"/>
      <c r="I1355" s="37"/>
    </row>
    <row r="1356" spans="1:9" s="14" customFormat="1" ht="15" customHeight="1">
      <c r="A1356" s="10"/>
      <c r="B1356" s="15"/>
      <c r="C1356" s="11"/>
      <c r="D1356" s="12" t="str">
        <f>IF(C1356&gt;0,(VLOOKUP(C1356,'Blnct AR'!$C$2:$D$2259,2,0))," ")</f>
        <v xml:space="preserve"> </v>
      </c>
      <c r="E1356" s="24"/>
      <c r="F1356" s="13"/>
      <c r="G1356" s="19"/>
      <c r="I1356" s="37"/>
    </row>
    <row r="1357" spans="1:9" s="14" customFormat="1" ht="15" customHeight="1">
      <c r="A1357" s="10"/>
      <c r="B1357" s="23"/>
      <c r="C1357" s="11"/>
      <c r="D1357" s="12" t="str">
        <f>IF(C1357&gt;0,(VLOOKUP(C1357,'Blnct AR'!$C$2:$D$2259,2,0))," ")</f>
        <v xml:space="preserve"> </v>
      </c>
      <c r="E1357" s="11"/>
      <c r="F1357" s="13"/>
      <c r="G1357" s="13"/>
      <c r="I1357" s="37"/>
    </row>
    <row r="1358" spans="1:9" s="14" customFormat="1" ht="15" customHeight="1">
      <c r="A1358" s="10"/>
      <c r="B1358" s="15"/>
      <c r="C1358" s="11"/>
      <c r="D1358" s="12" t="str">
        <f>IF(C1358&gt;0,(VLOOKUP(C1358,'Blnct AR'!$C$2:$D$2259,2,0))," ")</f>
        <v xml:space="preserve"> </v>
      </c>
      <c r="E1358" s="24"/>
      <c r="F1358" s="13"/>
      <c r="G1358" s="19"/>
      <c r="I1358" s="37"/>
    </row>
    <row r="1359" spans="1:9" s="14" customFormat="1" ht="15" customHeight="1">
      <c r="A1359" s="10"/>
      <c r="B1359" s="15"/>
      <c r="C1359" s="11"/>
      <c r="D1359" s="12"/>
      <c r="E1359" s="45"/>
      <c r="F1359" s="46"/>
      <c r="G1359" s="46"/>
    </row>
    <row r="1360" spans="1:9" s="14" customFormat="1" ht="15" customHeight="1">
      <c r="A1360" s="10"/>
      <c r="B1360" s="30"/>
      <c r="C1360" s="4"/>
      <c r="D1360" s="12" t="str">
        <f>IF(C1360&gt;0,(VLOOKUP(C1360,'Blnct AR'!$C$2:$D$2253,2,0))," ")</f>
        <v xml:space="preserve"> </v>
      </c>
      <c r="E1360" s="4"/>
      <c r="G1360" s="13"/>
      <c r="H1360" s="41"/>
      <c r="I1360" s="37"/>
    </row>
    <row r="1361" spans="1:9" s="14" customFormat="1" ht="15" customHeight="1">
      <c r="A1361" s="10"/>
      <c r="B1361" s="8"/>
      <c r="C1361" s="11"/>
      <c r="D1361" s="12" t="str">
        <f>IF(C1361&gt;0,(VLOOKUP(C1361,'Blnct AR'!$C$2:$D$2253,2,0))," ")</f>
        <v xml:space="preserve"> </v>
      </c>
      <c r="E1361" s="4"/>
      <c r="F1361" s="13"/>
      <c r="G1361" s="13"/>
      <c r="I1361" s="37"/>
    </row>
    <row r="1362" spans="1:9" s="14" customFormat="1" ht="15" customHeight="1">
      <c r="A1362" s="10"/>
      <c r="B1362" s="8"/>
      <c r="C1362" s="11"/>
      <c r="D1362" s="12" t="str">
        <f>IF(C1362&gt;0,(VLOOKUP(C1362,'Blnct AR'!$C$2:$D$2253,2,0))," ")</f>
        <v xml:space="preserve"> </v>
      </c>
      <c r="E1362" s="4"/>
      <c r="F1362" s="13"/>
      <c r="G1362" s="13"/>
      <c r="I1362" s="37"/>
    </row>
    <row r="1363" spans="1:9" s="14" customFormat="1" ht="15" customHeight="1">
      <c r="A1363" s="10"/>
      <c r="B1363" s="8"/>
      <c r="C1363" s="11"/>
      <c r="D1363" s="12" t="str">
        <f>IF(C1363&gt;0,(VLOOKUP(C1363,'Blnct AR'!$C$2:$D$2253,2,0))," ")</f>
        <v xml:space="preserve"> </v>
      </c>
      <c r="E1363" s="4"/>
      <c r="F1363" s="13"/>
      <c r="G1363" s="13"/>
      <c r="I1363" s="37"/>
    </row>
    <row r="1364" spans="1:9" s="14" customFormat="1" ht="15" customHeight="1">
      <c r="A1364" s="10"/>
      <c r="B1364" s="8"/>
      <c r="C1364" s="11"/>
      <c r="D1364" s="12" t="str">
        <f>IF(C1364&gt;0,(VLOOKUP(C1364,'Blnct AR'!$C$2:$D$2253,2,0))," ")</f>
        <v xml:space="preserve"> </v>
      </c>
      <c r="E1364" s="4"/>
      <c r="F1364" s="13"/>
      <c r="G1364" s="13"/>
      <c r="I1364" s="37"/>
    </row>
    <row r="1365" spans="1:9" s="14" customFormat="1" ht="15" customHeight="1">
      <c r="A1365" s="10"/>
      <c r="B1365" s="8"/>
      <c r="C1365" s="11"/>
      <c r="D1365" s="12" t="str">
        <f>IF(C1365&gt;0,(VLOOKUP(C1365,'Blnct AR'!$C$2:$D$2253,2,0))," ")</f>
        <v xml:space="preserve"> </v>
      </c>
      <c r="E1365" s="4"/>
      <c r="F1365" s="13"/>
      <c r="G1365" s="13"/>
      <c r="I1365" s="37"/>
    </row>
    <row r="1366" spans="1:9" s="14" customFormat="1" ht="15" customHeight="1">
      <c r="A1366" s="10"/>
      <c r="B1366" s="8"/>
      <c r="C1366" s="11"/>
      <c r="D1366" s="12" t="str">
        <f>IF(C1366&gt;0,(VLOOKUP(C1366,'Blnct AR'!$C$2:$D$2253,2,0))," ")</f>
        <v xml:space="preserve"> </v>
      </c>
      <c r="E1366" s="4"/>
      <c r="F1366" s="13"/>
      <c r="G1366" s="13"/>
      <c r="I1366" s="37"/>
    </row>
    <row r="1367" spans="1:9" s="14" customFormat="1" ht="15" customHeight="1">
      <c r="A1367" s="10"/>
      <c r="B1367" s="8"/>
      <c r="C1367" s="11"/>
      <c r="D1367" s="12" t="str">
        <f>IF(C1367&gt;0,(VLOOKUP(C1367,'Blnct AR'!$C$2:$D$2253,2,0))," ")</f>
        <v xml:space="preserve"> </v>
      </c>
      <c r="E1367" s="4"/>
      <c r="F1367" s="13"/>
      <c r="G1367" s="13"/>
      <c r="I1367" s="37"/>
    </row>
    <row r="1368" spans="1:9" s="14" customFormat="1" ht="15" customHeight="1">
      <c r="A1368" s="10"/>
      <c r="B1368" s="30"/>
      <c r="C1368" s="11"/>
      <c r="D1368" s="12" t="str">
        <f>IF(C1368&gt;0,(VLOOKUP(C1368,'Blnct AR'!$C$2:$D$2253,2,0))," ")</f>
        <v xml:space="preserve"> </v>
      </c>
      <c r="E1368" s="12"/>
      <c r="F1368" s="13"/>
      <c r="G1368" s="13"/>
      <c r="I1368" s="37"/>
    </row>
    <row r="1369" spans="1:9" s="14" customFormat="1" ht="15" customHeight="1">
      <c r="A1369" s="10"/>
      <c r="B1369" s="8"/>
      <c r="C1369" s="11"/>
      <c r="D1369" s="12" t="str">
        <f>IF(C1369&gt;0,(VLOOKUP(C1369,'Blnct AR'!$C$2:$D$2253,2,0))," ")</f>
        <v xml:space="preserve"> </v>
      </c>
      <c r="E1369" s="12"/>
      <c r="F1369" s="13"/>
      <c r="G1369" s="13"/>
      <c r="I1369" s="37"/>
    </row>
    <row r="1370" spans="1:9" s="14" customFormat="1" ht="15" customHeight="1">
      <c r="A1370" s="10"/>
      <c r="B1370" s="30"/>
      <c r="C1370" s="4"/>
      <c r="D1370" s="12" t="str">
        <f>IF(C1370&gt;0,(VLOOKUP(C1370,'Blnct AR'!$C$2:$D$2253,2,0))," ")</f>
        <v xml:space="preserve"> </v>
      </c>
      <c r="E1370" s="4"/>
      <c r="G1370" s="13"/>
      <c r="I1370" s="37"/>
    </row>
    <row r="1371" spans="1:9" s="14" customFormat="1" ht="15" customHeight="1">
      <c r="A1371" s="10"/>
      <c r="B1371" s="8"/>
      <c r="C1371" s="11"/>
      <c r="D1371" s="12" t="str">
        <f>IF(C1371&gt;0,(VLOOKUP(C1371,'Blnct AR'!$C$2:$D$2253,2,0))," ")</f>
        <v xml:space="preserve"> </v>
      </c>
      <c r="E1371" s="4"/>
      <c r="F1371" s="13"/>
      <c r="G1371" s="13"/>
      <c r="I1371" s="37"/>
    </row>
    <row r="1372" spans="1:9" s="14" customFormat="1" ht="15" customHeight="1">
      <c r="A1372" s="10"/>
      <c r="B1372" s="8"/>
      <c r="C1372" s="11"/>
      <c r="D1372" s="12" t="str">
        <f>IF(C1372&gt;0,(VLOOKUP(C1372,'Blnct AR'!$C$2:$D$2253,2,0))," ")</f>
        <v xml:space="preserve"> </v>
      </c>
      <c r="E1372" s="4"/>
      <c r="F1372" s="13"/>
      <c r="G1372" s="13"/>
      <c r="I1372" s="37"/>
    </row>
    <row r="1373" spans="1:9" s="14" customFormat="1" ht="15" customHeight="1">
      <c r="A1373" s="10"/>
      <c r="B1373" s="8"/>
      <c r="C1373" s="11"/>
      <c r="D1373" s="12" t="str">
        <f>IF(C1373&gt;0,(VLOOKUP(C1373,'Blnct AR'!$C$2:$D$2253,2,0))," ")</f>
        <v xml:space="preserve"> </v>
      </c>
      <c r="E1373" s="4"/>
      <c r="F1373" s="13"/>
      <c r="G1373" s="13"/>
      <c r="I1373" s="37"/>
    </row>
    <row r="1374" spans="1:9" s="14" customFormat="1" ht="15" customHeight="1">
      <c r="A1374" s="10"/>
      <c r="B1374" s="8"/>
      <c r="C1374" s="11"/>
      <c r="D1374" s="12" t="str">
        <f>IF(C1374&gt;0,(VLOOKUP(C1374,'Blnct AR'!$C$2:$D$2253,2,0))," ")</f>
        <v xml:space="preserve"> </v>
      </c>
      <c r="E1374" s="4"/>
      <c r="F1374" s="13"/>
      <c r="G1374" s="13"/>
      <c r="I1374" s="37"/>
    </row>
    <row r="1375" spans="1:9" s="14" customFormat="1" ht="15" customHeight="1">
      <c r="A1375" s="10"/>
      <c r="B1375" s="8"/>
      <c r="C1375" s="11"/>
      <c r="D1375" s="12" t="str">
        <f>IF(C1375&gt;0,(VLOOKUP(C1375,'Blnct AR'!$C$2:$D$2253,2,0))," ")</f>
        <v xml:space="preserve"> </v>
      </c>
      <c r="E1375" s="4"/>
      <c r="F1375" s="13"/>
      <c r="G1375" s="13"/>
      <c r="I1375" s="37"/>
    </row>
    <row r="1376" spans="1:9" s="14" customFormat="1" ht="15" customHeight="1">
      <c r="A1376" s="10"/>
      <c r="B1376" s="8"/>
      <c r="C1376" s="11"/>
      <c r="D1376" s="12" t="str">
        <f>IF(C1376&gt;0,(VLOOKUP(C1376,'Blnct AR'!$C$2:$D$2253,2,0))," ")</f>
        <v xml:space="preserve"> </v>
      </c>
      <c r="E1376" s="4"/>
      <c r="F1376" s="13"/>
      <c r="G1376" s="13"/>
      <c r="I1376" s="37"/>
    </row>
    <row r="1377" spans="1:9" s="14" customFormat="1" ht="15" customHeight="1">
      <c r="A1377" s="10"/>
      <c r="B1377" s="8"/>
      <c r="C1377" s="11"/>
      <c r="D1377" s="12" t="str">
        <f>IF(C1377&gt;0,(VLOOKUP(C1377,'Blnct AR'!$C$2:$D$2253,2,0))," ")</f>
        <v xml:space="preserve"> </v>
      </c>
      <c r="E1377" s="4"/>
      <c r="F1377" s="13"/>
      <c r="G1377" s="13"/>
      <c r="I1377" s="37"/>
    </row>
    <row r="1378" spans="1:9" s="14" customFormat="1" ht="15" customHeight="1">
      <c r="A1378" s="10"/>
      <c r="B1378" s="30"/>
      <c r="C1378" s="11"/>
      <c r="D1378" s="12" t="str">
        <f>IF(C1378&gt;0,(VLOOKUP(C1378,'Blnct AR'!$C$2:$D$2253,2,0))," ")</f>
        <v xml:space="preserve"> </v>
      </c>
      <c r="E1378" s="12"/>
      <c r="F1378" s="13"/>
      <c r="G1378" s="13"/>
      <c r="I1378" s="37"/>
    </row>
    <row r="1379" spans="1:9" s="14" customFormat="1" ht="15" customHeight="1">
      <c r="A1379" s="10"/>
      <c r="B1379" s="8"/>
      <c r="C1379" s="11"/>
      <c r="D1379" s="12" t="str">
        <f>IF(C1379&gt;0,(VLOOKUP(C1379,'Blnct AR'!$C$2:$D$2253,2,0))," ")</f>
        <v xml:space="preserve"> </v>
      </c>
      <c r="E1379" s="12"/>
      <c r="F1379" s="13"/>
      <c r="G1379" s="13"/>
      <c r="I1379" s="37"/>
    </row>
    <row r="1380" spans="1:9" s="14" customFormat="1" ht="15" customHeight="1">
      <c r="A1380" s="10"/>
      <c r="B1380" s="30"/>
      <c r="C1380" s="4"/>
      <c r="D1380" s="12" t="str">
        <f>IF(C1380&gt;0,(VLOOKUP(C1380,'Blnct AR'!$C$2:$D$2253,2,0))," ")</f>
        <v xml:space="preserve"> </v>
      </c>
      <c r="E1380" s="4"/>
      <c r="G1380" s="13"/>
      <c r="I1380" s="37"/>
    </row>
    <row r="1381" spans="1:9" s="14" customFormat="1" ht="15" customHeight="1">
      <c r="A1381" s="10"/>
      <c r="B1381" s="8"/>
      <c r="C1381" s="11"/>
      <c r="D1381" s="12" t="str">
        <f>IF(C1381&gt;0,(VLOOKUP(C1381,'Blnct AR'!$C$2:$D$2253,2,0))," ")</f>
        <v xml:space="preserve"> </v>
      </c>
      <c r="E1381" s="4"/>
      <c r="F1381" s="13"/>
      <c r="G1381" s="13"/>
      <c r="I1381" s="37"/>
    </row>
    <row r="1382" spans="1:9" s="14" customFormat="1" ht="15" customHeight="1">
      <c r="A1382" s="10"/>
      <c r="B1382" s="8"/>
      <c r="C1382" s="11"/>
      <c r="D1382" s="12" t="str">
        <f>IF(C1382&gt;0,(VLOOKUP(C1382,'Blnct AR'!$C$2:$D$2253,2,0))," ")</f>
        <v xml:space="preserve"> </v>
      </c>
      <c r="E1382" s="4"/>
      <c r="F1382" s="13"/>
      <c r="G1382" s="13"/>
      <c r="I1382" s="37"/>
    </row>
    <row r="1383" spans="1:9" s="14" customFormat="1" ht="15" customHeight="1">
      <c r="A1383" s="10"/>
      <c r="B1383" s="8"/>
      <c r="C1383" s="11"/>
      <c r="D1383" s="12" t="str">
        <f>IF(C1383&gt;0,(VLOOKUP(C1383,'Blnct AR'!$C$2:$D$2253,2,0))," ")</f>
        <v xml:space="preserve"> </v>
      </c>
      <c r="E1383" s="4"/>
      <c r="F1383" s="13"/>
      <c r="G1383" s="13"/>
      <c r="I1383" s="37"/>
    </row>
    <row r="1384" spans="1:9" s="14" customFormat="1" ht="15" customHeight="1">
      <c r="A1384" s="10"/>
      <c r="B1384" s="8"/>
      <c r="C1384" s="11"/>
      <c r="D1384" s="12" t="str">
        <f>IF(C1384&gt;0,(VLOOKUP(C1384,'Blnct AR'!$C$2:$D$2253,2,0))," ")</f>
        <v xml:space="preserve"> </v>
      </c>
      <c r="E1384" s="4"/>
      <c r="F1384" s="13"/>
      <c r="G1384" s="13"/>
      <c r="I1384" s="37"/>
    </row>
    <row r="1385" spans="1:9" s="14" customFormat="1" ht="15" customHeight="1">
      <c r="A1385" s="10"/>
      <c r="B1385" s="8"/>
      <c r="C1385" s="11"/>
      <c r="D1385" s="12" t="str">
        <f>IF(C1385&gt;0,(VLOOKUP(C1385,'Blnct AR'!$C$2:$D$2253,2,0))," ")</f>
        <v xml:space="preserve"> </v>
      </c>
      <c r="E1385" s="4"/>
      <c r="F1385" s="13"/>
      <c r="G1385" s="13"/>
      <c r="I1385" s="37"/>
    </row>
    <row r="1386" spans="1:9" s="14" customFormat="1" ht="15" customHeight="1">
      <c r="A1386" s="10"/>
      <c r="B1386" s="8"/>
      <c r="C1386" s="11"/>
      <c r="D1386" s="12" t="str">
        <f>IF(C1386&gt;0,(VLOOKUP(C1386,'Blnct AR'!$C$2:$D$2253,2,0))," ")</f>
        <v xml:space="preserve"> </v>
      </c>
      <c r="E1386" s="4"/>
      <c r="F1386" s="13"/>
      <c r="G1386" s="13"/>
      <c r="I1386" s="37"/>
    </row>
    <row r="1387" spans="1:9" s="14" customFormat="1" ht="15" customHeight="1">
      <c r="A1387" s="10"/>
      <c r="B1387" s="8"/>
      <c r="C1387" s="11"/>
      <c r="D1387" s="12" t="str">
        <f>IF(C1387&gt;0,(VLOOKUP(C1387,'Blnct AR'!$C$2:$D$2253,2,0))," ")</f>
        <v xml:space="preserve"> </v>
      </c>
      <c r="E1387" s="4"/>
      <c r="F1387" s="13"/>
      <c r="G1387" s="13"/>
      <c r="I1387" s="37"/>
    </row>
    <row r="1388" spans="1:9" s="14" customFormat="1" ht="15" customHeight="1">
      <c r="A1388" s="10"/>
      <c r="B1388" s="30"/>
      <c r="C1388" s="11"/>
      <c r="D1388" s="12" t="str">
        <f>IF(C1388&gt;0,(VLOOKUP(C1388,'Blnct AR'!$C$2:$D$2253,2,0))," ")</f>
        <v xml:space="preserve"> </v>
      </c>
      <c r="E1388" s="12"/>
      <c r="F1388" s="13"/>
      <c r="G1388" s="13"/>
      <c r="I1388" s="37"/>
    </row>
    <row r="1389" spans="1:9" s="14" customFormat="1" ht="15" customHeight="1">
      <c r="A1389" s="10"/>
      <c r="B1389" s="8"/>
      <c r="C1389" s="11"/>
      <c r="D1389" s="12" t="str">
        <f>IF(C1389&gt;0,(VLOOKUP(C1389,'Blnct AR'!$C$2:$D$2253,2,0))," ")</f>
        <v xml:space="preserve"> </v>
      </c>
      <c r="E1389" s="12"/>
      <c r="F1389" s="13"/>
      <c r="G1389" s="13"/>
      <c r="I1389" s="37"/>
    </row>
    <row r="1390" spans="1:9" s="14" customFormat="1" ht="15" customHeight="1">
      <c r="A1390" s="10"/>
      <c r="B1390" s="30"/>
      <c r="C1390" s="4"/>
      <c r="D1390" s="12" t="str">
        <f>IF(C1390&gt;0,(VLOOKUP(C1390,'Blnct AR'!$C$2:$D$2253,2,0))," ")</f>
        <v xml:space="preserve"> </v>
      </c>
      <c r="E1390" s="4"/>
      <c r="G1390" s="13"/>
      <c r="I1390" s="37"/>
    </row>
    <row r="1391" spans="1:9" s="14" customFormat="1" ht="15" customHeight="1">
      <c r="A1391" s="10"/>
      <c r="B1391" s="8"/>
      <c r="C1391" s="11"/>
      <c r="D1391" s="12" t="str">
        <f>IF(C1391&gt;0,(VLOOKUP(C1391,'Blnct AR'!$C$2:$D$2253,2,0))," ")</f>
        <v xml:space="preserve"> </v>
      </c>
      <c r="E1391" s="4"/>
      <c r="F1391" s="13"/>
      <c r="G1391" s="13"/>
      <c r="I1391" s="37"/>
    </row>
    <row r="1392" spans="1:9" s="14" customFormat="1" ht="15" customHeight="1">
      <c r="A1392" s="10"/>
      <c r="B1392" s="8"/>
      <c r="C1392" s="11"/>
      <c r="D1392" s="12" t="str">
        <f>IF(C1392&gt;0,(VLOOKUP(C1392,'Blnct AR'!$C$2:$D$2253,2,0))," ")</f>
        <v xml:space="preserve"> </v>
      </c>
      <c r="E1392" s="4"/>
      <c r="F1392" s="13"/>
      <c r="G1392" s="13"/>
      <c r="I1392" s="37"/>
    </row>
    <row r="1393" spans="1:9" s="14" customFormat="1" ht="15" customHeight="1">
      <c r="A1393" s="10"/>
      <c r="B1393" s="8"/>
      <c r="C1393" s="11"/>
      <c r="D1393" s="12" t="str">
        <f>IF(C1393&gt;0,(VLOOKUP(C1393,'Blnct AR'!$C$2:$D$2253,2,0))," ")</f>
        <v xml:space="preserve"> </v>
      </c>
      <c r="E1393" s="4"/>
      <c r="F1393" s="13"/>
      <c r="G1393" s="13"/>
      <c r="I1393" s="37"/>
    </row>
    <row r="1394" spans="1:9" s="14" customFormat="1" ht="15" customHeight="1">
      <c r="A1394" s="10"/>
      <c r="B1394" s="8"/>
      <c r="C1394" s="11"/>
      <c r="D1394" s="12" t="str">
        <f>IF(C1394&gt;0,(VLOOKUP(C1394,'Blnct AR'!$C$2:$D$2253,2,0))," ")</f>
        <v xml:space="preserve"> </v>
      </c>
      <c r="E1394" s="4"/>
      <c r="F1394" s="13"/>
      <c r="G1394" s="13"/>
      <c r="I1394" s="37"/>
    </row>
    <row r="1395" spans="1:9" s="14" customFormat="1" ht="15" customHeight="1">
      <c r="A1395" s="10"/>
      <c r="B1395" s="8"/>
      <c r="C1395" s="11"/>
      <c r="D1395" s="12" t="str">
        <f>IF(C1395&gt;0,(VLOOKUP(C1395,'Blnct AR'!$C$2:$D$2253,2,0))," ")</f>
        <v xml:space="preserve"> </v>
      </c>
      <c r="E1395" s="4"/>
      <c r="F1395" s="13"/>
      <c r="G1395" s="13"/>
      <c r="I1395" s="37"/>
    </row>
    <row r="1396" spans="1:9" s="14" customFormat="1" ht="15" customHeight="1">
      <c r="A1396" s="10"/>
      <c r="B1396" s="8"/>
      <c r="C1396" s="11"/>
      <c r="D1396" s="12" t="str">
        <f>IF(C1396&gt;0,(VLOOKUP(C1396,'Blnct AR'!$C$2:$D$2253,2,0))," ")</f>
        <v xml:space="preserve"> </v>
      </c>
      <c r="E1396" s="4"/>
      <c r="F1396" s="13"/>
      <c r="G1396" s="13"/>
      <c r="I1396" s="37"/>
    </row>
    <row r="1397" spans="1:9" s="14" customFormat="1" ht="15" customHeight="1">
      <c r="A1397" s="10"/>
      <c r="B1397" s="8"/>
      <c r="C1397" s="11"/>
      <c r="D1397" s="12" t="str">
        <f>IF(C1397&gt;0,(VLOOKUP(C1397,'Blnct AR'!$C$2:$D$2253,2,0))," ")</f>
        <v xml:space="preserve"> </v>
      </c>
      <c r="E1397" s="4"/>
      <c r="F1397" s="13"/>
      <c r="G1397" s="13"/>
      <c r="I1397" s="37"/>
    </row>
    <row r="1398" spans="1:9" s="14" customFormat="1" ht="15" customHeight="1">
      <c r="A1398" s="10"/>
      <c r="B1398" s="30"/>
      <c r="C1398" s="11"/>
      <c r="D1398" s="12" t="str">
        <f>IF(C1398&gt;0,(VLOOKUP(C1398,'Blnct AR'!$C$2:$D$2253,2,0))," ")</f>
        <v xml:space="preserve"> </v>
      </c>
      <c r="E1398" s="12"/>
      <c r="F1398" s="13"/>
      <c r="G1398" s="13"/>
      <c r="I1398" s="37"/>
    </row>
    <row r="1399" spans="1:9" s="14" customFormat="1" ht="15" customHeight="1">
      <c r="A1399" s="10"/>
      <c r="B1399" s="8"/>
      <c r="C1399" s="11"/>
      <c r="D1399" s="12" t="str">
        <f>IF(C1399&gt;0,(VLOOKUP(C1399,'Blnct AR'!$C$2:$D$2253,2,0))," ")</f>
        <v xml:space="preserve"> </v>
      </c>
      <c r="E1399" s="12"/>
      <c r="F1399" s="13"/>
      <c r="G1399" s="13"/>
      <c r="I1399" s="37"/>
    </row>
    <row r="1400" spans="1:9" s="14" customFormat="1" ht="15" customHeight="1">
      <c r="A1400" s="10"/>
      <c r="B1400" s="30"/>
      <c r="C1400" s="4"/>
      <c r="D1400" s="12" t="str">
        <f>IF(C1400&gt;0,(VLOOKUP(C1400,'Blnct AR'!$C$2:$D$2253,2,0))," ")</f>
        <v xml:space="preserve"> </v>
      </c>
      <c r="E1400" s="4"/>
      <c r="G1400" s="13"/>
      <c r="I1400" s="37"/>
    </row>
    <row r="1401" spans="1:9" s="14" customFormat="1" ht="15" customHeight="1">
      <c r="A1401" s="10"/>
      <c r="B1401" s="8"/>
      <c r="C1401" s="11"/>
      <c r="D1401" s="12" t="str">
        <f>IF(C1401&gt;0,(VLOOKUP(C1401,'Blnct AR'!$C$2:$D$2253,2,0))," ")</f>
        <v xml:space="preserve"> </v>
      </c>
      <c r="E1401" s="4"/>
      <c r="F1401" s="13"/>
      <c r="G1401" s="13"/>
      <c r="I1401" s="37"/>
    </row>
    <row r="1402" spans="1:9" s="14" customFormat="1" ht="15" customHeight="1">
      <c r="A1402" s="10"/>
      <c r="B1402" s="8"/>
      <c r="C1402" s="11"/>
      <c r="D1402" s="12" t="str">
        <f>IF(C1402&gt;0,(VLOOKUP(C1402,'Blnct AR'!$C$2:$D$2253,2,0))," ")</f>
        <v xml:space="preserve"> </v>
      </c>
      <c r="E1402" s="4"/>
      <c r="F1402" s="13"/>
      <c r="G1402" s="13"/>
      <c r="I1402" s="37"/>
    </row>
    <row r="1403" spans="1:9" s="14" customFormat="1" ht="15" customHeight="1">
      <c r="A1403" s="10"/>
      <c r="B1403" s="8"/>
      <c r="C1403" s="11"/>
      <c r="D1403" s="12" t="str">
        <f>IF(C1403&gt;0,(VLOOKUP(C1403,'Blnct AR'!$C$2:$D$2253,2,0))," ")</f>
        <v xml:space="preserve"> </v>
      </c>
      <c r="E1403" s="4"/>
      <c r="F1403" s="13"/>
      <c r="G1403" s="13"/>
      <c r="I1403" s="37"/>
    </row>
    <row r="1404" spans="1:9" s="14" customFormat="1" ht="15" customHeight="1">
      <c r="A1404" s="10"/>
      <c r="B1404" s="8"/>
      <c r="C1404" s="11"/>
      <c r="D1404" s="12" t="str">
        <f>IF(C1404&gt;0,(VLOOKUP(C1404,'Blnct AR'!$C$2:$D$2253,2,0))," ")</f>
        <v xml:space="preserve"> </v>
      </c>
      <c r="E1404" s="4"/>
      <c r="F1404" s="13"/>
      <c r="G1404" s="13"/>
      <c r="I1404" s="37"/>
    </row>
    <row r="1405" spans="1:9" s="14" customFormat="1" ht="15" customHeight="1">
      <c r="A1405" s="10"/>
      <c r="B1405" s="8"/>
      <c r="C1405" s="11"/>
      <c r="D1405" s="12" t="str">
        <f>IF(C1405&gt;0,(VLOOKUP(C1405,'Blnct AR'!$C$2:$D$2253,2,0))," ")</f>
        <v xml:space="preserve"> </v>
      </c>
      <c r="E1405" s="4"/>
      <c r="F1405" s="13"/>
      <c r="G1405" s="13"/>
      <c r="I1405" s="37"/>
    </row>
    <row r="1406" spans="1:9" s="14" customFormat="1" ht="15" customHeight="1">
      <c r="A1406" s="10"/>
      <c r="B1406" s="8"/>
      <c r="C1406" s="11"/>
      <c r="D1406" s="12" t="str">
        <f>IF(C1406&gt;0,(VLOOKUP(C1406,'Blnct AR'!$C$2:$D$2253,2,0))," ")</f>
        <v xml:space="preserve"> </v>
      </c>
      <c r="E1406" s="4"/>
      <c r="F1406" s="13"/>
      <c r="G1406" s="13"/>
      <c r="I1406" s="37"/>
    </row>
    <row r="1407" spans="1:9" s="14" customFormat="1" ht="15" customHeight="1">
      <c r="A1407" s="10"/>
      <c r="B1407" s="8"/>
      <c r="C1407" s="11"/>
      <c r="D1407" s="12" t="str">
        <f>IF(C1407&gt;0,(VLOOKUP(C1407,'Blnct AR'!$C$2:$D$2253,2,0))," ")</f>
        <v xml:space="preserve"> </v>
      </c>
      <c r="E1407" s="4"/>
      <c r="F1407" s="13"/>
      <c r="G1407" s="13"/>
      <c r="I1407" s="37"/>
    </row>
    <row r="1408" spans="1:9" s="14" customFormat="1" ht="15" customHeight="1">
      <c r="A1408" s="10"/>
      <c r="B1408" s="30"/>
      <c r="C1408" s="11"/>
      <c r="D1408" s="12" t="str">
        <f>IF(C1408&gt;0,(VLOOKUP(C1408,'Blnct AR'!$C$2:$D$2253,2,0))," ")</f>
        <v xml:space="preserve"> </v>
      </c>
      <c r="E1408" s="12"/>
      <c r="F1408" s="13"/>
      <c r="G1408" s="13"/>
      <c r="I1408" s="37"/>
    </row>
    <row r="1409" spans="1:9" s="14" customFormat="1" ht="15" customHeight="1">
      <c r="A1409" s="10"/>
      <c r="B1409" s="8"/>
      <c r="C1409" s="11"/>
      <c r="D1409" s="12" t="str">
        <f>IF(C1409&gt;0,(VLOOKUP(C1409,'Blnct AR'!$C$2:$D$2253,2,0))," ")</f>
        <v xml:space="preserve"> </v>
      </c>
      <c r="E1409" s="12"/>
      <c r="F1409" s="13"/>
      <c r="G1409" s="13"/>
      <c r="I1409" s="37"/>
    </row>
    <row r="1410" spans="1:9" s="14" customFormat="1" ht="15" customHeight="1">
      <c r="A1410" s="10"/>
      <c r="B1410" s="30"/>
      <c r="C1410" s="4"/>
      <c r="D1410" s="12" t="str">
        <f>IF(C1410&gt;0,(VLOOKUP(C1410,'Blnct AR'!$C$2:$D$2253,2,0))," ")</f>
        <v xml:space="preserve"> </v>
      </c>
      <c r="E1410" s="4"/>
      <c r="G1410" s="13"/>
      <c r="I1410" s="37"/>
    </row>
    <row r="1411" spans="1:9" s="14" customFormat="1" ht="15" customHeight="1">
      <c r="A1411" s="10"/>
      <c r="B1411" s="8"/>
      <c r="C1411" s="11"/>
      <c r="D1411" s="12" t="str">
        <f>IF(C1411&gt;0,(VLOOKUP(C1411,'Blnct AR'!$C$2:$D$2253,2,0))," ")</f>
        <v xml:space="preserve"> </v>
      </c>
      <c r="E1411" s="4"/>
      <c r="F1411" s="13"/>
      <c r="G1411" s="13"/>
      <c r="I1411" s="37"/>
    </row>
    <row r="1412" spans="1:9" s="14" customFormat="1" ht="15" customHeight="1">
      <c r="A1412" s="10"/>
      <c r="B1412" s="8"/>
      <c r="C1412" s="11"/>
      <c r="D1412" s="12" t="str">
        <f>IF(C1412&gt;0,(VLOOKUP(C1412,'Blnct AR'!$C$2:$D$2253,2,0))," ")</f>
        <v xml:space="preserve"> </v>
      </c>
      <c r="E1412" s="4"/>
      <c r="F1412" s="13"/>
      <c r="G1412" s="13"/>
      <c r="I1412" s="37"/>
    </row>
    <row r="1413" spans="1:9" s="14" customFormat="1" ht="15" customHeight="1">
      <c r="A1413" s="10"/>
      <c r="B1413" s="8"/>
      <c r="C1413" s="11"/>
      <c r="D1413" s="12" t="str">
        <f>IF(C1413&gt;0,(VLOOKUP(C1413,'Blnct AR'!$C$2:$D$2253,2,0))," ")</f>
        <v xml:space="preserve"> </v>
      </c>
      <c r="E1413" s="4"/>
      <c r="F1413" s="13"/>
      <c r="G1413" s="13"/>
      <c r="I1413" s="37"/>
    </row>
    <row r="1414" spans="1:9" s="14" customFormat="1" ht="15" customHeight="1">
      <c r="A1414" s="10"/>
      <c r="B1414" s="8"/>
      <c r="C1414" s="11"/>
      <c r="D1414" s="12" t="str">
        <f>IF(C1414&gt;0,(VLOOKUP(C1414,'Blnct AR'!$C$2:$D$2253,2,0))," ")</f>
        <v xml:space="preserve"> </v>
      </c>
      <c r="E1414" s="4"/>
      <c r="F1414" s="13"/>
      <c r="G1414" s="13"/>
      <c r="I1414" s="37"/>
    </row>
    <row r="1415" spans="1:9" s="14" customFormat="1" ht="15" customHeight="1">
      <c r="A1415" s="10"/>
      <c r="B1415" s="8"/>
      <c r="C1415" s="11"/>
      <c r="D1415" s="12" t="str">
        <f>IF(C1415&gt;0,(VLOOKUP(C1415,'Blnct AR'!$C$2:$D$2253,2,0))," ")</f>
        <v xml:space="preserve"> </v>
      </c>
      <c r="E1415" s="4"/>
      <c r="F1415" s="13"/>
      <c r="G1415" s="13"/>
      <c r="I1415" s="37"/>
    </row>
    <row r="1416" spans="1:9" s="14" customFormat="1" ht="15" customHeight="1">
      <c r="A1416" s="10"/>
      <c r="B1416" s="8"/>
      <c r="C1416" s="11"/>
      <c r="D1416" s="12" t="str">
        <f>IF(C1416&gt;0,(VLOOKUP(C1416,'Blnct AR'!$C$2:$D$2253,2,0))," ")</f>
        <v xml:space="preserve"> </v>
      </c>
      <c r="E1416" s="4"/>
      <c r="F1416" s="13"/>
      <c r="G1416" s="13"/>
      <c r="I1416" s="37"/>
    </row>
    <row r="1417" spans="1:9" s="14" customFormat="1" ht="15" customHeight="1">
      <c r="A1417" s="10"/>
      <c r="B1417" s="8"/>
      <c r="C1417" s="11"/>
      <c r="D1417" s="12" t="str">
        <f>IF(C1417&gt;0,(VLOOKUP(C1417,'Blnct AR'!$C$2:$D$2253,2,0))," ")</f>
        <v xml:space="preserve"> </v>
      </c>
      <c r="E1417" s="4"/>
      <c r="F1417" s="13"/>
      <c r="G1417" s="13"/>
      <c r="I1417" s="37"/>
    </row>
    <row r="1418" spans="1:9" s="14" customFormat="1" ht="15" customHeight="1">
      <c r="A1418" s="10"/>
      <c r="B1418" s="30"/>
      <c r="C1418" s="11"/>
      <c r="D1418" s="12" t="str">
        <f>IF(C1418&gt;0,(VLOOKUP(C1418,'Blnct AR'!$C$2:$D$2253,2,0))," ")</f>
        <v xml:space="preserve"> </v>
      </c>
      <c r="E1418" s="12"/>
      <c r="F1418" s="13"/>
      <c r="G1418" s="13"/>
      <c r="I1418" s="37"/>
    </row>
    <row r="1419" spans="1:9" s="14" customFormat="1" ht="15" customHeight="1">
      <c r="A1419" s="10"/>
      <c r="B1419" s="8"/>
      <c r="C1419" s="11"/>
      <c r="D1419" s="12" t="str">
        <f>IF(C1419&gt;0,(VLOOKUP(C1419,'Blnct AR'!$C$2:$D$2253,2,0))," ")</f>
        <v xml:space="preserve"> </v>
      </c>
      <c r="E1419" s="12"/>
      <c r="F1419" s="13"/>
      <c r="G1419" s="13"/>
      <c r="I1419" s="37"/>
    </row>
    <row r="1420" spans="1:9" s="14" customFormat="1" ht="15" customHeight="1">
      <c r="A1420" s="10"/>
      <c r="B1420" s="30"/>
      <c r="C1420" s="4"/>
      <c r="D1420" s="12" t="str">
        <f>IF(C1420&gt;0,(VLOOKUP(C1420,'Blnct AR'!$C$2:$D$2253,2,0))," ")</f>
        <v xml:space="preserve"> </v>
      </c>
      <c r="E1420" s="4"/>
      <c r="G1420" s="13"/>
      <c r="I1420" s="37"/>
    </row>
    <row r="1421" spans="1:9" s="14" customFormat="1" ht="15" customHeight="1">
      <c r="A1421" s="10"/>
      <c r="B1421" s="8"/>
      <c r="C1421" s="11"/>
      <c r="D1421" s="12" t="str">
        <f>IF(C1421&gt;0,(VLOOKUP(C1421,'Blnct AR'!$C$2:$D$2253,2,0))," ")</f>
        <v xml:space="preserve"> </v>
      </c>
      <c r="E1421" s="4"/>
      <c r="F1421" s="13"/>
      <c r="G1421" s="13"/>
      <c r="I1421" s="37"/>
    </row>
    <row r="1422" spans="1:9" s="14" customFormat="1" ht="15" customHeight="1">
      <c r="A1422" s="10"/>
      <c r="B1422" s="8"/>
      <c r="C1422" s="11"/>
      <c r="D1422" s="12" t="str">
        <f>IF(C1422&gt;0,(VLOOKUP(C1422,'Blnct AR'!$C$2:$D$2253,2,0))," ")</f>
        <v xml:space="preserve"> </v>
      </c>
      <c r="E1422" s="4"/>
      <c r="F1422" s="13"/>
      <c r="G1422" s="13"/>
      <c r="I1422" s="37"/>
    </row>
    <row r="1423" spans="1:9" s="14" customFormat="1" ht="15" customHeight="1">
      <c r="A1423" s="10"/>
      <c r="B1423" s="8"/>
      <c r="C1423" s="11"/>
      <c r="D1423" s="12" t="str">
        <f>IF(C1423&gt;0,(VLOOKUP(C1423,'Blnct AR'!$C$2:$D$2253,2,0))," ")</f>
        <v xml:space="preserve"> </v>
      </c>
      <c r="E1423" s="4"/>
      <c r="F1423" s="13"/>
      <c r="G1423" s="13"/>
      <c r="I1423" s="37"/>
    </row>
    <row r="1424" spans="1:9" s="14" customFormat="1" ht="15" customHeight="1">
      <c r="A1424" s="10"/>
      <c r="B1424" s="8"/>
      <c r="C1424" s="11"/>
      <c r="D1424" s="12" t="str">
        <f>IF(C1424&gt;0,(VLOOKUP(C1424,'Blnct AR'!$C$2:$D$2253,2,0))," ")</f>
        <v xml:space="preserve"> </v>
      </c>
      <c r="E1424" s="4"/>
      <c r="F1424" s="13"/>
      <c r="G1424" s="13"/>
      <c r="I1424" s="37"/>
    </row>
    <row r="1425" spans="1:9" s="14" customFormat="1" ht="15" customHeight="1">
      <c r="A1425" s="10"/>
      <c r="B1425" s="8"/>
      <c r="C1425" s="11"/>
      <c r="D1425" s="12" t="str">
        <f>IF(C1425&gt;0,(VLOOKUP(C1425,'Blnct AR'!$C$2:$D$2253,2,0))," ")</f>
        <v xml:space="preserve"> </v>
      </c>
      <c r="E1425" s="4"/>
      <c r="F1425" s="13"/>
      <c r="G1425" s="13"/>
      <c r="I1425" s="37"/>
    </row>
    <row r="1426" spans="1:9" s="14" customFormat="1" ht="15" customHeight="1">
      <c r="A1426" s="10"/>
      <c r="B1426" s="8"/>
      <c r="C1426" s="11"/>
      <c r="D1426" s="12" t="str">
        <f>IF(C1426&gt;0,(VLOOKUP(C1426,'Blnct AR'!$C$2:$D$2253,2,0))," ")</f>
        <v xml:space="preserve"> </v>
      </c>
      <c r="E1426" s="4"/>
      <c r="F1426" s="13"/>
      <c r="G1426" s="13"/>
      <c r="I1426" s="37"/>
    </row>
    <row r="1427" spans="1:9" s="14" customFormat="1" ht="15" customHeight="1">
      <c r="A1427" s="10"/>
      <c r="B1427" s="8"/>
      <c r="C1427" s="11"/>
      <c r="D1427" s="12" t="str">
        <f>IF(C1427&gt;0,(VLOOKUP(C1427,'Blnct AR'!$C$2:$D$2253,2,0))," ")</f>
        <v xml:space="preserve"> </v>
      </c>
      <c r="E1427" s="4"/>
      <c r="F1427" s="13"/>
      <c r="G1427" s="13"/>
      <c r="I1427" s="37"/>
    </row>
    <row r="1428" spans="1:9" s="14" customFormat="1" ht="15" customHeight="1">
      <c r="A1428" s="10"/>
      <c r="B1428" s="30"/>
      <c r="C1428" s="11"/>
      <c r="D1428" s="12" t="str">
        <f>IF(C1428&gt;0,(VLOOKUP(C1428,'Blnct AR'!$C$2:$D$2253,2,0))," ")</f>
        <v xml:space="preserve"> </v>
      </c>
      <c r="E1428" s="12"/>
      <c r="F1428" s="13"/>
      <c r="G1428" s="13"/>
      <c r="I1428" s="37"/>
    </row>
    <row r="1429" spans="1:9" s="14" customFormat="1" ht="15" customHeight="1">
      <c r="A1429" s="10"/>
      <c r="B1429" s="8"/>
      <c r="C1429" s="11"/>
      <c r="D1429" s="12" t="str">
        <f>IF(C1429&gt;0,(VLOOKUP(C1429,'Blnct AR'!$C$2:$D$2253,2,0))," ")</f>
        <v xml:space="preserve"> </v>
      </c>
      <c r="E1429" s="12"/>
      <c r="F1429" s="13"/>
      <c r="G1429" s="13"/>
      <c r="I1429" s="37"/>
    </row>
    <row r="1430" spans="1:9" s="14" customFormat="1" ht="15" customHeight="1">
      <c r="A1430" s="10"/>
      <c r="B1430" s="30"/>
      <c r="C1430" s="4"/>
      <c r="D1430" s="12" t="str">
        <f>IF(C1430&gt;0,(VLOOKUP(C1430,'Blnct AR'!$C$2:$D$2253,2,0))," ")</f>
        <v xml:space="preserve"> </v>
      </c>
      <c r="E1430" s="4"/>
      <c r="G1430" s="13"/>
      <c r="I1430" s="37"/>
    </row>
    <row r="1431" spans="1:9" s="14" customFormat="1" ht="15" customHeight="1">
      <c r="A1431" s="10"/>
      <c r="B1431" s="8"/>
      <c r="C1431" s="11"/>
      <c r="D1431" s="12" t="str">
        <f>IF(C1431&gt;0,(VLOOKUP(C1431,'Blnct AR'!$C$2:$D$2253,2,0))," ")</f>
        <v xml:space="preserve"> </v>
      </c>
      <c r="E1431" s="4"/>
      <c r="F1431" s="13"/>
      <c r="G1431" s="13"/>
      <c r="I1431" s="37"/>
    </row>
    <row r="1432" spans="1:9" s="14" customFormat="1" ht="15" customHeight="1">
      <c r="A1432" s="10"/>
      <c r="B1432" s="8"/>
      <c r="C1432" s="11"/>
      <c r="D1432" s="12" t="str">
        <f>IF(C1432&gt;0,(VLOOKUP(C1432,'Blnct AR'!$C$2:$D$2253,2,0))," ")</f>
        <v xml:space="preserve"> </v>
      </c>
      <c r="E1432" s="4"/>
      <c r="F1432" s="13"/>
      <c r="G1432" s="13"/>
      <c r="I1432" s="37"/>
    </row>
    <row r="1433" spans="1:9" s="14" customFormat="1" ht="15" customHeight="1">
      <c r="A1433" s="10"/>
      <c r="B1433" s="8"/>
      <c r="C1433" s="11"/>
      <c r="D1433" s="12" t="str">
        <f>IF(C1433&gt;0,(VLOOKUP(C1433,'Blnct AR'!$C$2:$D$2253,2,0))," ")</f>
        <v xml:space="preserve"> </v>
      </c>
      <c r="E1433" s="4"/>
      <c r="F1433" s="13"/>
      <c r="G1433" s="13"/>
      <c r="I1433" s="37"/>
    </row>
    <row r="1434" spans="1:9" s="14" customFormat="1" ht="15" customHeight="1">
      <c r="A1434" s="10"/>
      <c r="B1434" s="8"/>
      <c r="C1434" s="11"/>
      <c r="D1434" s="12" t="str">
        <f>IF(C1434&gt;0,(VLOOKUP(C1434,'Blnct AR'!$C$2:$D$2253,2,0))," ")</f>
        <v xml:space="preserve"> </v>
      </c>
      <c r="E1434" s="4"/>
      <c r="F1434" s="13"/>
      <c r="G1434" s="13"/>
      <c r="I1434" s="37"/>
    </row>
    <row r="1435" spans="1:9" s="14" customFormat="1" ht="15" customHeight="1">
      <c r="A1435" s="10"/>
      <c r="B1435" s="8"/>
      <c r="C1435" s="11"/>
      <c r="D1435" s="12" t="str">
        <f>IF(C1435&gt;0,(VLOOKUP(C1435,'Blnct AR'!$C$2:$D$2253,2,0))," ")</f>
        <v xml:space="preserve"> </v>
      </c>
      <c r="E1435" s="4"/>
      <c r="F1435" s="13"/>
      <c r="G1435" s="13"/>
      <c r="I1435" s="37"/>
    </row>
    <row r="1436" spans="1:9" s="14" customFormat="1" ht="15" customHeight="1">
      <c r="A1436" s="10"/>
      <c r="B1436" s="8"/>
      <c r="C1436" s="11"/>
      <c r="D1436" s="12" t="str">
        <f>IF(C1436&gt;0,(VLOOKUP(C1436,'Blnct AR'!$C$2:$D$2253,2,0))," ")</f>
        <v xml:space="preserve"> </v>
      </c>
      <c r="E1436" s="4"/>
      <c r="F1436" s="13"/>
      <c r="G1436" s="13"/>
      <c r="I1436" s="37"/>
    </row>
    <row r="1437" spans="1:9" s="14" customFormat="1" ht="15" customHeight="1">
      <c r="A1437" s="10"/>
      <c r="B1437" s="8"/>
      <c r="C1437" s="11"/>
      <c r="D1437" s="12" t="str">
        <f>IF(C1437&gt;0,(VLOOKUP(C1437,'Blnct AR'!$C$2:$D$2253,2,0))," ")</f>
        <v xml:space="preserve"> </v>
      </c>
      <c r="E1437" s="4"/>
      <c r="F1437" s="13"/>
      <c r="G1437" s="13"/>
      <c r="I1437" s="37"/>
    </row>
    <row r="1438" spans="1:9" s="14" customFormat="1" ht="15" customHeight="1">
      <c r="A1438" s="10"/>
      <c r="B1438" s="30"/>
      <c r="C1438" s="11"/>
      <c r="D1438" s="12" t="str">
        <f>IF(C1438&gt;0,(VLOOKUP(C1438,'Blnct AR'!$C$2:$D$2253,2,0))," ")</f>
        <v xml:space="preserve"> </v>
      </c>
      <c r="E1438" s="12"/>
      <c r="F1438" s="13"/>
      <c r="G1438" s="13"/>
      <c r="I1438" s="37"/>
    </row>
    <row r="1439" spans="1:9" s="14" customFormat="1" ht="15" customHeight="1">
      <c r="A1439" s="10"/>
      <c r="B1439" s="8"/>
      <c r="C1439" s="11"/>
      <c r="D1439" s="12" t="str">
        <f>IF(C1439&gt;0,(VLOOKUP(C1439,'Blnct AR'!$C$2:$D$2253,2,0))," ")</f>
        <v xml:space="preserve"> </v>
      </c>
      <c r="E1439" s="12"/>
      <c r="F1439" s="13"/>
      <c r="G1439" s="13"/>
      <c r="I1439" s="37"/>
    </row>
    <row r="1440" spans="1:9" s="14" customFormat="1" ht="15" customHeight="1">
      <c r="A1440" s="10"/>
      <c r="B1440" s="30"/>
      <c r="C1440" s="4"/>
      <c r="D1440" s="12" t="str">
        <f>IF(C1440&gt;0,(VLOOKUP(C1440,'Blnct AR'!$C$2:$D$2253,2,0))," ")</f>
        <v xml:space="preserve"> </v>
      </c>
      <c r="E1440" s="4"/>
      <c r="G1440" s="13"/>
      <c r="I1440" s="37"/>
    </row>
    <row r="1441" spans="1:9" s="14" customFormat="1" ht="15" customHeight="1">
      <c r="A1441" s="10"/>
      <c r="B1441" s="8"/>
      <c r="C1441" s="11"/>
      <c r="D1441" s="12" t="str">
        <f>IF(C1441&gt;0,(VLOOKUP(C1441,'Blnct AR'!$C$2:$D$2253,2,0))," ")</f>
        <v xml:space="preserve"> </v>
      </c>
      <c r="E1441" s="4"/>
      <c r="F1441" s="13"/>
      <c r="G1441" s="13"/>
      <c r="I1441" s="37"/>
    </row>
    <row r="1442" spans="1:9" s="14" customFormat="1" ht="15" customHeight="1">
      <c r="A1442" s="10"/>
      <c r="B1442" s="8"/>
      <c r="C1442" s="11"/>
      <c r="D1442" s="12" t="str">
        <f>IF(C1442&gt;0,(VLOOKUP(C1442,'Blnct AR'!$C$2:$D$2253,2,0))," ")</f>
        <v xml:space="preserve"> </v>
      </c>
      <c r="E1442" s="4"/>
      <c r="F1442" s="13"/>
      <c r="G1442" s="13"/>
      <c r="I1442" s="37"/>
    </row>
    <row r="1443" spans="1:9" s="14" customFormat="1" ht="15" customHeight="1">
      <c r="A1443" s="10"/>
      <c r="B1443" s="8"/>
      <c r="C1443" s="11"/>
      <c r="D1443" s="12" t="str">
        <f>IF(C1443&gt;0,(VLOOKUP(C1443,'Blnct AR'!$C$2:$D$2253,2,0))," ")</f>
        <v xml:space="preserve"> </v>
      </c>
      <c r="E1443" s="4"/>
      <c r="F1443" s="13"/>
      <c r="G1443" s="13"/>
      <c r="I1443" s="37"/>
    </row>
    <row r="1444" spans="1:9" s="14" customFormat="1" ht="15" customHeight="1">
      <c r="A1444" s="10"/>
      <c r="B1444" s="8"/>
      <c r="C1444" s="11"/>
      <c r="D1444" s="12" t="str">
        <f>IF(C1444&gt;0,(VLOOKUP(C1444,'Blnct AR'!$C$2:$D$2253,2,0))," ")</f>
        <v xml:space="preserve"> </v>
      </c>
      <c r="E1444" s="4"/>
      <c r="F1444" s="13"/>
      <c r="G1444" s="13"/>
      <c r="I1444" s="37"/>
    </row>
    <row r="1445" spans="1:9" s="14" customFormat="1" ht="15" customHeight="1">
      <c r="A1445" s="10"/>
      <c r="B1445" s="8"/>
      <c r="C1445" s="11"/>
      <c r="D1445" s="12" t="str">
        <f>IF(C1445&gt;0,(VLOOKUP(C1445,'Blnct AR'!$C$2:$D$2253,2,0))," ")</f>
        <v xml:space="preserve"> </v>
      </c>
      <c r="E1445" s="4"/>
      <c r="F1445" s="13"/>
      <c r="G1445" s="13"/>
      <c r="I1445" s="37"/>
    </row>
    <row r="1446" spans="1:9" s="14" customFormat="1" ht="15" customHeight="1">
      <c r="A1446" s="10"/>
      <c r="B1446" s="8"/>
      <c r="C1446" s="11"/>
      <c r="D1446" s="12" t="str">
        <f>IF(C1446&gt;0,(VLOOKUP(C1446,'Blnct AR'!$C$2:$D$2253,2,0))," ")</f>
        <v xml:space="preserve"> </v>
      </c>
      <c r="E1446" s="4"/>
      <c r="F1446" s="13"/>
      <c r="G1446" s="13"/>
      <c r="I1446" s="37"/>
    </row>
    <row r="1447" spans="1:9" s="14" customFormat="1" ht="15" customHeight="1">
      <c r="A1447" s="10"/>
      <c r="B1447" s="8"/>
      <c r="C1447" s="11"/>
      <c r="D1447" s="12" t="str">
        <f>IF(C1447&gt;0,(VLOOKUP(C1447,'Blnct AR'!$C$2:$D$2253,2,0))," ")</f>
        <v xml:space="preserve"> </v>
      </c>
      <c r="E1447" s="4"/>
      <c r="F1447" s="13"/>
      <c r="G1447" s="13"/>
      <c r="I1447" s="37"/>
    </row>
    <row r="1448" spans="1:9" s="14" customFormat="1" ht="15" customHeight="1">
      <c r="A1448" s="10"/>
      <c r="B1448" s="30"/>
      <c r="C1448" s="11"/>
      <c r="D1448" s="12" t="str">
        <f>IF(C1448&gt;0,(VLOOKUP(C1448,'Blnct AR'!$C$2:$D$2253,2,0))," ")</f>
        <v xml:space="preserve"> </v>
      </c>
      <c r="E1448" s="12"/>
      <c r="F1448" s="13"/>
      <c r="G1448" s="13"/>
      <c r="I1448" s="37"/>
    </row>
    <row r="1449" spans="1:9" s="14" customFormat="1" ht="15" customHeight="1">
      <c r="A1449" s="10"/>
      <c r="B1449" s="8"/>
      <c r="C1449" s="11"/>
      <c r="D1449" s="12" t="str">
        <f>IF(C1449&gt;0,(VLOOKUP(C1449,'Blnct AR'!$C$2:$D$2253,2,0))," ")</f>
        <v xml:space="preserve"> </v>
      </c>
      <c r="E1449" s="12"/>
      <c r="F1449" s="13"/>
      <c r="G1449" s="13"/>
      <c r="I1449" s="37"/>
    </row>
    <row r="1450" spans="1:9" s="14" customFormat="1" ht="15" customHeight="1">
      <c r="A1450" s="10"/>
      <c r="B1450" s="30"/>
      <c r="C1450" s="4"/>
      <c r="D1450" s="12" t="str">
        <f>IF(C1450&gt;0,(VLOOKUP(C1450,'Blnct AR'!$C$2:$D$2253,2,0))," ")</f>
        <v xml:space="preserve"> </v>
      </c>
      <c r="E1450" s="4"/>
      <c r="G1450" s="13"/>
      <c r="I1450" s="37"/>
    </row>
    <row r="1451" spans="1:9" s="14" customFormat="1" ht="15" customHeight="1">
      <c r="A1451" s="10"/>
      <c r="B1451" s="8"/>
      <c r="C1451" s="11"/>
      <c r="D1451" s="12" t="str">
        <f>IF(C1451&gt;0,(VLOOKUP(C1451,'Blnct AR'!$C$2:$D$2253,2,0))," ")</f>
        <v xml:space="preserve"> </v>
      </c>
      <c r="E1451" s="4"/>
      <c r="F1451" s="13"/>
      <c r="G1451" s="13"/>
      <c r="I1451" s="37"/>
    </row>
    <row r="1452" spans="1:9" s="14" customFormat="1" ht="15" customHeight="1">
      <c r="A1452" s="10"/>
      <c r="B1452" s="8"/>
      <c r="C1452" s="11"/>
      <c r="D1452" s="12" t="str">
        <f>IF(C1452&gt;0,(VLOOKUP(C1452,'Blnct AR'!$C$2:$D$2253,2,0))," ")</f>
        <v xml:space="preserve"> </v>
      </c>
      <c r="E1452" s="4"/>
      <c r="F1452" s="13"/>
      <c r="G1452" s="13"/>
      <c r="I1452" s="37"/>
    </row>
    <row r="1453" spans="1:9" s="14" customFormat="1" ht="15" customHeight="1">
      <c r="A1453" s="10"/>
      <c r="B1453" s="8"/>
      <c r="C1453" s="11"/>
      <c r="D1453" s="12" t="str">
        <f>IF(C1453&gt;0,(VLOOKUP(C1453,'Blnct AR'!$C$2:$D$2253,2,0))," ")</f>
        <v xml:space="preserve"> </v>
      </c>
      <c r="E1453" s="4"/>
      <c r="F1453" s="13"/>
      <c r="G1453" s="13"/>
      <c r="I1453" s="37"/>
    </row>
    <row r="1454" spans="1:9" s="14" customFormat="1" ht="15" customHeight="1">
      <c r="A1454" s="10"/>
      <c r="B1454" s="8"/>
      <c r="C1454" s="11"/>
      <c r="D1454" s="12" t="str">
        <f>IF(C1454&gt;0,(VLOOKUP(C1454,'Blnct AR'!$C$2:$D$2253,2,0))," ")</f>
        <v xml:space="preserve"> </v>
      </c>
      <c r="E1454" s="4"/>
      <c r="F1454" s="13"/>
      <c r="G1454" s="13"/>
      <c r="I1454" s="37"/>
    </row>
    <row r="1455" spans="1:9" s="14" customFormat="1" ht="15" customHeight="1">
      <c r="A1455" s="10"/>
      <c r="B1455" s="8"/>
      <c r="C1455" s="11"/>
      <c r="D1455" s="12" t="str">
        <f>IF(C1455&gt;0,(VLOOKUP(C1455,'Blnct AR'!$C$2:$D$2253,2,0))," ")</f>
        <v xml:space="preserve"> </v>
      </c>
      <c r="E1455" s="4"/>
      <c r="F1455" s="13"/>
      <c r="G1455" s="13"/>
      <c r="I1455" s="37"/>
    </row>
    <row r="1456" spans="1:9" s="14" customFormat="1" ht="15" customHeight="1">
      <c r="A1456" s="10"/>
      <c r="B1456" s="8"/>
      <c r="C1456" s="11"/>
      <c r="D1456" s="12" t="str">
        <f>IF(C1456&gt;0,(VLOOKUP(C1456,'Blnct AR'!$C$2:$D$2253,2,0))," ")</f>
        <v xml:space="preserve"> </v>
      </c>
      <c r="E1456" s="4"/>
      <c r="F1456" s="13"/>
      <c r="G1456" s="13"/>
      <c r="I1456" s="37"/>
    </row>
    <row r="1457" spans="1:9" s="14" customFormat="1" ht="15" customHeight="1">
      <c r="A1457" s="10"/>
      <c r="B1457" s="8"/>
      <c r="C1457" s="11"/>
      <c r="D1457" s="12" t="str">
        <f>IF(C1457&gt;0,(VLOOKUP(C1457,'Blnct AR'!$C$2:$D$2253,2,0))," ")</f>
        <v xml:space="preserve"> </v>
      </c>
      <c r="E1457" s="4"/>
      <c r="F1457" s="13"/>
      <c r="G1457" s="13"/>
      <c r="I1457" s="37"/>
    </row>
    <row r="1458" spans="1:9" s="14" customFormat="1" ht="15" customHeight="1">
      <c r="A1458" s="10"/>
      <c r="B1458" s="30"/>
      <c r="C1458" s="11"/>
      <c r="D1458" s="12" t="str">
        <f>IF(C1458&gt;0,(VLOOKUP(C1458,'Blnct AR'!$C$2:$D$2253,2,0))," ")</f>
        <v xml:space="preserve"> </v>
      </c>
      <c r="E1458" s="12"/>
      <c r="F1458" s="13"/>
      <c r="G1458" s="13"/>
      <c r="I1458" s="37"/>
    </row>
    <row r="1459" spans="1:9" s="14" customFormat="1" ht="15" customHeight="1">
      <c r="A1459" s="10"/>
      <c r="B1459" s="8"/>
      <c r="C1459" s="11"/>
      <c r="D1459" s="12" t="str">
        <f>IF(C1459&gt;0,(VLOOKUP(C1459,'Blnct AR'!$C$2:$D$2253,2,0))," ")</f>
        <v xml:space="preserve"> </v>
      </c>
      <c r="E1459" s="12"/>
      <c r="F1459" s="13"/>
      <c r="G1459" s="13"/>
      <c r="I1459" s="37"/>
    </row>
    <row r="1460" spans="1:9" s="14" customFormat="1" ht="15" customHeight="1">
      <c r="A1460" s="10"/>
      <c r="B1460" s="30"/>
      <c r="C1460" s="4"/>
      <c r="D1460" s="12" t="str">
        <f>IF(C1460&gt;0,(VLOOKUP(C1460,'Blnct AR'!$C$2:$D$2253,2,0))," ")</f>
        <v xml:space="preserve"> </v>
      </c>
      <c r="E1460" s="4"/>
      <c r="G1460" s="13"/>
      <c r="I1460" s="37"/>
    </row>
    <row r="1461" spans="1:9" s="14" customFormat="1" ht="15" customHeight="1">
      <c r="A1461" s="10"/>
      <c r="B1461" s="8"/>
      <c r="C1461" s="11"/>
      <c r="D1461" s="12" t="str">
        <f>IF(C1461&gt;0,(VLOOKUP(C1461,'Blnct AR'!$C$2:$D$2253,2,0))," ")</f>
        <v xml:space="preserve"> </v>
      </c>
      <c r="E1461" s="4"/>
      <c r="F1461" s="13"/>
      <c r="G1461" s="13"/>
      <c r="I1461" s="37"/>
    </row>
    <row r="1462" spans="1:9" s="14" customFormat="1" ht="15" customHeight="1">
      <c r="A1462" s="10"/>
      <c r="B1462" s="8"/>
      <c r="C1462" s="11"/>
      <c r="D1462" s="12" t="str">
        <f>IF(C1462&gt;0,(VLOOKUP(C1462,'Blnct AR'!$C$2:$D$2253,2,0))," ")</f>
        <v xml:space="preserve"> </v>
      </c>
      <c r="E1462" s="4"/>
      <c r="F1462" s="13"/>
      <c r="G1462" s="13"/>
      <c r="I1462" s="37"/>
    </row>
    <row r="1463" spans="1:9" s="14" customFormat="1" ht="15" customHeight="1">
      <c r="A1463" s="10"/>
      <c r="B1463" s="8"/>
      <c r="C1463" s="11"/>
      <c r="D1463" s="12" t="str">
        <f>IF(C1463&gt;0,(VLOOKUP(C1463,'Blnct AR'!$C$2:$D$2253,2,0))," ")</f>
        <v xml:space="preserve"> </v>
      </c>
      <c r="E1463" s="4"/>
      <c r="F1463" s="13"/>
      <c r="G1463" s="13"/>
      <c r="I1463" s="37"/>
    </row>
    <row r="1464" spans="1:9" s="14" customFormat="1" ht="15" customHeight="1">
      <c r="A1464" s="10"/>
      <c r="B1464" s="8"/>
      <c r="C1464" s="11"/>
      <c r="D1464" s="12" t="str">
        <f>IF(C1464&gt;0,(VLOOKUP(C1464,'Blnct AR'!$C$2:$D$2253,2,0))," ")</f>
        <v xml:space="preserve"> </v>
      </c>
      <c r="E1464" s="4"/>
      <c r="F1464" s="13"/>
      <c r="G1464" s="13"/>
      <c r="I1464" s="37"/>
    </row>
    <row r="1465" spans="1:9" s="14" customFormat="1" ht="15" customHeight="1">
      <c r="A1465" s="10"/>
      <c r="B1465" s="8"/>
      <c r="C1465" s="11"/>
      <c r="D1465" s="12" t="str">
        <f>IF(C1465&gt;0,(VLOOKUP(C1465,'Blnct AR'!$C$2:$D$2253,2,0))," ")</f>
        <v xml:space="preserve"> </v>
      </c>
      <c r="E1465" s="4"/>
      <c r="F1465" s="13"/>
      <c r="G1465" s="13"/>
      <c r="I1465" s="37"/>
    </row>
    <row r="1466" spans="1:9" s="14" customFormat="1" ht="15" customHeight="1">
      <c r="A1466" s="10"/>
      <c r="B1466" s="8"/>
      <c r="C1466" s="11"/>
      <c r="D1466" s="12" t="str">
        <f>IF(C1466&gt;0,(VLOOKUP(C1466,'Blnct AR'!$C$2:$D$2253,2,0))," ")</f>
        <v xml:space="preserve"> </v>
      </c>
      <c r="E1466" s="4"/>
      <c r="F1466" s="13"/>
      <c r="G1466" s="13"/>
      <c r="I1466" s="37"/>
    </row>
    <row r="1467" spans="1:9" s="14" customFormat="1" ht="15" customHeight="1">
      <c r="A1467" s="10"/>
      <c r="B1467" s="8"/>
      <c r="C1467" s="11"/>
      <c r="D1467" s="12" t="str">
        <f>IF(C1467&gt;0,(VLOOKUP(C1467,'Blnct AR'!$C$2:$D$2253,2,0))," ")</f>
        <v xml:space="preserve"> </v>
      </c>
      <c r="E1467" s="4"/>
      <c r="F1467" s="13"/>
      <c r="G1467" s="13"/>
      <c r="I1467" s="37"/>
    </row>
    <row r="1468" spans="1:9" s="14" customFormat="1" ht="15" customHeight="1">
      <c r="A1468" s="10"/>
      <c r="B1468" s="30"/>
      <c r="C1468" s="11"/>
      <c r="D1468" s="12" t="str">
        <f>IF(C1468&gt;0,(VLOOKUP(C1468,'Blnct AR'!$C$2:$D$2253,2,0))," ")</f>
        <v xml:space="preserve"> </v>
      </c>
      <c r="E1468" s="12"/>
      <c r="F1468" s="13"/>
      <c r="G1468" s="13"/>
      <c r="I1468" s="37"/>
    </row>
    <row r="1469" spans="1:9" s="14" customFormat="1" ht="15" customHeight="1">
      <c r="A1469" s="10"/>
      <c r="B1469" s="8"/>
      <c r="C1469" s="11"/>
      <c r="D1469" s="12" t="str">
        <f>IF(C1469&gt;0,(VLOOKUP(C1469,'Blnct AR'!$C$2:$D$2253,2,0))," ")</f>
        <v xml:space="preserve"> </v>
      </c>
      <c r="E1469" s="12"/>
      <c r="F1469" s="13"/>
      <c r="G1469" s="13"/>
      <c r="I1469" s="37"/>
    </row>
    <row r="1470" spans="1:9" s="14" customFormat="1" ht="15" customHeight="1">
      <c r="A1470" s="10"/>
      <c r="B1470" s="30"/>
      <c r="C1470" s="4"/>
      <c r="D1470" s="12" t="str">
        <f>IF(C1470&gt;0,(VLOOKUP(C1470,'Blnct AR'!$C$2:$D$2253,2,0))," ")</f>
        <v xml:space="preserve"> </v>
      </c>
      <c r="E1470" s="4"/>
      <c r="G1470" s="13"/>
      <c r="I1470" s="37"/>
    </row>
    <row r="1471" spans="1:9" s="14" customFormat="1" ht="15" customHeight="1">
      <c r="A1471" s="10"/>
      <c r="B1471" s="8"/>
      <c r="C1471" s="11"/>
      <c r="D1471" s="12" t="str">
        <f>IF(C1471&gt;0,(VLOOKUP(C1471,'Blnct AR'!$C$2:$D$2253,2,0))," ")</f>
        <v xml:space="preserve"> </v>
      </c>
      <c r="E1471" s="4"/>
      <c r="F1471" s="13"/>
      <c r="G1471" s="13"/>
      <c r="I1471" s="37"/>
    </row>
    <row r="1472" spans="1:9" s="14" customFormat="1" ht="15" customHeight="1">
      <c r="A1472" s="10"/>
      <c r="B1472" s="8"/>
      <c r="C1472" s="11"/>
      <c r="D1472" s="12" t="str">
        <f>IF(C1472&gt;0,(VLOOKUP(C1472,'Blnct AR'!$C$2:$D$2253,2,0))," ")</f>
        <v xml:space="preserve"> </v>
      </c>
      <c r="E1472" s="4"/>
      <c r="F1472" s="13"/>
      <c r="G1472" s="13"/>
      <c r="I1472" s="37"/>
    </row>
    <row r="1473" spans="1:9" s="14" customFormat="1" ht="15" customHeight="1">
      <c r="A1473" s="10"/>
      <c r="B1473" s="8"/>
      <c r="C1473" s="11"/>
      <c r="D1473" s="12" t="str">
        <f>IF(C1473&gt;0,(VLOOKUP(C1473,'Blnct AR'!$C$2:$D$2253,2,0))," ")</f>
        <v xml:space="preserve"> </v>
      </c>
      <c r="E1473" s="4"/>
      <c r="F1473" s="13"/>
      <c r="G1473" s="13"/>
      <c r="I1473" s="37"/>
    </row>
    <row r="1474" spans="1:9" s="14" customFormat="1" ht="15" customHeight="1">
      <c r="A1474" s="10"/>
      <c r="B1474" s="8"/>
      <c r="C1474" s="11"/>
      <c r="D1474" s="12" t="str">
        <f>IF(C1474&gt;0,(VLOOKUP(C1474,'Blnct AR'!$C$2:$D$2253,2,0))," ")</f>
        <v xml:space="preserve"> </v>
      </c>
      <c r="E1474" s="4"/>
      <c r="F1474" s="13"/>
      <c r="G1474" s="13"/>
      <c r="I1474" s="37"/>
    </row>
    <row r="1475" spans="1:9" s="14" customFormat="1" ht="15" customHeight="1">
      <c r="A1475" s="10"/>
      <c r="B1475" s="8"/>
      <c r="C1475" s="11"/>
      <c r="D1475" s="12" t="str">
        <f>IF(C1475&gt;0,(VLOOKUP(C1475,'Blnct AR'!$C$2:$D$2253,2,0))," ")</f>
        <v xml:space="preserve"> </v>
      </c>
      <c r="E1475" s="4"/>
      <c r="F1475" s="13"/>
      <c r="G1475" s="13"/>
      <c r="I1475" s="37"/>
    </row>
    <row r="1476" spans="1:9" s="14" customFormat="1" ht="15" customHeight="1">
      <c r="A1476" s="10"/>
      <c r="B1476" s="8"/>
      <c r="C1476" s="11"/>
      <c r="D1476" s="12" t="str">
        <f>IF(C1476&gt;0,(VLOOKUP(C1476,'Blnct AR'!$C$2:$D$2253,2,0))," ")</f>
        <v xml:space="preserve"> </v>
      </c>
      <c r="E1476" s="4"/>
      <c r="F1476" s="13"/>
      <c r="G1476" s="13"/>
      <c r="I1476" s="37"/>
    </row>
    <row r="1477" spans="1:9" s="14" customFormat="1" ht="15" customHeight="1">
      <c r="A1477" s="10"/>
      <c r="B1477" s="8"/>
      <c r="C1477" s="11"/>
      <c r="D1477" s="12" t="str">
        <f>IF(C1477&gt;0,(VLOOKUP(C1477,'Blnct AR'!$C$2:$D$2253,2,0))," ")</f>
        <v xml:space="preserve"> </v>
      </c>
      <c r="E1477" s="4"/>
      <c r="F1477" s="13"/>
      <c r="G1477" s="13"/>
      <c r="I1477" s="37"/>
    </row>
    <row r="1478" spans="1:9" s="14" customFormat="1" ht="15" customHeight="1">
      <c r="A1478" s="10"/>
      <c r="B1478" s="30"/>
      <c r="C1478" s="11"/>
      <c r="D1478" s="12" t="str">
        <f>IF(C1478&gt;0,(VLOOKUP(C1478,'Blnct AR'!$C$2:$D$2253,2,0))," ")</f>
        <v xml:space="preserve"> </v>
      </c>
      <c r="E1478" s="12"/>
      <c r="F1478" s="13"/>
      <c r="G1478" s="13"/>
      <c r="I1478" s="37"/>
    </row>
    <row r="1479" spans="1:9" s="14" customFormat="1" ht="15" customHeight="1">
      <c r="A1479" s="10"/>
      <c r="B1479" s="8"/>
      <c r="C1479" s="11"/>
      <c r="D1479" s="12" t="str">
        <f>IF(C1479&gt;0,(VLOOKUP(C1479,'Blnct AR'!$C$2:$D$2253,2,0))," ")</f>
        <v xml:space="preserve"> </v>
      </c>
      <c r="E1479" s="12"/>
      <c r="F1479" s="13"/>
      <c r="G1479" s="13"/>
      <c r="I1479" s="37"/>
    </row>
    <row r="1480" spans="1:9" s="14" customFormat="1" ht="15" customHeight="1">
      <c r="A1480" s="10"/>
      <c r="D1480" s="12" t="str">
        <f>IF(C1480&gt;0,(VLOOKUP(C1480,'Blnct AR'!$C$2:$D$2255,2,0))," ")</f>
        <v xml:space="preserve"> </v>
      </c>
      <c r="E1480" s="45"/>
      <c r="F1480" s="46"/>
      <c r="G1480" s="46"/>
      <c r="I1480" s="37"/>
    </row>
    <row r="1481" spans="1:9" s="14" customFormat="1" ht="15" customHeight="1">
      <c r="A1481" s="10"/>
      <c r="B1481" s="23"/>
      <c r="C1481" s="11"/>
      <c r="D1481" s="12" t="str">
        <f>IF(C1481&gt;0,(VLOOKUP(C1481,'Blnct AR'!$C$2:$D$2259,2,0))," ")</f>
        <v xml:space="preserve"> </v>
      </c>
      <c r="E1481" s="11"/>
      <c r="F1481" s="13"/>
      <c r="G1481" s="13"/>
      <c r="H1481" s="41"/>
      <c r="I1481" s="37"/>
    </row>
    <row r="1482" spans="1:9" s="14" customFormat="1" ht="15" customHeight="1">
      <c r="A1482" s="10"/>
      <c r="B1482" s="15"/>
      <c r="C1482" s="11"/>
      <c r="D1482" s="12" t="str">
        <f>IF(C1482&gt;0,(VLOOKUP(C1482,'Blnct AR'!$C$2:$D$2259,2,0))," ")</f>
        <v xml:space="preserve"> </v>
      </c>
      <c r="E1482" s="24"/>
      <c r="F1482" s="13"/>
      <c r="G1482" s="19"/>
      <c r="I1482" s="37"/>
    </row>
    <row r="1483" spans="1:9" s="14" customFormat="1" ht="15" customHeight="1">
      <c r="A1483" s="10"/>
      <c r="B1483" s="23"/>
      <c r="C1483" s="11"/>
      <c r="D1483" s="12" t="str">
        <f>IF(C1483&gt;0,(VLOOKUP(C1483,'Blnct AR'!$C$2:$D$2259,2,0))," ")</f>
        <v xml:space="preserve"> </v>
      </c>
      <c r="E1483" s="11"/>
      <c r="F1483" s="13"/>
      <c r="G1483" s="13"/>
      <c r="I1483" s="37"/>
    </row>
    <row r="1484" spans="1:9" s="14" customFormat="1" ht="15" customHeight="1">
      <c r="B1484" s="15"/>
      <c r="C1484" s="11"/>
      <c r="D1484" s="12" t="str">
        <f>IF(C1484&gt;0,(VLOOKUP(C1484,'Blnct AR'!$C$2:$D$2259,2,0))," ")</f>
        <v xml:space="preserve"> </v>
      </c>
      <c r="E1484" s="24"/>
      <c r="F1484" s="13"/>
      <c r="G1484" s="19"/>
      <c r="I1484" s="37"/>
    </row>
    <row r="1485" spans="1:9" s="14" customFormat="1" ht="15" customHeight="1">
      <c r="A1485" s="10"/>
      <c r="B1485" s="15"/>
      <c r="C1485" s="11"/>
      <c r="D1485" s="12" t="str">
        <f>IF(C1485&gt;0,(VLOOKUP(C1485,'Blnct AR'!$C$2:$D$2259,2,0))," ")</f>
        <v xml:space="preserve"> </v>
      </c>
      <c r="E1485" s="12"/>
      <c r="F1485" s="20"/>
      <c r="G1485" s="13"/>
      <c r="I1485" s="37"/>
    </row>
    <row r="1486" spans="1:9" s="14" customFormat="1" ht="15" customHeight="1">
      <c r="A1486" s="10"/>
      <c r="B1486" s="15"/>
      <c r="C1486" s="11"/>
      <c r="D1486" s="12" t="str">
        <f>IF(C1486&gt;0,(VLOOKUP(C1486,'Blnct AR'!$C$2:$D$2259,2,0))," ")</f>
        <v xml:space="preserve"> </v>
      </c>
      <c r="E1486" s="12"/>
      <c r="F1486" s="20"/>
      <c r="G1486" s="13"/>
      <c r="I1486" s="37"/>
    </row>
    <row r="1487" spans="1:9" s="14" customFormat="1" ht="15" customHeight="1">
      <c r="A1487" s="10"/>
      <c r="B1487" s="15"/>
      <c r="C1487" s="11"/>
      <c r="D1487" s="12" t="str">
        <f>IF(C1487&gt;0,(VLOOKUP(C1487,'Blnct AR'!$C$2:$D$2259,2,0))," ")</f>
        <v xml:space="preserve"> </v>
      </c>
      <c r="E1487" s="12"/>
      <c r="F1487" s="20"/>
      <c r="G1487" s="13"/>
      <c r="I1487" s="37"/>
    </row>
    <row r="1488" spans="1:9" s="14" customFormat="1" ht="15" customHeight="1">
      <c r="A1488" s="10"/>
      <c r="B1488" s="15"/>
      <c r="C1488" s="11"/>
      <c r="D1488" s="12" t="str">
        <f>IF(C1488&gt;0,(VLOOKUP(C1488,'Blnct AR'!$C$2:$D$2259,2,0))," ")</f>
        <v xml:space="preserve"> </v>
      </c>
      <c r="E1488" s="12"/>
      <c r="F1488" s="20"/>
      <c r="G1488" s="13"/>
      <c r="I1488" s="37"/>
    </row>
    <row r="1489" spans="1:9" s="14" customFormat="1" ht="15" customHeight="1">
      <c r="A1489" s="10"/>
      <c r="B1489" s="15"/>
      <c r="C1489" s="11"/>
      <c r="D1489" s="12" t="str">
        <f>IF(C1489&gt;0,(VLOOKUP(C1489,'Blnct AR'!$C$2:$D$2259,2,0))," ")</f>
        <v xml:space="preserve"> </v>
      </c>
      <c r="E1489" s="12"/>
      <c r="F1489" s="20"/>
      <c r="G1489" s="13"/>
      <c r="I1489" s="37"/>
    </row>
    <row r="1490" spans="1:9" s="14" customFormat="1" ht="15" customHeight="1">
      <c r="A1490" s="10"/>
      <c r="B1490" s="15"/>
      <c r="C1490" s="11"/>
      <c r="D1490" s="12" t="str">
        <f>IF(C1490&gt;0,(VLOOKUP(C1490,'Blnct AR'!$C$2:$D$2259,2,0))," ")</f>
        <v xml:space="preserve"> </v>
      </c>
      <c r="E1490" s="12"/>
      <c r="F1490" s="20"/>
      <c r="G1490" s="13"/>
      <c r="I1490" s="37"/>
    </row>
    <row r="1491" spans="1:9" s="14" customFormat="1" ht="15" customHeight="1">
      <c r="A1491" s="10"/>
      <c r="B1491" s="15"/>
      <c r="C1491" s="11"/>
      <c r="D1491" s="12" t="str">
        <f>IF(C1491&gt;0,(VLOOKUP(C1491,'Blnct AR'!$C$2:$D$2259,2,0))," ")</f>
        <v xml:space="preserve"> </v>
      </c>
      <c r="E1491" s="12"/>
      <c r="F1491" s="20"/>
      <c r="G1491" s="13"/>
      <c r="I1491" s="37"/>
    </row>
    <row r="1492" spans="1:9" s="14" customFormat="1" ht="15" customHeight="1">
      <c r="A1492" s="10"/>
      <c r="B1492" s="15"/>
      <c r="C1492" s="11"/>
      <c r="D1492" s="12" t="str">
        <f>IF(C1492&gt;0,(VLOOKUP(C1492,'Blnct AR'!$C$2:$D$2259,2,0))," ")</f>
        <v xml:space="preserve"> </v>
      </c>
      <c r="E1492" s="12"/>
      <c r="F1492" s="20"/>
      <c r="G1492" s="13"/>
      <c r="I1492" s="37"/>
    </row>
    <row r="1493" spans="1:9" s="14" customFormat="1" ht="15" customHeight="1">
      <c r="A1493" s="10"/>
      <c r="D1493" s="12"/>
      <c r="E1493" s="45"/>
      <c r="F1493" s="46"/>
      <c r="G1493" s="46"/>
      <c r="I1493" s="37"/>
    </row>
    <row r="1494" spans="1:9" s="14" customFormat="1" ht="15" customHeight="1">
      <c r="A1494" s="10"/>
      <c r="D1494" s="12" t="str">
        <f>IF(C1494&gt;0,(VLOOKUP(C1494,'Blnct AR'!$C$2:$D$2255,2,0))," ")</f>
        <v xml:space="preserve"> </v>
      </c>
      <c r="F1494" s="19"/>
      <c r="G1494" s="19"/>
      <c r="I1494" s="37"/>
    </row>
    <row r="1495" spans="1:9" s="14" customFormat="1" ht="15" customHeight="1">
      <c r="A1495" s="10"/>
      <c r="D1495" s="12" t="str">
        <f>IF(C1495&gt;0,(VLOOKUP(C1495,'Blnct AR'!$C$2:$D$2255,2,0))," ")</f>
        <v xml:space="preserve"> </v>
      </c>
      <c r="F1495" s="19"/>
      <c r="G1495" s="19"/>
      <c r="I1495" s="37"/>
    </row>
    <row r="1496" spans="1:9" s="14" customFormat="1" ht="15" customHeight="1">
      <c r="A1496" s="10"/>
      <c r="D1496" s="12" t="str">
        <f>IF(C1496&gt;0,(VLOOKUP(C1496,'Blnct AR'!$C$2:$D$2255,2,0))," ")</f>
        <v xml:space="preserve"> </v>
      </c>
      <c r="F1496" s="19"/>
      <c r="G1496" s="19"/>
      <c r="I1496" s="37"/>
    </row>
    <row r="1497" spans="1:9" s="14" customFormat="1" ht="15" customHeight="1">
      <c r="D1497" s="12" t="str">
        <f>IF(C1497&gt;0,(VLOOKUP(C1497,'Blnct AR'!$C$2:$D$2255,2,0))," ")</f>
        <v xml:space="preserve"> </v>
      </c>
      <c r="F1497" s="19"/>
      <c r="G1497" s="19"/>
      <c r="I1497" s="37"/>
    </row>
    <row r="1498" spans="1:9" s="14" customFormat="1" ht="15" customHeight="1">
      <c r="D1498" s="12" t="str">
        <f>IF(C1498&gt;0,(VLOOKUP(C1498,'Blnct AR'!$C$2:$D$2255,2,0))," ")</f>
        <v xml:space="preserve"> </v>
      </c>
      <c r="F1498" s="19"/>
      <c r="G1498" s="19"/>
      <c r="I1498" s="37"/>
    </row>
    <row r="1499" spans="1:9" s="14" customFormat="1" ht="15" customHeight="1">
      <c r="D1499" s="12" t="str">
        <f>IF(C1499&gt;0,(VLOOKUP(C1499,'Blnct AR'!$C$2:$D$2255,2,0))," ")</f>
        <v xml:space="preserve"> </v>
      </c>
      <c r="F1499" s="19"/>
      <c r="G1499" s="19"/>
      <c r="I1499" s="37"/>
    </row>
    <row r="1500" spans="1:9" s="14" customFormat="1" ht="15" customHeight="1">
      <c r="D1500" s="12" t="str">
        <f>IF(C1500&gt;0,(VLOOKUP(C1500,'Blnct AR'!$C$2:$D$2255,2,0))," ")</f>
        <v xml:space="preserve"> </v>
      </c>
      <c r="F1500" s="19"/>
      <c r="G1500" s="19"/>
      <c r="I1500" s="37"/>
    </row>
    <row r="1501" spans="1:9" s="14" customFormat="1" ht="15" customHeight="1">
      <c r="D1501" s="12" t="str">
        <f>IF(C1501&gt;0,(VLOOKUP(C1501,'Blnct AR'!$C$2:$D$2255,2,0))," ")</f>
        <v xml:space="preserve"> </v>
      </c>
      <c r="F1501" s="19"/>
      <c r="G1501" s="19"/>
      <c r="I1501" s="37"/>
    </row>
    <row r="1502" spans="1:9" s="14" customFormat="1" ht="15" customHeight="1">
      <c r="D1502" s="12"/>
      <c r="F1502" s="19"/>
      <c r="G1502" s="19"/>
      <c r="I1502" s="37"/>
    </row>
    <row r="1503" spans="1:9" s="14" customFormat="1" ht="15" customHeight="1">
      <c r="D1503" s="12" t="str">
        <f>IF(C1503&gt;0,(VLOOKUP(C1503,'Blnct AR'!$C$2:$D$2255,2,0))," ")</f>
        <v xml:space="preserve"> </v>
      </c>
      <c r="F1503" s="19"/>
      <c r="G1503" s="19"/>
      <c r="I1503" s="37"/>
    </row>
    <row r="1504" spans="1:9" s="14" customFormat="1" ht="15" customHeight="1">
      <c r="D1504" s="12" t="str">
        <f>IF(C1504&gt;0,(VLOOKUP(C1504,'Blnct AR'!$C$2:$D$2255,2,0))," ")</f>
        <v xml:space="preserve"> </v>
      </c>
      <c r="F1504" s="19"/>
      <c r="G1504" s="19"/>
      <c r="I1504" s="37"/>
    </row>
    <row r="1505" spans="4:9" s="14" customFormat="1" ht="15" customHeight="1">
      <c r="D1505" s="12" t="str">
        <f>IF(C1505&gt;0,(VLOOKUP(C1505,'Blnct AR'!$C$2:$D$2255,2,0))," ")</f>
        <v xml:space="preserve"> </v>
      </c>
      <c r="F1505" s="19"/>
      <c r="G1505" s="19"/>
      <c r="I1505" s="37"/>
    </row>
    <row r="1506" spans="4:9" s="14" customFormat="1" ht="15" customHeight="1">
      <c r="D1506" s="12" t="str">
        <f>IF(C1506&gt;0,(VLOOKUP(C1506,'Blnct AR'!$C$2:$D$2255,2,0))," ")</f>
        <v xml:space="preserve"> </v>
      </c>
      <c r="F1506" s="19"/>
      <c r="G1506" s="19"/>
      <c r="I1506" s="37"/>
    </row>
    <row r="1507" spans="4:9" s="14" customFormat="1" ht="15" customHeight="1">
      <c r="D1507" s="12" t="str">
        <f>IF(C1507&gt;0,(VLOOKUP(C1507,'Blnct AR'!$C$2:$D$2255,2,0))," ")</f>
        <v xml:space="preserve"> </v>
      </c>
      <c r="F1507" s="19"/>
      <c r="G1507" s="19"/>
      <c r="I1507" s="37"/>
    </row>
    <row r="1508" spans="4:9" s="14" customFormat="1" ht="15" customHeight="1">
      <c r="D1508" s="12" t="str">
        <f>IF(C1508&gt;0,(VLOOKUP(C1508,'Blnct AR'!$C$2:$D$2255,2,0))," ")</f>
        <v xml:space="preserve"> </v>
      </c>
      <c r="F1508" s="19"/>
      <c r="G1508" s="19"/>
      <c r="I1508" s="37"/>
    </row>
    <row r="1509" spans="4:9" s="14" customFormat="1" ht="15" customHeight="1">
      <c r="D1509" s="12" t="str">
        <f>IF(C1509&gt;0,(VLOOKUP(C1509,'Blnct AR'!$C$2:$D$2255,2,0))," ")</f>
        <v xml:space="preserve"> </v>
      </c>
      <c r="F1509" s="19"/>
      <c r="G1509" s="19"/>
      <c r="I1509" s="37"/>
    </row>
    <row r="1510" spans="4:9" s="14" customFormat="1" ht="15" customHeight="1">
      <c r="D1510" s="12" t="str">
        <f>IF(C1510&gt;0,(VLOOKUP(C1510,'Blnct AR'!$C$2:$D$2255,2,0))," ")</f>
        <v xml:space="preserve"> </v>
      </c>
      <c r="F1510" s="19"/>
      <c r="G1510" s="19"/>
      <c r="I1510" s="37"/>
    </row>
    <row r="1511" spans="4:9" s="14" customFormat="1" ht="15" customHeight="1">
      <c r="D1511" s="12" t="str">
        <f>IF(C1511&gt;0,(VLOOKUP(C1511,'Blnct AR'!$C$2:$D$2255,2,0))," ")</f>
        <v xml:space="preserve"> </v>
      </c>
      <c r="F1511" s="19"/>
      <c r="G1511" s="19"/>
      <c r="I1511" s="37"/>
    </row>
    <row r="1512" spans="4:9" s="14" customFormat="1" ht="15" customHeight="1">
      <c r="D1512" s="12" t="str">
        <f>IF(C1512&gt;0,(VLOOKUP(C1512,'Blnct AR'!$C$2:$D$2255,2,0))," ")</f>
        <v xml:space="preserve"> </v>
      </c>
      <c r="F1512" s="19"/>
      <c r="G1512" s="19"/>
      <c r="I1512" s="37"/>
    </row>
    <row r="1513" spans="4:9" s="14" customFormat="1" ht="15" customHeight="1">
      <c r="D1513" s="12" t="str">
        <f>IF(C1513&gt;0,(VLOOKUP(C1513,'Blnct AR'!$C$2:$D$2255,2,0))," ")</f>
        <v xml:space="preserve"> </v>
      </c>
      <c r="F1513" s="19"/>
      <c r="G1513" s="19"/>
      <c r="I1513" s="37"/>
    </row>
    <row r="1514" spans="4:9" s="14" customFormat="1" ht="15" customHeight="1">
      <c r="D1514" s="12" t="str">
        <f>IF(C1514&gt;0,(VLOOKUP(C1514,'Blnct AR'!$C$2:$D$2255,2,0))," ")</f>
        <v xml:space="preserve"> </v>
      </c>
      <c r="F1514" s="19"/>
      <c r="G1514" s="19"/>
      <c r="I1514" s="37"/>
    </row>
    <row r="1515" spans="4:9" s="14" customFormat="1" ht="15" customHeight="1">
      <c r="D1515" s="12" t="str">
        <f>IF(C1515&gt;0,(VLOOKUP(C1515,'Blnct AR'!$C$2:$D$2255,2,0))," ")</f>
        <v xml:space="preserve"> </v>
      </c>
      <c r="F1515" s="19"/>
      <c r="G1515" s="19"/>
      <c r="I1515" s="37"/>
    </row>
    <row r="1516" spans="4:9" s="14" customFormat="1" ht="15" customHeight="1">
      <c r="D1516" s="12" t="str">
        <f>IF(C1516&gt;0,(VLOOKUP(C1516,'Blnct AR'!$C$2:$D$2255,2,0))," ")</f>
        <v xml:space="preserve"> </v>
      </c>
      <c r="F1516" s="19"/>
      <c r="G1516" s="19"/>
      <c r="I1516" s="37"/>
    </row>
    <row r="1517" spans="4:9" s="14" customFormat="1" ht="15" customHeight="1">
      <c r="D1517" s="12" t="str">
        <f>IF(C1517&gt;0,(VLOOKUP(C1517,'Blnct AR'!$C$2:$D$2255,2,0))," ")</f>
        <v xml:space="preserve"> </v>
      </c>
      <c r="F1517" s="19"/>
      <c r="G1517" s="19"/>
      <c r="I1517" s="37"/>
    </row>
    <row r="1518" spans="4:9" s="14" customFormat="1" ht="15" customHeight="1">
      <c r="D1518" s="12" t="str">
        <f>IF(C1518&gt;0,(VLOOKUP(C1518,'Blnct AR'!$C$2:$D$2255,2,0))," ")</f>
        <v xml:space="preserve"> </v>
      </c>
      <c r="F1518" s="19"/>
      <c r="G1518" s="19"/>
      <c r="I1518" s="37"/>
    </row>
    <row r="1519" spans="4:9" s="14" customFormat="1" ht="15" customHeight="1">
      <c r="D1519" s="12" t="str">
        <f>IF(C1519&gt;0,(VLOOKUP(C1519,'Blnct AR'!$C$2:$D$2255,2,0))," ")</f>
        <v xml:space="preserve"> </v>
      </c>
      <c r="F1519" s="19"/>
      <c r="G1519" s="19"/>
      <c r="I1519" s="37"/>
    </row>
    <row r="1520" spans="4:9" s="14" customFormat="1" ht="15" customHeight="1">
      <c r="D1520" s="12" t="str">
        <f>IF(C1520&gt;0,(VLOOKUP(C1520,'Blnct AR'!$C$2:$D$2255,2,0))," ")</f>
        <v xml:space="preserve"> </v>
      </c>
      <c r="F1520" s="19"/>
      <c r="G1520" s="19"/>
      <c r="I1520" s="37"/>
    </row>
    <row r="1521" spans="4:9" s="14" customFormat="1" ht="15" customHeight="1">
      <c r="D1521" s="12" t="str">
        <f>IF(C1521&gt;0,(VLOOKUP(C1521,'Blnct AR'!$C$2:$D$2255,2,0))," ")</f>
        <v xml:space="preserve"> </v>
      </c>
      <c r="F1521" s="19"/>
      <c r="G1521" s="19"/>
      <c r="I1521" s="37"/>
    </row>
    <row r="1522" spans="4:9" s="14" customFormat="1" ht="15" customHeight="1">
      <c r="D1522" s="12" t="str">
        <f>IF(C1522&gt;0,(VLOOKUP(C1522,'Blnct AR'!$C$2:$D$2255,2,0))," ")</f>
        <v xml:space="preserve"> </v>
      </c>
      <c r="F1522" s="19"/>
      <c r="G1522" s="19"/>
      <c r="I1522" s="37"/>
    </row>
    <row r="1523" spans="4:9" s="14" customFormat="1" ht="15" customHeight="1">
      <c r="D1523" s="12" t="str">
        <f>IF(C1523&gt;0,(VLOOKUP(C1523,'Blnct AR'!$C$2:$D$2255,2,0))," ")</f>
        <v xml:space="preserve"> </v>
      </c>
      <c r="F1523" s="19"/>
      <c r="G1523" s="19"/>
      <c r="I1523" s="37"/>
    </row>
    <row r="1524" spans="4:9" s="14" customFormat="1" ht="15" customHeight="1">
      <c r="D1524" s="12" t="str">
        <f>IF(C1524&gt;0,(VLOOKUP(C1524,'Blnct AR'!$C$2:$D$2255,2,0))," ")</f>
        <v xml:space="preserve"> </v>
      </c>
      <c r="F1524" s="19"/>
      <c r="G1524" s="19"/>
      <c r="I1524" s="37"/>
    </row>
    <row r="1525" spans="4:9" s="14" customFormat="1" ht="15" customHeight="1">
      <c r="D1525" s="12" t="str">
        <f>IF(C1525&gt;0,(VLOOKUP(C1525,'Blnct AR'!$C$2:$D$2255,2,0))," ")</f>
        <v xml:space="preserve"> </v>
      </c>
      <c r="F1525" s="19"/>
      <c r="G1525" s="19"/>
      <c r="I1525" s="37"/>
    </row>
    <row r="1526" spans="4:9" s="14" customFormat="1" ht="15" customHeight="1">
      <c r="D1526" s="12" t="str">
        <f>IF(C1526&gt;0,(VLOOKUP(C1526,'Blnct AR'!$C$2:$D$2255,2,0))," ")</f>
        <v xml:space="preserve"> </v>
      </c>
      <c r="F1526" s="19"/>
      <c r="G1526" s="19"/>
      <c r="I1526" s="37"/>
    </row>
    <row r="1527" spans="4:9" s="14" customFormat="1" ht="15" customHeight="1">
      <c r="D1527" s="12" t="str">
        <f>IF(C1527&gt;0,(VLOOKUP(C1527,'Blnct AR'!$C$2:$D$2255,2,0))," ")</f>
        <v xml:space="preserve"> </v>
      </c>
      <c r="F1527" s="19"/>
      <c r="G1527" s="19"/>
      <c r="I1527" s="37"/>
    </row>
    <row r="1528" spans="4:9" s="14" customFormat="1" ht="15" customHeight="1">
      <c r="D1528" s="12" t="str">
        <f>IF(C1528&gt;0,(VLOOKUP(C1528,'Blnct AR'!$C$2:$D$2255,2,0))," ")</f>
        <v xml:space="preserve"> </v>
      </c>
      <c r="F1528" s="19"/>
      <c r="G1528" s="19"/>
      <c r="I1528" s="37"/>
    </row>
    <row r="1529" spans="4:9" s="14" customFormat="1" ht="15" customHeight="1">
      <c r="D1529" s="12" t="str">
        <f>IF(C1529&gt;0,(VLOOKUP(C1529,'Blnct AR'!$C$2:$D$2255,2,0))," ")</f>
        <v xml:space="preserve"> </v>
      </c>
      <c r="F1529" s="19"/>
      <c r="G1529" s="19"/>
      <c r="I1529" s="37"/>
    </row>
    <row r="1530" spans="4:9" s="14" customFormat="1" ht="15" customHeight="1">
      <c r="D1530" s="12" t="str">
        <f>IF(C1530&gt;0,(VLOOKUP(C1530,'Blnct AR'!$C$2:$D$2255,2,0))," ")</f>
        <v xml:space="preserve"> </v>
      </c>
      <c r="F1530" s="19"/>
      <c r="G1530" s="19"/>
      <c r="I1530" s="37"/>
    </row>
    <row r="1531" spans="4:9" s="14" customFormat="1" ht="15" customHeight="1">
      <c r="D1531" s="12" t="str">
        <f>IF(C1531&gt;0,(VLOOKUP(C1531,'Blnct AR'!$C$2:$D$2255,2,0))," ")</f>
        <v xml:space="preserve"> </v>
      </c>
      <c r="F1531" s="19"/>
      <c r="G1531" s="19"/>
      <c r="I1531" s="37"/>
    </row>
    <row r="1532" spans="4:9" s="14" customFormat="1" ht="15" customHeight="1">
      <c r="D1532" s="12" t="str">
        <f>IF(C1532&gt;0,(VLOOKUP(C1532,'Blnct AR'!$C$2:$D$2255,2,0))," ")</f>
        <v xml:space="preserve"> </v>
      </c>
      <c r="F1532" s="19"/>
      <c r="G1532" s="19"/>
      <c r="I1532" s="37"/>
    </row>
    <row r="1533" spans="4:9" s="14" customFormat="1" ht="15" customHeight="1">
      <c r="D1533" s="12" t="str">
        <f>IF(C1533&gt;0,(VLOOKUP(C1533,'Blnct AR'!$C$2:$D$2255,2,0))," ")</f>
        <v xml:space="preserve"> </v>
      </c>
      <c r="F1533" s="19"/>
      <c r="G1533" s="19"/>
      <c r="I1533" s="37"/>
    </row>
    <row r="1534" spans="4:9" s="14" customFormat="1" ht="15" customHeight="1">
      <c r="D1534" s="12" t="str">
        <f>IF(C1534&gt;0,(VLOOKUP(C1534,'Blnct AR'!$C$2:$D$2255,2,0))," ")</f>
        <v xml:space="preserve"> </v>
      </c>
      <c r="F1534" s="19"/>
      <c r="G1534" s="19"/>
      <c r="I1534" s="37"/>
    </row>
    <row r="1535" spans="4:9" s="14" customFormat="1" ht="15" customHeight="1">
      <c r="D1535" s="12" t="str">
        <f>IF(C1535&gt;0,(VLOOKUP(C1535,'Blnct AR'!$C$2:$D$2255,2,0))," ")</f>
        <v xml:space="preserve"> </v>
      </c>
      <c r="F1535" s="19"/>
      <c r="G1535" s="19"/>
      <c r="I1535" s="37"/>
    </row>
    <row r="1536" spans="4:9" s="14" customFormat="1" ht="15" customHeight="1">
      <c r="D1536" s="12" t="str">
        <f>IF(C1536&gt;0,(VLOOKUP(C1536,'Blnct AR'!$C$2:$D$2255,2,0))," ")</f>
        <v xml:space="preserve"> </v>
      </c>
      <c r="F1536" s="19"/>
      <c r="G1536" s="19"/>
      <c r="I1536" s="37"/>
    </row>
    <row r="1537" spans="4:9" s="14" customFormat="1" ht="15" customHeight="1">
      <c r="D1537" s="12" t="str">
        <f>IF(C1537&gt;0,(VLOOKUP(C1537,'Blnct AR'!$C$2:$D$2255,2,0))," ")</f>
        <v xml:space="preserve"> </v>
      </c>
      <c r="F1537" s="19"/>
      <c r="G1537" s="19"/>
      <c r="I1537" s="37"/>
    </row>
    <row r="1538" spans="4:9" s="14" customFormat="1" ht="15" customHeight="1">
      <c r="D1538" s="12" t="str">
        <f>IF(C1538&gt;0,(VLOOKUP(C1538,'Blnct AR'!$C$2:$D$2255,2,0))," ")</f>
        <v xml:space="preserve"> </v>
      </c>
      <c r="F1538" s="19"/>
      <c r="G1538" s="19"/>
      <c r="I1538" s="37"/>
    </row>
    <row r="1539" spans="4:9" s="14" customFormat="1" ht="15" customHeight="1">
      <c r="D1539" s="12" t="str">
        <f>IF(C1539&gt;0,(VLOOKUP(C1539,'Blnct AR'!$C$2:$D$2255,2,0))," ")</f>
        <v xml:space="preserve"> </v>
      </c>
      <c r="F1539" s="19"/>
      <c r="G1539" s="19"/>
      <c r="I1539" s="37"/>
    </row>
    <row r="1540" spans="4:9" s="14" customFormat="1" ht="15" customHeight="1">
      <c r="D1540" s="12" t="str">
        <f>IF(C1540&gt;0,(VLOOKUP(C1540,'Blnct AR'!$C$2:$D$2255,2,0))," ")</f>
        <v xml:space="preserve"> </v>
      </c>
      <c r="F1540" s="19"/>
      <c r="G1540" s="19"/>
      <c r="I1540" s="37"/>
    </row>
    <row r="1541" spans="4:9" s="14" customFormat="1" ht="15" customHeight="1">
      <c r="D1541" s="12" t="str">
        <f>IF(C1541&gt;0,(VLOOKUP(C1541,'Blnct AR'!$C$2:$D$2255,2,0))," ")</f>
        <v xml:space="preserve"> </v>
      </c>
      <c r="F1541" s="19"/>
      <c r="G1541" s="19"/>
      <c r="I1541" s="37"/>
    </row>
    <row r="1542" spans="4:9" s="14" customFormat="1" ht="15" customHeight="1">
      <c r="D1542" s="12" t="str">
        <f>IF(C1542&gt;0,(VLOOKUP(C1542,'Blnct AR'!$C$2:$D$2255,2,0))," ")</f>
        <v xml:space="preserve"> </v>
      </c>
      <c r="F1542" s="19"/>
      <c r="G1542" s="19"/>
      <c r="I1542" s="37"/>
    </row>
    <row r="1543" spans="4:9" s="14" customFormat="1" ht="15" customHeight="1">
      <c r="D1543" s="12" t="str">
        <f>IF(C1543&gt;0,(VLOOKUP(C1543,'Blnct AR'!$C$2:$D$2255,2,0))," ")</f>
        <v xml:space="preserve"> </v>
      </c>
      <c r="F1543" s="19"/>
      <c r="G1543" s="19"/>
      <c r="I1543" s="37"/>
    </row>
    <row r="1544" spans="4:9" s="14" customFormat="1" ht="15" customHeight="1">
      <c r="D1544" s="12" t="str">
        <f>IF(C1544&gt;0,(VLOOKUP(C1544,'Blnct AR'!$C$2:$D$2255,2,0))," ")</f>
        <v xml:space="preserve"> </v>
      </c>
      <c r="F1544" s="19"/>
      <c r="G1544" s="19"/>
      <c r="I1544" s="37"/>
    </row>
    <row r="1545" spans="4:9" s="14" customFormat="1" ht="15" customHeight="1">
      <c r="D1545" s="12" t="str">
        <f>IF(C1545&gt;0,(VLOOKUP(C1545,'Blnct AR'!$C$2:$D$2255,2,0))," ")</f>
        <v xml:space="preserve"> </v>
      </c>
      <c r="F1545" s="19"/>
      <c r="G1545" s="19"/>
      <c r="I1545" s="37"/>
    </row>
    <row r="1546" spans="4:9" s="14" customFormat="1" ht="15" customHeight="1">
      <c r="D1546" s="12" t="str">
        <f>IF(C1546&gt;0,(VLOOKUP(C1546,'Blnct AR'!$C$2:$D$2255,2,0))," ")</f>
        <v xml:space="preserve"> </v>
      </c>
      <c r="F1546" s="19"/>
      <c r="G1546" s="19"/>
      <c r="I1546" s="37"/>
    </row>
    <row r="1547" spans="4:9" s="14" customFormat="1" ht="15" customHeight="1">
      <c r="D1547" s="12" t="str">
        <f>IF(C1547&gt;0,(VLOOKUP(C1547,'Blnct AR'!$C$2:$D$2255,2,0))," ")</f>
        <v xml:space="preserve"> </v>
      </c>
      <c r="F1547" s="19"/>
      <c r="G1547" s="19"/>
      <c r="I1547" s="37"/>
    </row>
    <row r="1548" spans="4:9" s="14" customFormat="1" ht="15" customHeight="1">
      <c r="D1548" s="12" t="str">
        <f>IF(C1548&gt;0,(VLOOKUP(C1548,'Blnct AR'!$C$2:$D$2255,2,0))," ")</f>
        <v xml:space="preserve"> </v>
      </c>
      <c r="F1548" s="19"/>
      <c r="G1548" s="19"/>
      <c r="I1548" s="37"/>
    </row>
    <row r="1549" spans="4:9" s="14" customFormat="1" ht="15" customHeight="1">
      <c r="D1549" s="12" t="str">
        <f>IF(C1549&gt;0,(VLOOKUP(C1549,'Blnct AR'!$C$2:$D$2255,2,0))," ")</f>
        <v xml:space="preserve"> </v>
      </c>
      <c r="F1549" s="19"/>
      <c r="G1549" s="19"/>
      <c r="I1549" s="37"/>
    </row>
    <row r="1550" spans="4:9" s="14" customFormat="1" ht="15" customHeight="1">
      <c r="D1550" s="12" t="str">
        <f>IF(C1550&gt;0,(VLOOKUP(C1550,'Blnct AR'!$C$2:$D$2255,2,0))," ")</f>
        <v xml:space="preserve"> </v>
      </c>
      <c r="F1550" s="19"/>
      <c r="G1550" s="19"/>
      <c r="I1550" s="37"/>
    </row>
    <row r="1551" spans="4:9" s="14" customFormat="1" ht="15" customHeight="1">
      <c r="D1551" s="12" t="str">
        <f>IF(C1551&gt;0,(VLOOKUP(C1551,'Blnct AR'!$C$2:$D$2255,2,0))," ")</f>
        <v xml:space="preserve"> </v>
      </c>
      <c r="F1551" s="19"/>
      <c r="G1551" s="19"/>
      <c r="I1551" s="37"/>
    </row>
    <row r="1552" spans="4:9" s="14" customFormat="1" ht="15" customHeight="1">
      <c r="D1552" s="12" t="str">
        <f>IF(C1552&gt;0,(VLOOKUP(C1552,'Blnct AR'!$C$2:$D$2255,2,0))," ")</f>
        <v xml:space="preserve"> </v>
      </c>
      <c r="F1552" s="19"/>
      <c r="G1552" s="19"/>
      <c r="I1552" s="37"/>
    </row>
    <row r="1553" spans="4:9" s="14" customFormat="1" ht="15" customHeight="1">
      <c r="D1553" s="12" t="str">
        <f>IF(C1553&gt;0,(VLOOKUP(C1553,'Blnct AR'!$C$2:$D$2255,2,0))," ")</f>
        <v xml:space="preserve"> </v>
      </c>
      <c r="F1553" s="19"/>
      <c r="G1553" s="19"/>
      <c r="I1553" s="37"/>
    </row>
    <row r="1554" spans="4:9" s="14" customFormat="1" ht="15" customHeight="1">
      <c r="D1554" s="12" t="str">
        <f>IF(C1554&gt;0,(VLOOKUP(C1554,'Blnct AR'!$C$2:$D$2255,2,0))," ")</f>
        <v xml:space="preserve"> </v>
      </c>
      <c r="F1554" s="19"/>
      <c r="G1554" s="19"/>
      <c r="I1554" s="37"/>
    </row>
    <row r="1555" spans="4:9" s="14" customFormat="1" ht="15" customHeight="1">
      <c r="D1555" s="12" t="str">
        <f>IF(C1555&gt;0,(VLOOKUP(C1555,'Blnct AR'!$C$2:$D$2255,2,0))," ")</f>
        <v xml:space="preserve"> </v>
      </c>
      <c r="F1555" s="19"/>
      <c r="G1555" s="19"/>
      <c r="I1555" s="37"/>
    </row>
    <row r="1556" spans="4:9" s="14" customFormat="1" ht="15" customHeight="1">
      <c r="D1556" s="12" t="str">
        <f>IF(C1556&gt;0,(VLOOKUP(C1556,'Blnct AR'!$C$2:$D$2255,2,0))," ")</f>
        <v xml:space="preserve"> </v>
      </c>
      <c r="F1556" s="19"/>
      <c r="G1556" s="19"/>
      <c r="I1556" s="37"/>
    </row>
    <row r="1557" spans="4:9" s="14" customFormat="1" ht="15" customHeight="1">
      <c r="D1557" s="12" t="str">
        <f>IF(C1557&gt;0,(VLOOKUP(C1557,'Blnct AR'!$C$2:$D$2255,2,0))," ")</f>
        <v xml:space="preserve"> </v>
      </c>
      <c r="F1557" s="19"/>
      <c r="G1557" s="19"/>
      <c r="I1557" s="37"/>
    </row>
    <row r="1558" spans="4:9" s="14" customFormat="1" ht="15" customHeight="1">
      <c r="D1558" s="12" t="str">
        <f>IF(C1558&gt;0,(VLOOKUP(C1558,'Blnct AR'!$C$2:$D$2255,2,0))," ")</f>
        <v xml:space="preserve"> </v>
      </c>
      <c r="F1558" s="19"/>
      <c r="G1558" s="19"/>
      <c r="I1558" s="37"/>
    </row>
    <row r="1559" spans="4:9" s="14" customFormat="1" ht="15" customHeight="1">
      <c r="D1559" s="12" t="str">
        <f>IF(C1559&gt;0,(VLOOKUP(C1559,'Blnct AR'!$C$2:$D$2255,2,0))," ")</f>
        <v xml:space="preserve"> </v>
      </c>
      <c r="F1559" s="19"/>
      <c r="G1559" s="19"/>
      <c r="I1559" s="37"/>
    </row>
    <row r="1560" spans="4:9" s="14" customFormat="1" ht="15" customHeight="1">
      <c r="D1560" s="12" t="str">
        <f>IF(C1560&gt;0,(VLOOKUP(C1560,'Blnct AR'!$C$2:$D$2255,2,0))," ")</f>
        <v xml:space="preserve"> </v>
      </c>
      <c r="F1560" s="19"/>
      <c r="G1560" s="19"/>
      <c r="I1560" s="37"/>
    </row>
    <row r="1561" spans="4:9" s="14" customFormat="1" ht="15" customHeight="1">
      <c r="D1561" s="12" t="str">
        <f>IF(C1561&gt;0,(VLOOKUP(C1561,'Blnct AR'!$C$2:$D$2255,2,0))," ")</f>
        <v xml:space="preserve"> </v>
      </c>
      <c r="F1561" s="19"/>
      <c r="G1561" s="19"/>
      <c r="I1561" s="37"/>
    </row>
    <row r="1562" spans="4:9" s="14" customFormat="1" ht="15" customHeight="1">
      <c r="D1562" s="12" t="str">
        <f>IF(C1562&gt;0,(VLOOKUP(C1562,'Blnct AR'!$C$2:$D$2255,2,0))," ")</f>
        <v xml:space="preserve"> </v>
      </c>
      <c r="F1562" s="19"/>
      <c r="G1562" s="19"/>
      <c r="I1562" s="37"/>
    </row>
    <row r="1563" spans="4:9" s="14" customFormat="1" ht="15" customHeight="1">
      <c r="D1563" s="12" t="str">
        <f>IF(C1563&gt;0,(VLOOKUP(C1563,'Blnct AR'!$C$2:$D$2255,2,0))," ")</f>
        <v xml:space="preserve"> </v>
      </c>
      <c r="F1563" s="19"/>
      <c r="G1563" s="19"/>
      <c r="I1563" s="37"/>
    </row>
    <row r="1564" spans="4:9" s="14" customFormat="1" ht="15" customHeight="1">
      <c r="D1564" s="12" t="str">
        <f>IF(C1564&gt;0,(VLOOKUP(C1564,'Blnct AR'!$C$2:$D$2255,2,0))," ")</f>
        <v xml:space="preserve"> </v>
      </c>
      <c r="F1564" s="19"/>
      <c r="G1564" s="19"/>
      <c r="I1564" s="37"/>
    </row>
    <row r="1565" spans="4:9" s="14" customFormat="1" ht="15" customHeight="1">
      <c r="D1565" s="12" t="str">
        <f>IF(C1565&gt;0,(VLOOKUP(C1565,'Blnct AR'!$C$2:$D$2255,2,0))," ")</f>
        <v xml:space="preserve"> </v>
      </c>
      <c r="F1565" s="19"/>
      <c r="G1565" s="19"/>
      <c r="I1565" s="37"/>
    </row>
    <row r="1566" spans="4:9" s="14" customFormat="1" ht="15" customHeight="1">
      <c r="D1566" s="12" t="str">
        <f>IF(C1566&gt;0,(VLOOKUP(C1566,'Blnct AR'!$C$2:$D$2255,2,0))," ")</f>
        <v xml:space="preserve"> </v>
      </c>
      <c r="F1566" s="19"/>
      <c r="G1566" s="19"/>
      <c r="I1566" s="37"/>
    </row>
    <row r="1567" spans="4:9" s="14" customFormat="1" ht="15" customHeight="1">
      <c r="D1567" s="12" t="str">
        <f>IF(C1567&gt;0,(VLOOKUP(C1567,'Blnct AR'!$C$2:$D$2255,2,0))," ")</f>
        <v xml:space="preserve"> </v>
      </c>
      <c r="F1567" s="19"/>
      <c r="G1567" s="19"/>
      <c r="I1567" s="37"/>
    </row>
    <row r="1568" spans="4:9" s="14" customFormat="1" ht="15" customHeight="1">
      <c r="D1568" s="12" t="str">
        <f>IF(C1568&gt;0,(VLOOKUP(C1568,'Blnct AR'!$C$2:$D$2255,2,0))," ")</f>
        <v xml:space="preserve"> </v>
      </c>
      <c r="F1568" s="19"/>
      <c r="G1568" s="19"/>
      <c r="I1568" s="37"/>
    </row>
    <row r="1569" spans="4:9" s="14" customFormat="1" ht="15" customHeight="1">
      <c r="D1569" s="12" t="str">
        <f>IF(C1569&gt;0,(VLOOKUP(C1569,'Blnct AR'!$C$2:$D$2255,2,0))," ")</f>
        <v xml:space="preserve"> </v>
      </c>
      <c r="F1569" s="19"/>
      <c r="G1569" s="19"/>
      <c r="I1569" s="37"/>
    </row>
    <row r="1570" spans="4:9" s="14" customFormat="1" ht="15" customHeight="1">
      <c r="D1570" s="12" t="str">
        <f>IF(C1570&gt;0,(VLOOKUP(C1570,'Blnct AR'!$C$2:$D$2255,2,0))," ")</f>
        <v xml:space="preserve"> </v>
      </c>
      <c r="F1570" s="19"/>
      <c r="G1570" s="19"/>
      <c r="I1570" s="37"/>
    </row>
    <row r="1571" spans="4:9" s="14" customFormat="1" ht="15" customHeight="1">
      <c r="D1571" s="12" t="str">
        <f>IF(C1571&gt;0,(VLOOKUP(C1571,'Blnct AR'!$C$2:$D$2255,2,0))," ")</f>
        <v xml:space="preserve"> </v>
      </c>
      <c r="F1571" s="19"/>
      <c r="G1571" s="19"/>
      <c r="I1571" s="37"/>
    </row>
    <row r="1572" spans="4:9" s="14" customFormat="1" ht="15" customHeight="1">
      <c r="D1572" s="12" t="str">
        <f>IF(C1572&gt;0,(VLOOKUP(C1572,'Blnct AR'!$C$2:$D$2255,2,0))," ")</f>
        <v xml:space="preserve"> </v>
      </c>
      <c r="F1572" s="19"/>
      <c r="G1572" s="19"/>
      <c r="I1572" s="37"/>
    </row>
    <row r="1573" spans="4:9" s="14" customFormat="1" ht="15" customHeight="1">
      <c r="D1573" s="12" t="str">
        <f>IF(C1573&gt;0,(VLOOKUP(C1573,'Blnct AR'!$C$2:$D$2255,2,0))," ")</f>
        <v xml:space="preserve"> </v>
      </c>
      <c r="F1573" s="19"/>
      <c r="G1573" s="19"/>
      <c r="I1573" s="37"/>
    </row>
    <row r="1574" spans="4:9" s="14" customFormat="1" ht="15" customHeight="1">
      <c r="D1574" s="12" t="str">
        <f>IF(C1574&gt;0,(VLOOKUP(C1574,'Blnct AR'!$C$2:$D$2255,2,0))," ")</f>
        <v xml:space="preserve"> </v>
      </c>
      <c r="F1574" s="19"/>
      <c r="G1574" s="19"/>
      <c r="I1574" s="37"/>
    </row>
    <row r="1575" spans="4:9" s="14" customFormat="1" ht="15" customHeight="1">
      <c r="D1575" s="12" t="str">
        <f>IF(C1575&gt;0,(VLOOKUP(C1575,'Blnct AR'!$C$2:$D$2255,2,0))," ")</f>
        <v xml:space="preserve"> </v>
      </c>
      <c r="F1575" s="19"/>
      <c r="G1575" s="19"/>
      <c r="I1575" s="37"/>
    </row>
    <row r="1576" spans="4:9" s="14" customFormat="1" ht="15" customHeight="1">
      <c r="D1576" s="12" t="str">
        <f>IF(C1576&gt;0,(VLOOKUP(C1576,'Blnct AR'!$C$2:$D$2255,2,0))," ")</f>
        <v xml:space="preserve"> </v>
      </c>
      <c r="F1576" s="19"/>
      <c r="G1576" s="19"/>
      <c r="I1576" s="37"/>
    </row>
    <row r="1577" spans="4:9" s="14" customFormat="1" ht="15" customHeight="1">
      <c r="D1577" s="12" t="str">
        <f>IF(C1577&gt;0,(VLOOKUP(C1577,'Blnct AR'!$C$2:$D$2255,2,0))," ")</f>
        <v xml:space="preserve"> </v>
      </c>
      <c r="F1577" s="19"/>
      <c r="G1577" s="19"/>
      <c r="I1577" s="37"/>
    </row>
    <row r="1578" spans="4:9" s="14" customFormat="1" ht="15" customHeight="1">
      <c r="D1578" s="12" t="str">
        <f>IF(C1578&gt;0,(VLOOKUP(C1578,'Blnct AR'!$C$2:$D$2255,2,0))," ")</f>
        <v xml:space="preserve"> </v>
      </c>
      <c r="F1578" s="19"/>
      <c r="G1578" s="19"/>
      <c r="I1578" s="37"/>
    </row>
    <row r="1579" spans="4:9" s="14" customFormat="1" ht="15" customHeight="1">
      <c r="D1579" s="12" t="str">
        <f>IF(C1579&gt;0,(VLOOKUP(C1579,'Blnct AR'!$C$2:$D$2255,2,0))," ")</f>
        <v xml:space="preserve"> </v>
      </c>
      <c r="F1579" s="19"/>
      <c r="G1579" s="19"/>
      <c r="I1579" s="37"/>
    </row>
    <row r="1580" spans="4:9" s="14" customFormat="1" ht="15" customHeight="1">
      <c r="D1580" s="12" t="str">
        <f>IF(C1580&gt;0,(VLOOKUP(C1580,'Blnct AR'!$C$2:$D$2255,2,0))," ")</f>
        <v xml:space="preserve"> </v>
      </c>
      <c r="F1580" s="19"/>
      <c r="G1580" s="19"/>
      <c r="I1580" s="37"/>
    </row>
    <row r="1581" spans="4:9" s="14" customFormat="1" ht="15" customHeight="1">
      <c r="D1581" s="12" t="str">
        <f>IF(C1581&gt;0,(VLOOKUP(C1581,'Blnct AR'!$C$2:$D$2255,2,0))," ")</f>
        <v xml:space="preserve"> </v>
      </c>
      <c r="F1581" s="19"/>
      <c r="G1581" s="19"/>
      <c r="I1581" s="37"/>
    </row>
    <row r="1582" spans="4:9" s="14" customFormat="1" ht="15" customHeight="1">
      <c r="D1582" s="12" t="str">
        <f>IF(C1582&gt;0,(VLOOKUP(C1582,'Blnct AR'!$C$2:$D$2255,2,0))," ")</f>
        <v xml:space="preserve"> </v>
      </c>
      <c r="F1582" s="19"/>
      <c r="G1582" s="19"/>
      <c r="I1582" s="37"/>
    </row>
    <row r="1583" spans="4:9" s="14" customFormat="1" ht="15" customHeight="1">
      <c r="D1583" s="12" t="str">
        <f>IF(C1583&gt;0,(VLOOKUP(C1583,'Blnct AR'!$C$2:$D$2255,2,0))," ")</f>
        <v xml:space="preserve"> </v>
      </c>
      <c r="F1583" s="19"/>
      <c r="G1583" s="19"/>
      <c r="I1583" s="37"/>
    </row>
    <row r="1584" spans="4:9" s="14" customFormat="1" ht="15" customHeight="1">
      <c r="D1584" s="12" t="str">
        <f>IF(C1584&gt;0,(VLOOKUP(C1584,'Blnct AR'!$C$2:$D$2255,2,0))," ")</f>
        <v xml:space="preserve"> </v>
      </c>
      <c r="F1584" s="19"/>
      <c r="G1584" s="19"/>
      <c r="I1584" s="37"/>
    </row>
    <row r="1585" spans="4:9" s="14" customFormat="1" ht="15" customHeight="1">
      <c r="D1585" s="12" t="str">
        <f>IF(C1585&gt;0,(VLOOKUP(C1585,'Blnct AR'!$C$2:$D$2255,2,0))," ")</f>
        <v xml:space="preserve"> </v>
      </c>
      <c r="F1585" s="19"/>
      <c r="G1585" s="19"/>
      <c r="I1585" s="37"/>
    </row>
    <row r="1586" spans="4:9" s="14" customFormat="1" ht="15" customHeight="1">
      <c r="D1586" s="12" t="str">
        <f>IF(C1586&gt;0,(VLOOKUP(C1586,'Blnct AR'!$C$2:$D$2255,2,0))," ")</f>
        <v xml:space="preserve"> </v>
      </c>
      <c r="F1586" s="19"/>
      <c r="G1586" s="19"/>
      <c r="I1586" s="37"/>
    </row>
    <row r="1587" spans="4:9" s="14" customFormat="1" ht="15" customHeight="1">
      <c r="D1587" s="12" t="str">
        <f>IF(C1587&gt;0,(VLOOKUP(C1587,'Blnct AR'!$C$2:$D$2255,2,0))," ")</f>
        <v xml:space="preserve"> </v>
      </c>
      <c r="F1587" s="19"/>
      <c r="G1587" s="19"/>
      <c r="I1587" s="37"/>
    </row>
    <row r="1588" spans="4:9" s="14" customFormat="1" ht="15" customHeight="1">
      <c r="D1588" s="12" t="str">
        <f>IF(C1588&gt;0,(VLOOKUP(C1588,'Blnct AR'!$C$2:$D$2255,2,0))," ")</f>
        <v xml:space="preserve"> </v>
      </c>
      <c r="F1588" s="19"/>
      <c r="G1588" s="19"/>
      <c r="I1588" s="37"/>
    </row>
    <row r="1589" spans="4:9" s="14" customFormat="1" ht="15" customHeight="1">
      <c r="D1589" s="12" t="str">
        <f>IF(C1589&gt;0,(VLOOKUP(C1589,'Blnct AR'!$C$2:$D$2255,2,0))," ")</f>
        <v xml:space="preserve"> </v>
      </c>
      <c r="F1589" s="19"/>
      <c r="G1589" s="19"/>
      <c r="I1589" s="37"/>
    </row>
    <row r="1590" spans="4:9" s="14" customFormat="1" ht="15" customHeight="1">
      <c r="D1590" s="12" t="str">
        <f>IF(C1590&gt;0,(VLOOKUP(C1590,'Blnct AR'!$C$2:$D$2255,2,0))," ")</f>
        <v xml:space="preserve"> </v>
      </c>
      <c r="F1590" s="19"/>
      <c r="G1590" s="19"/>
      <c r="I1590" s="37"/>
    </row>
    <row r="1591" spans="4:9" s="14" customFormat="1" ht="15" customHeight="1">
      <c r="D1591" s="12" t="str">
        <f>IF(C1591&gt;0,(VLOOKUP(C1591,'Blnct AR'!$C$2:$D$2255,2,0))," ")</f>
        <v xml:space="preserve"> </v>
      </c>
      <c r="F1591" s="19"/>
      <c r="G1591" s="19"/>
      <c r="I1591" s="37"/>
    </row>
    <row r="1592" spans="4:9" s="14" customFormat="1" ht="15" customHeight="1">
      <c r="D1592" s="12" t="str">
        <f>IF(C1592&gt;0,(VLOOKUP(C1592,'Blnct AR'!$C$2:$D$2255,2,0))," ")</f>
        <v xml:space="preserve"> </v>
      </c>
      <c r="F1592" s="19"/>
      <c r="G1592" s="19"/>
      <c r="I1592" s="37"/>
    </row>
    <row r="1593" spans="4:9" s="14" customFormat="1" ht="15" customHeight="1">
      <c r="D1593" s="12" t="str">
        <f>IF(C1593&gt;0,(VLOOKUP(C1593,'Blnct AR'!$C$2:$D$2255,2,0))," ")</f>
        <v xml:space="preserve"> </v>
      </c>
      <c r="F1593" s="19"/>
      <c r="G1593" s="19"/>
      <c r="I1593" s="37"/>
    </row>
    <row r="1594" spans="4:9" s="14" customFormat="1" ht="15" customHeight="1">
      <c r="D1594" s="12" t="str">
        <f>IF(C1594&gt;0,(VLOOKUP(C1594,'Blnct AR'!$C$2:$D$2255,2,0))," ")</f>
        <v xml:space="preserve"> </v>
      </c>
      <c r="F1594" s="19"/>
      <c r="G1594" s="19"/>
      <c r="I1594" s="37"/>
    </row>
    <row r="1595" spans="4:9" s="14" customFormat="1" ht="15" customHeight="1">
      <c r="D1595" s="12" t="str">
        <f>IF(C1595&gt;0,(VLOOKUP(C1595,'Blnct AR'!$C$2:$D$2255,2,0))," ")</f>
        <v xml:space="preserve"> </v>
      </c>
      <c r="F1595" s="19"/>
      <c r="G1595" s="19"/>
      <c r="I1595" s="37"/>
    </row>
    <row r="1596" spans="4:9" s="14" customFormat="1" ht="15" customHeight="1">
      <c r="D1596" s="12" t="str">
        <f>IF(C1596&gt;0,(VLOOKUP(C1596,'Blnct AR'!$C$2:$D$2255,2,0))," ")</f>
        <v xml:space="preserve"> </v>
      </c>
      <c r="F1596" s="19"/>
      <c r="G1596" s="19"/>
      <c r="I1596" s="37"/>
    </row>
    <row r="1597" spans="4:9" s="14" customFormat="1" ht="15" customHeight="1">
      <c r="D1597" s="12" t="str">
        <f>IF(C1597&gt;0,(VLOOKUP(C1597,'Blnct AR'!$C$2:$D$2255,2,0))," ")</f>
        <v xml:space="preserve"> </v>
      </c>
      <c r="F1597" s="19"/>
      <c r="G1597" s="19"/>
      <c r="I1597" s="37"/>
    </row>
    <row r="1598" spans="4:9" s="14" customFormat="1" ht="15" customHeight="1">
      <c r="D1598" s="12" t="str">
        <f>IF(C1598&gt;0,(VLOOKUP(C1598,'Blnct AR'!$C$2:$D$2255,2,0))," ")</f>
        <v xml:space="preserve"> </v>
      </c>
      <c r="F1598" s="19"/>
      <c r="G1598" s="19"/>
      <c r="I1598" s="37"/>
    </row>
    <row r="1599" spans="4:9" s="14" customFormat="1" ht="15" customHeight="1">
      <c r="D1599" s="12" t="str">
        <f>IF(C1599&gt;0,(VLOOKUP(C1599,'Blnct AR'!$C$2:$D$2255,2,0))," ")</f>
        <v xml:space="preserve"> </v>
      </c>
      <c r="F1599" s="19"/>
      <c r="G1599" s="19"/>
      <c r="I1599" s="37"/>
    </row>
    <row r="1600" spans="4:9" s="14" customFormat="1" ht="15" customHeight="1">
      <c r="D1600" s="12" t="str">
        <f>IF(C1600&gt;0,(VLOOKUP(C1600,'Blnct AR'!$C$2:$D$2255,2,0))," ")</f>
        <v xml:space="preserve"> </v>
      </c>
      <c r="F1600" s="19"/>
      <c r="G1600" s="19"/>
      <c r="I1600" s="37"/>
    </row>
    <row r="1601" spans="4:9" s="14" customFormat="1" ht="15" customHeight="1">
      <c r="D1601" s="12" t="str">
        <f>IF(C1601&gt;0,(VLOOKUP(C1601,'Blnct AR'!$C$2:$D$2255,2,0))," ")</f>
        <v xml:space="preserve"> </v>
      </c>
      <c r="F1601" s="19"/>
      <c r="G1601" s="19"/>
      <c r="I1601" s="37"/>
    </row>
    <row r="1602" spans="4:9" s="14" customFormat="1" ht="15" customHeight="1">
      <c r="D1602" s="12" t="str">
        <f>IF(C1602&gt;0,(VLOOKUP(C1602,'Blnct AR'!$C$2:$D$2255,2,0))," ")</f>
        <v xml:space="preserve"> </v>
      </c>
      <c r="F1602" s="19"/>
      <c r="G1602" s="19"/>
      <c r="I1602" s="37"/>
    </row>
    <row r="1603" spans="4:9" s="14" customFormat="1" ht="15" customHeight="1">
      <c r="D1603" s="12" t="str">
        <f>IF(C1603&gt;0,(VLOOKUP(C1603,'Blnct AR'!$C$2:$D$2255,2,0))," ")</f>
        <v xml:space="preserve"> </v>
      </c>
      <c r="F1603" s="19"/>
      <c r="G1603" s="19"/>
      <c r="I1603" s="37"/>
    </row>
    <row r="1604" spans="4:9" s="14" customFormat="1" ht="15" customHeight="1">
      <c r="D1604" s="12" t="str">
        <f>IF(C1604&gt;0,(VLOOKUP(C1604,'Blnct AR'!$C$2:$D$2255,2,0))," ")</f>
        <v xml:space="preserve"> </v>
      </c>
      <c r="F1604" s="19"/>
      <c r="G1604" s="19"/>
      <c r="I1604" s="37"/>
    </row>
    <row r="1605" spans="4:9" s="14" customFormat="1" ht="15" customHeight="1">
      <c r="D1605" s="12" t="str">
        <f>IF(C1605&gt;0,(VLOOKUP(C1605,'Blnct AR'!$C$2:$D$2255,2,0))," ")</f>
        <v xml:space="preserve"> </v>
      </c>
      <c r="F1605" s="19"/>
      <c r="G1605" s="19"/>
      <c r="I1605" s="37"/>
    </row>
    <row r="1606" spans="4:9" s="14" customFormat="1" ht="15" customHeight="1">
      <c r="D1606" s="12" t="str">
        <f>IF(C1606&gt;0,(VLOOKUP(C1606,'Blnct AR'!$C$2:$D$2255,2,0))," ")</f>
        <v xml:space="preserve"> </v>
      </c>
      <c r="F1606" s="19"/>
      <c r="G1606" s="19"/>
      <c r="I1606" s="37"/>
    </row>
    <row r="1607" spans="4:9" s="14" customFormat="1" ht="15" customHeight="1">
      <c r="D1607" s="12" t="str">
        <f>IF(C1607&gt;0,(VLOOKUP(C1607,'Blnct AR'!$C$2:$D$2255,2,0))," ")</f>
        <v xml:space="preserve"> </v>
      </c>
      <c r="F1607" s="19"/>
      <c r="G1607" s="19"/>
      <c r="I1607" s="37"/>
    </row>
    <row r="1608" spans="4:9" s="14" customFormat="1" ht="15" customHeight="1">
      <c r="D1608" s="12" t="str">
        <f>IF(C1608&gt;0,(VLOOKUP(C1608,'Blnct AR'!$C$2:$D$2255,2,0))," ")</f>
        <v xml:space="preserve"> </v>
      </c>
      <c r="F1608" s="19"/>
      <c r="G1608" s="19"/>
      <c r="I1608" s="37"/>
    </row>
    <row r="1609" spans="4:9" s="14" customFormat="1" ht="15" customHeight="1">
      <c r="D1609" s="12" t="str">
        <f>IF(C1609&gt;0,(VLOOKUP(C1609,'Blnct AR'!$C$2:$D$2255,2,0))," ")</f>
        <v xml:space="preserve"> </v>
      </c>
      <c r="F1609" s="19"/>
      <c r="G1609" s="19"/>
      <c r="I1609" s="37"/>
    </row>
    <row r="1610" spans="4:9" s="14" customFormat="1" ht="15" customHeight="1">
      <c r="D1610" s="12" t="str">
        <f>IF(C1610&gt;0,(VLOOKUP(C1610,'Blnct AR'!$C$2:$D$2255,2,0))," ")</f>
        <v xml:space="preserve"> </v>
      </c>
      <c r="F1610" s="19"/>
      <c r="G1610" s="19"/>
      <c r="I1610" s="37"/>
    </row>
    <row r="1611" spans="4:9" s="14" customFormat="1" ht="15" customHeight="1">
      <c r="D1611" s="12" t="str">
        <f>IF(C1611&gt;0,(VLOOKUP(C1611,'Blnct AR'!$C$2:$D$2255,2,0))," ")</f>
        <v xml:space="preserve"> </v>
      </c>
      <c r="F1611" s="19"/>
      <c r="G1611" s="19"/>
      <c r="I1611" s="37"/>
    </row>
    <row r="1612" spans="4:9" s="14" customFormat="1" ht="15" customHeight="1">
      <c r="D1612" s="12" t="str">
        <f>IF(C1612&gt;0,(VLOOKUP(C1612,'Blnct AR'!$C$2:$D$2255,2,0))," ")</f>
        <v xml:space="preserve"> </v>
      </c>
      <c r="F1612" s="19"/>
      <c r="G1612" s="19"/>
      <c r="I1612" s="37"/>
    </row>
    <row r="1613" spans="4:9" s="14" customFormat="1" ht="15" customHeight="1">
      <c r="D1613" s="12" t="str">
        <f>IF(C1613&gt;0,(VLOOKUP(C1613,'Blnct AR'!$C$2:$D$2255,2,0))," ")</f>
        <v xml:space="preserve"> </v>
      </c>
      <c r="F1613" s="19"/>
      <c r="G1613" s="19"/>
      <c r="I1613" s="37"/>
    </row>
    <row r="1614" spans="4:9" s="14" customFormat="1" ht="15" customHeight="1">
      <c r="D1614" s="12" t="str">
        <f>IF(C1614&gt;0,(VLOOKUP(C1614,'Blnct AR'!$C$2:$D$2255,2,0))," ")</f>
        <v xml:space="preserve"> </v>
      </c>
      <c r="F1614" s="19"/>
      <c r="G1614" s="19"/>
      <c r="I1614" s="37"/>
    </row>
    <row r="1615" spans="4:9" s="14" customFormat="1" ht="15" customHeight="1">
      <c r="D1615" s="12" t="str">
        <f>IF(C1615&gt;0,(VLOOKUP(C1615,'Blnct AR'!$C$2:$D$2255,2,0))," ")</f>
        <v xml:space="preserve"> </v>
      </c>
      <c r="F1615" s="19"/>
      <c r="G1615" s="19"/>
      <c r="I1615" s="37"/>
    </row>
    <row r="1616" spans="4:9" s="14" customFormat="1" ht="15" customHeight="1">
      <c r="D1616" s="12" t="str">
        <f>IF(C1616&gt;0,(VLOOKUP(C1616,'Blnct AR'!$C$2:$D$2255,2,0))," ")</f>
        <v xml:space="preserve"> </v>
      </c>
      <c r="F1616" s="19"/>
      <c r="G1616" s="19"/>
      <c r="I1616" s="37"/>
    </row>
    <row r="1617" spans="4:9" s="14" customFormat="1" ht="15" customHeight="1">
      <c r="D1617" s="12" t="str">
        <f>IF(C1617&gt;0,(VLOOKUP(C1617,'Blnct AR'!$C$2:$D$2255,2,0))," ")</f>
        <v xml:space="preserve"> </v>
      </c>
      <c r="F1617" s="19"/>
      <c r="G1617" s="19"/>
      <c r="I1617" s="37"/>
    </row>
    <row r="1618" spans="4:9" s="14" customFormat="1" ht="15" customHeight="1">
      <c r="D1618" s="12" t="str">
        <f>IF(C1618&gt;0,(VLOOKUP(C1618,'Blnct AR'!$C$2:$D$2255,2,0))," ")</f>
        <v xml:space="preserve"> </v>
      </c>
      <c r="F1618" s="19"/>
      <c r="G1618" s="19"/>
      <c r="I1618" s="37"/>
    </row>
    <row r="1619" spans="4:9" s="14" customFormat="1" ht="15" customHeight="1">
      <c r="D1619" s="12" t="str">
        <f>IF(C1619&gt;0,(VLOOKUP(C1619,'Blnct AR'!$C$2:$D$2255,2,0))," ")</f>
        <v xml:space="preserve"> </v>
      </c>
      <c r="F1619" s="19"/>
      <c r="G1619" s="19"/>
      <c r="I1619" s="37"/>
    </row>
    <row r="1620" spans="4:9" s="14" customFormat="1" ht="15" customHeight="1">
      <c r="D1620" s="12" t="str">
        <f>IF(C1620&gt;0,(VLOOKUP(C1620,'Blnct AR'!$C$2:$D$2255,2,0))," ")</f>
        <v xml:space="preserve"> </v>
      </c>
      <c r="F1620" s="19"/>
      <c r="G1620" s="19"/>
      <c r="I1620" s="37"/>
    </row>
    <row r="1621" spans="4:9" s="14" customFormat="1" ht="15" customHeight="1">
      <c r="D1621" s="12" t="str">
        <f>IF(C1621&gt;0,(VLOOKUP(C1621,'Blnct AR'!$C$2:$D$2255,2,0))," ")</f>
        <v xml:space="preserve"> </v>
      </c>
      <c r="F1621" s="19"/>
      <c r="G1621" s="19"/>
      <c r="I1621" s="37"/>
    </row>
    <row r="1622" spans="4:9" s="14" customFormat="1" ht="15" customHeight="1">
      <c r="D1622" s="12" t="str">
        <f>IF(C1622&gt;0,(VLOOKUP(C1622,'Blnct AR'!$C$2:$D$2255,2,0))," ")</f>
        <v xml:space="preserve"> </v>
      </c>
      <c r="F1622" s="19"/>
      <c r="G1622" s="19"/>
      <c r="I1622" s="37"/>
    </row>
    <row r="1623" spans="4:9" s="14" customFormat="1" ht="15" customHeight="1">
      <c r="D1623" s="12" t="str">
        <f>IF(C1623&gt;0,(VLOOKUP(C1623,'Blnct AR'!$C$2:$D$2255,2,0))," ")</f>
        <v xml:space="preserve"> </v>
      </c>
      <c r="F1623" s="19"/>
      <c r="G1623" s="19"/>
      <c r="I1623" s="37"/>
    </row>
    <row r="1624" spans="4:9" s="14" customFormat="1" ht="15" customHeight="1">
      <c r="D1624" s="12" t="str">
        <f>IF(C1624&gt;0,(VLOOKUP(C1624,'Blnct AR'!$C$2:$D$2255,2,0))," ")</f>
        <v xml:space="preserve"> </v>
      </c>
      <c r="F1624" s="19"/>
      <c r="G1624" s="19"/>
      <c r="I1624" s="37"/>
    </row>
    <row r="1625" spans="4:9" s="14" customFormat="1" ht="15" customHeight="1">
      <c r="D1625" s="12" t="str">
        <f>IF(C1625&gt;0,(VLOOKUP(C1625,'Blnct AR'!$C$2:$D$2255,2,0))," ")</f>
        <v xml:space="preserve"> </v>
      </c>
      <c r="F1625" s="19"/>
      <c r="G1625" s="19"/>
      <c r="I1625" s="37"/>
    </row>
    <row r="1626" spans="4:9" s="14" customFormat="1" ht="15" customHeight="1">
      <c r="D1626" s="12" t="str">
        <f>IF(C1626&gt;0,(VLOOKUP(C1626,'Blnct AR'!$C$2:$D$2255,2,0))," ")</f>
        <v xml:space="preserve"> </v>
      </c>
      <c r="F1626" s="19"/>
      <c r="G1626" s="19"/>
      <c r="I1626" s="37"/>
    </row>
    <row r="1627" spans="4:9" s="14" customFormat="1" ht="15" customHeight="1">
      <c r="D1627" s="12" t="str">
        <f>IF(C1627&gt;0,(VLOOKUP(C1627,'Blnct AR'!$C$2:$D$2255,2,0))," ")</f>
        <v xml:space="preserve"> </v>
      </c>
      <c r="F1627" s="19"/>
      <c r="G1627" s="19"/>
      <c r="I1627" s="37"/>
    </row>
    <row r="1628" spans="4:9" s="14" customFormat="1" ht="15" customHeight="1">
      <c r="D1628" s="12" t="str">
        <f>IF(C1628&gt;0,(VLOOKUP(C1628,'Blnct AR'!$C$2:$D$2255,2,0))," ")</f>
        <v xml:space="preserve"> </v>
      </c>
      <c r="F1628" s="19"/>
      <c r="G1628" s="19"/>
      <c r="I1628" s="37"/>
    </row>
    <row r="1629" spans="4:9" s="14" customFormat="1" ht="15" customHeight="1">
      <c r="D1629" s="12" t="str">
        <f>IF(C1629&gt;0,(VLOOKUP(C1629,'Blnct AR'!$C$2:$D$2255,2,0))," ")</f>
        <v xml:space="preserve"> </v>
      </c>
      <c r="F1629" s="19"/>
      <c r="G1629" s="19"/>
      <c r="I1629" s="37"/>
    </row>
    <row r="1630" spans="4:9" s="14" customFormat="1" ht="15" customHeight="1">
      <c r="D1630" s="12" t="str">
        <f>IF(C1630&gt;0,(VLOOKUP(C1630,'Blnct AR'!$C$2:$D$2255,2,0))," ")</f>
        <v xml:space="preserve"> </v>
      </c>
      <c r="F1630" s="19"/>
      <c r="G1630" s="19"/>
      <c r="I1630" s="37"/>
    </row>
    <row r="1631" spans="4:9" s="14" customFormat="1" ht="15" customHeight="1">
      <c r="D1631" s="12" t="str">
        <f>IF(C1631&gt;0,(VLOOKUP(C1631,'Blnct AR'!$C$2:$D$2255,2,0))," ")</f>
        <v xml:space="preserve"> </v>
      </c>
      <c r="F1631" s="19"/>
      <c r="G1631" s="19"/>
      <c r="I1631" s="37"/>
    </row>
    <row r="1632" spans="4:9" s="14" customFormat="1" ht="15" customHeight="1">
      <c r="D1632" s="12" t="str">
        <f>IF(C1632&gt;0,(VLOOKUP(C1632,'Blnct AR'!$C$2:$D$2255,2,0))," ")</f>
        <v xml:space="preserve"> </v>
      </c>
      <c r="F1632" s="19"/>
      <c r="G1632" s="19"/>
      <c r="I1632" s="37"/>
    </row>
    <row r="1633" spans="4:9" s="14" customFormat="1" ht="15" customHeight="1">
      <c r="D1633" s="12" t="str">
        <f>IF(C1633&gt;0,(VLOOKUP(C1633,'Blnct AR'!$C$2:$D$2255,2,0))," ")</f>
        <v xml:space="preserve"> </v>
      </c>
      <c r="F1633" s="19"/>
      <c r="G1633" s="19"/>
      <c r="I1633" s="37"/>
    </row>
    <row r="1634" spans="4:9" s="14" customFormat="1" ht="15" customHeight="1">
      <c r="D1634" s="12" t="str">
        <f>IF(C1634&gt;0,(VLOOKUP(C1634,'Blnct AR'!$C$2:$D$2255,2,0))," ")</f>
        <v xml:space="preserve"> </v>
      </c>
      <c r="F1634" s="19"/>
      <c r="G1634" s="19"/>
      <c r="I1634" s="37"/>
    </row>
    <row r="1635" spans="4:9" s="14" customFormat="1" ht="15" customHeight="1">
      <c r="D1635" s="12" t="str">
        <f>IF(C1635&gt;0,(VLOOKUP(C1635,'Blnct AR'!$C$2:$D$2255,2,0))," ")</f>
        <v xml:space="preserve"> </v>
      </c>
      <c r="F1635" s="19"/>
      <c r="G1635" s="19"/>
      <c r="I1635" s="37"/>
    </row>
    <row r="1636" spans="4:9" s="14" customFormat="1" ht="15" customHeight="1">
      <c r="D1636" s="12" t="str">
        <f>IF(C1636&gt;0,(VLOOKUP(C1636,'Blnct AR'!$C$2:$D$2255,2,0))," ")</f>
        <v xml:space="preserve"> </v>
      </c>
      <c r="F1636" s="19"/>
      <c r="G1636" s="19"/>
      <c r="I1636" s="37"/>
    </row>
    <row r="1637" spans="4:9" s="14" customFormat="1" ht="15" customHeight="1">
      <c r="D1637" s="12" t="str">
        <f>IF(C1637&gt;0,(VLOOKUP(C1637,'Blnct AR'!$C$2:$D$2255,2,0))," ")</f>
        <v xml:space="preserve"> </v>
      </c>
      <c r="F1637" s="19"/>
      <c r="G1637" s="19"/>
      <c r="I1637" s="37"/>
    </row>
    <row r="1638" spans="4:9" s="14" customFormat="1" ht="15" customHeight="1">
      <c r="D1638" s="12" t="str">
        <f>IF(C1638&gt;0,(VLOOKUP(C1638,'Blnct AR'!$C$2:$D$2255,2,0))," ")</f>
        <v xml:space="preserve"> </v>
      </c>
      <c r="F1638" s="19"/>
      <c r="G1638" s="19"/>
      <c r="I1638" s="37"/>
    </row>
    <row r="1639" spans="4:9" s="14" customFormat="1" ht="15" customHeight="1">
      <c r="D1639" s="12" t="str">
        <f>IF(C1639&gt;0,(VLOOKUP(C1639,'Blnct AR'!$C$2:$D$2255,2,0))," ")</f>
        <v xml:space="preserve"> </v>
      </c>
      <c r="F1639" s="19"/>
      <c r="G1639" s="19"/>
      <c r="I1639" s="37"/>
    </row>
    <row r="1640" spans="4:9" s="14" customFormat="1" ht="15" customHeight="1">
      <c r="D1640" s="12" t="str">
        <f>IF(C1640&gt;0,(VLOOKUP(C1640,'Blnct AR'!$C$2:$D$2255,2,0))," ")</f>
        <v xml:space="preserve"> </v>
      </c>
      <c r="F1640" s="19"/>
      <c r="G1640" s="19"/>
      <c r="I1640" s="37"/>
    </row>
    <row r="1641" spans="4:9" s="14" customFormat="1" ht="15" customHeight="1">
      <c r="D1641" s="12" t="str">
        <f>IF(C1641&gt;0,(VLOOKUP(C1641,'Blnct AR'!$C$2:$D$2255,2,0))," ")</f>
        <v xml:space="preserve"> </v>
      </c>
      <c r="F1641" s="19"/>
      <c r="G1641" s="19"/>
      <c r="I1641" s="37"/>
    </row>
    <row r="1642" spans="4:9" s="14" customFormat="1" ht="15" customHeight="1">
      <c r="D1642" s="12" t="str">
        <f>IF(C1642&gt;0,(VLOOKUP(C1642,'Blnct AR'!$C$2:$D$2255,2,0))," ")</f>
        <v xml:space="preserve"> </v>
      </c>
      <c r="F1642" s="19"/>
      <c r="G1642" s="19"/>
      <c r="I1642" s="37"/>
    </row>
    <row r="1643" spans="4:9" s="14" customFormat="1" ht="15" customHeight="1">
      <c r="D1643" s="12" t="str">
        <f>IF(C1643&gt;0,(VLOOKUP(C1643,'Blnct AR'!$C$2:$D$2255,2,0))," ")</f>
        <v xml:space="preserve"> </v>
      </c>
      <c r="F1643" s="19"/>
      <c r="G1643" s="19"/>
      <c r="I1643" s="37"/>
    </row>
    <row r="1644" spans="4:9" s="14" customFormat="1" ht="15" customHeight="1">
      <c r="D1644" s="12" t="str">
        <f>IF(C1644&gt;0,(VLOOKUP(C1644,'Blnct AR'!$C$2:$D$2255,2,0))," ")</f>
        <v xml:space="preserve"> </v>
      </c>
      <c r="F1644" s="19"/>
      <c r="G1644" s="19"/>
      <c r="I1644" s="37"/>
    </row>
    <row r="1645" spans="4:9" s="14" customFormat="1" ht="15" customHeight="1">
      <c r="D1645" s="12" t="str">
        <f>IF(C1645&gt;0,(VLOOKUP(C1645,'Blnct AR'!$C$2:$D$2255,2,0))," ")</f>
        <v xml:space="preserve"> </v>
      </c>
      <c r="F1645" s="19"/>
      <c r="G1645" s="19"/>
      <c r="I1645" s="37"/>
    </row>
    <row r="1646" spans="4:9" s="14" customFormat="1" ht="15" customHeight="1">
      <c r="D1646" s="12" t="str">
        <f>IF(C1646&gt;0,(VLOOKUP(C1646,'Blnct AR'!$C$2:$D$2255,2,0))," ")</f>
        <v xml:space="preserve"> </v>
      </c>
      <c r="F1646" s="19"/>
      <c r="G1646" s="19"/>
      <c r="I1646" s="37"/>
    </row>
    <row r="1647" spans="4:9" s="14" customFormat="1" ht="15" customHeight="1">
      <c r="D1647" s="12" t="str">
        <f>IF(C1647&gt;0,(VLOOKUP(C1647,'Blnct AR'!$C$2:$D$2255,2,0))," ")</f>
        <v xml:space="preserve"> </v>
      </c>
      <c r="F1647" s="19"/>
      <c r="G1647" s="19"/>
      <c r="I1647" s="37"/>
    </row>
    <row r="1648" spans="4:9" s="14" customFormat="1" ht="15" customHeight="1">
      <c r="D1648" s="12" t="str">
        <f>IF(C1648&gt;0,(VLOOKUP(C1648,'Blnct AR'!$C$2:$D$2255,2,0))," ")</f>
        <v xml:space="preserve"> </v>
      </c>
      <c r="F1648" s="19"/>
      <c r="G1648" s="19"/>
      <c r="I1648" s="37"/>
    </row>
    <row r="1649" spans="4:9" s="14" customFormat="1" ht="15" customHeight="1">
      <c r="D1649" s="12" t="str">
        <f>IF(C1649&gt;0,(VLOOKUP(C1649,'Blnct AR'!$C$2:$D$2255,2,0))," ")</f>
        <v xml:space="preserve"> </v>
      </c>
      <c r="F1649" s="19"/>
      <c r="G1649" s="19"/>
      <c r="I1649" s="37"/>
    </row>
    <row r="1650" spans="4:9" s="14" customFormat="1" ht="15" customHeight="1">
      <c r="D1650" s="12" t="str">
        <f>IF(C1650&gt;0,(VLOOKUP(C1650,'Blnct AR'!$C$2:$D$2255,2,0))," ")</f>
        <v xml:space="preserve"> </v>
      </c>
      <c r="F1650" s="19"/>
      <c r="G1650" s="19"/>
      <c r="I1650" s="37"/>
    </row>
    <row r="1651" spans="4:9" s="14" customFormat="1" ht="15" customHeight="1">
      <c r="D1651" s="12" t="str">
        <f>IF(C1651&gt;0,(VLOOKUP(C1651,'Blnct AR'!$C$2:$D$2255,2,0))," ")</f>
        <v xml:space="preserve"> </v>
      </c>
      <c r="F1651" s="19"/>
      <c r="G1651" s="19"/>
      <c r="I1651" s="37"/>
    </row>
    <row r="1652" spans="4:9" s="14" customFormat="1" ht="15" customHeight="1">
      <c r="D1652" s="12" t="str">
        <f>IF(C1652&gt;0,(VLOOKUP(C1652,'Blnct AR'!$C$2:$D$2255,2,0))," ")</f>
        <v xml:space="preserve"> </v>
      </c>
      <c r="F1652" s="19"/>
      <c r="G1652" s="19"/>
      <c r="I1652" s="37"/>
    </row>
    <row r="1653" spans="4:9" s="14" customFormat="1" ht="15" customHeight="1">
      <c r="D1653" s="12" t="str">
        <f>IF(C1653&gt;0,(VLOOKUP(C1653,'Blnct AR'!$C$2:$D$2255,2,0))," ")</f>
        <v xml:space="preserve"> </v>
      </c>
      <c r="F1653" s="19"/>
      <c r="G1653" s="19"/>
      <c r="I1653" s="37"/>
    </row>
    <row r="1654" spans="4:9" s="14" customFormat="1" ht="15" customHeight="1">
      <c r="D1654" s="12" t="str">
        <f>IF(C1654&gt;0,(VLOOKUP(C1654,'Blnct AR'!$C$2:$D$2255,2,0))," ")</f>
        <v xml:space="preserve"> </v>
      </c>
      <c r="F1654" s="19"/>
      <c r="G1654" s="19"/>
      <c r="I1654" s="37"/>
    </row>
    <row r="1655" spans="4:9" s="14" customFormat="1" ht="15" customHeight="1">
      <c r="D1655" s="12" t="str">
        <f>IF(C1655&gt;0,(VLOOKUP(C1655,'Blnct AR'!$C$2:$D$2255,2,0))," ")</f>
        <v xml:space="preserve"> </v>
      </c>
      <c r="F1655" s="19"/>
      <c r="G1655" s="19"/>
      <c r="I1655" s="37"/>
    </row>
    <row r="1656" spans="4:9" s="14" customFormat="1" ht="15" customHeight="1">
      <c r="D1656" s="12" t="str">
        <f>IF(C1656&gt;0,(VLOOKUP(C1656,'Blnct AR'!$C$2:$D$2255,2,0))," ")</f>
        <v xml:space="preserve"> </v>
      </c>
      <c r="F1656" s="19"/>
      <c r="G1656" s="19"/>
      <c r="I1656" s="37"/>
    </row>
    <row r="1657" spans="4:9" s="14" customFormat="1" ht="15" customHeight="1">
      <c r="D1657" s="12" t="str">
        <f>IF(C1657&gt;0,(VLOOKUP(C1657,'Blnct AR'!$C$2:$D$2255,2,0))," ")</f>
        <v xml:space="preserve"> </v>
      </c>
      <c r="F1657" s="19"/>
      <c r="G1657" s="19"/>
      <c r="I1657" s="37"/>
    </row>
    <row r="1658" spans="4:9" s="14" customFormat="1" ht="15" customHeight="1">
      <c r="D1658" s="12" t="str">
        <f>IF(C1658&gt;0,(VLOOKUP(C1658,'Blnct AR'!$C$2:$D$2255,2,0))," ")</f>
        <v xml:space="preserve"> </v>
      </c>
      <c r="F1658" s="19"/>
      <c r="G1658" s="19"/>
      <c r="I1658" s="37"/>
    </row>
    <row r="1659" spans="4:9" s="14" customFormat="1" ht="15" customHeight="1">
      <c r="D1659" s="12" t="str">
        <f>IF(C1659&gt;0,(VLOOKUP(C1659,'Blnct AR'!$C$2:$D$2255,2,0))," ")</f>
        <v xml:space="preserve"> </v>
      </c>
      <c r="F1659" s="19"/>
      <c r="G1659" s="19"/>
      <c r="I1659" s="37"/>
    </row>
    <row r="1660" spans="4:9" s="14" customFormat="1" ht="15" customHeight="1">
      <c r="D1660" s="12" t="str">
        <f>IF(C1660&gt;0,(VLOOKUP(C1660,'Blnct AR'!$C$2:$D$2255,2,0))," ")</f>
        <v xml:space="preserve"> </v>
      </c>
      <c r="F1660" s="19"/>
      <c r="G1660" s="19"/>
      <c r="I1660" s="37"/>
    </row>
    <row r="1661" spans="4:9" s="14" customFormat="1" ht="15" customHeight="1">
      <c r="D1661" s="12" t="str">
        <f>IF(C1661&gt;0,(VLOOKUP(C1661,'Blnct AR'!$C$2:$D$2255,2,0))," ")</f>
        <v xml:space="preserve"> </v>
      </c>
      <c r="F1661" s="19"/>
      <c r="G1661" s="19"/>
      <c r="I1661" s="37"/>
    </row>
    <row r="1662" spans="4:9" s="14" customFormat="1" ht="15" customHeight="1">
      <c r="D1662" s="12" t="str">
        <f>IF(C1662&gt;0,(VLOOKUP(C1662,'Blnct AR'!$C$2:$D$2255,2,0))," ")</f>
        <v xml:space="preserve"> </v>
      </c>
      <c r="F1662" s="19"/>
      <c r="G1662" s="19"/>
      <c r="I1662" s="37"/>
    </row>
    <row r="1663" spans="4:9" s="14" customFormat="1" ht="15" customHeight="1">
      <c r="D1663" s="12" t="str">
        <f>IF(C1663&gt;0,(VLOOKUP(C1663,'Blnct AR'!$C$2:$D$2255,2,0))," ")</f>
        <v xml:space="preserve"> </v>
      </c>
      <c r="F1663" s="19"/>
      <c r="G1663" s="19"/>
      <c r="I1663" s="37"/>
    </row>
    <row r="1664" spans="4:9" s="14" customFormat="1" ht="15" customHeight="1">
      <c r="D1664" s="12" t="str">
        <f>IF(C1664&gt;0,(VLOOKUP(C1664,'Blnct AR'!$C$2:$D$2255,2,0))," ")</f>
        <v xml:space="preserve"> </v>
      </c>
      <c r="F1664" s="19"/>
      <c r="G1664" s="19"/>
      <c r="I1664" s="37"/>
    </row>
    <row r="1665" spans="4:9" s="14" customFormat="1" ht="15" customHeight="1">
      <c r="D1665" s="12" t="str">
        <f>IF(C1665&gt;0,(VLOOKUP(C1665,'Blnct AR'!$C$2:$D$2255,2,0))," ")</f>
        <v xml:space="preserve"> </v>
      </c>
      <c r="F1665" s="19"/>
      <c r="G1665" s="19"/>
      <c r="I1665" s="37"/>
    </row>
    <row r="1666" spans="4:9" s="14" customFormat="1" ht="15" customHeight="1">
      <c r="D1666" s="12" t="str">
        <f>IF(C1666&gt;0,(VLOOKUP(C1666,'Blnct AR'!$C$2:$D$2255,2,0))," ")</f>
        <v xml:space="preserve"> </v>
      </c>
      <c r="F1666" s="19"/>
      <c r="G1666" s="19"/>
      <c r="I1666" s="37"/>
    </row>
    <row r="1667" spans="4:9" s="14" customFormat="1" ht="15" customHeight="1">
      <c r="D1667" s="12" t="str">
        <f>IF(C1667&gt;0,(VLOOKUP(C1667,'Blnct AR'!$C$2:$D$2255,2,0))," ")</f>
        <v xml:space="preserve"> </v>
      </c>
      <c r="F1667" s="19"/>
      <c r="G1667" s="19"/>
      <c r="I1667" s="37"/>
    </row>
    <row r="1668" spans="4:9" s="14" customFormat="1" ht="15" customHeight="1">
      <c r="D1668" s="12" t="str">
        <f>IF(C1668&gt;0,(VLOOKUP(C1668,'Blnct AR'!$C$2:$D$2255,2,0))," ")</f>
        <v xml:space="preserve"> </v>
      </c>
      <c r="F1668" s="19"/>
      <c r="G1668" s="19"/>
      <c r="I1668" s="37"/>
    </row>
    <row r="1669" spans="4:9" s="14" customFormat="1" ht="15" customHeight="1">
      <c r="D1669" s="12" t="str">
        <f>IF(C1669&gt;0,(VLOOKUP(C1669,'Blnct AR'!$C$2:$D$2255,2,0))," ")</f>
        <v xml:space="preserve"> </v>
      </c>
      <c r="F1669" s="19"/>
      <c r="G1669" s="19"/>
      <c r="I1669" s="37"/>
    </row>
    <row r="1670" spans="4:9" s="14" customFormat="1" ht="15" customHeight="1">
      <c r="D1670" s="12" t="str">
        <f>IF(C1670&gt;0,(VLOOKUP(C1670,'Blnct AR'!$C$2:$D$2255,2,0))," ")</f>
        <v xml:space="preserve"> </v>
      </c>
      <c r="F1670" s="19"/>
      <c r="G1670" s="19"/>
      <c r="I1670" s="37"/>
    </row>
    <row r="1671" spans="4:9" s="14" customFormat="1" ht="15" customHeight="1">
      <c r="D1671" s="12" t="str">
        <f>IF(C1671&gt;0,(VLOOKUP(C1671,'Blnct AR'!$C$2:$D$2255,2,0))," ")</f>
        <v xml:space="preserve"> </v>
      </c>
      <c r="F1671" s="19"/>
      <c r="G1671" s="19"/>
      <c r="I1671" s="37"/>
    </row>
    <row r="1672" spans="4:9" s="14" customFormat="1" ht="15" customHeight="1">
      <c r="D1672" s="12" t="str">
        <f>IF(C1672&gt;0,(VLOOKUP(C1672,'Blnct AR'!$C$2:$D$2255,2,0))," ")</f>
        <v xml:space="preserve"> </v>
      </c>
      <c r="F1672" s="19"/>
      <c r="G1672" s="19"/>
      <c r="I1672" s="37"/>
    </row>
    <row r="1673" spans="4:9" s="14" customFormat="1" ht="15" customHeight="1">
      <c r="D1673" s="12" t="str">
        <f>IF(C1673&gt;0,(VLOOKUP(C1673,'Blnct AR'!$C$2:$D$2255,2,0))," ")</f>
        <v xml:space="preserve"> </v>
      </c>
      <c r="F1673" s="19"/>
      <c r="G1673" s="19"/>
      <c r="I1673" s="37"/>
    </row>
    <row r="1674" spans="4:9" s="14" customFormat="1" ht="15" customHeight="1">
      <c r="D1674" s="12" t="str">
        <f>IF(C1674&gt;0,(VLOOKUP(C1674,'Blnct AR'!$C$2:$D$2255,2,0))," ")</f>
        <v xml:space="preserve"> </v>
      </c>
      <c r="F1674" s="19"/>
      <c r="G1674" s="19"/>
      <c r="I1674" s="37"/>
    </row>
    <row r="1675" spans="4:9" s="14" customFormat="1" ht="15" customHeight="1">
      <c r="D1675" s="12" t="str">
        <f>IF(C1675&gt;0,(VLOOKUP(C1675,'Blnct AR'!$C$2:$D$2255,2,0))," ")</f>
        <v xml:space="preserve"> </v>
      </c>
      <c r="F1675" s="19"/>
      <c r="G1675" s="19"/>
      <c r="I1675" s="37"/>
    </row>
    <row r="1676" spans="4:9" s="14" customFormat="1" ht="15" customHeight="1">
      <c r="D1676" s="12" t="str">
        <f>IF(C1676&gt;0,(VLOOKUP(C1676,'Blnct AR'!$C$2:$D$2255,2,0))," ")</f>
        <v xml:space="preserve"> </v>
      </c>
      <c r="F1676" s="19"/>
      <c r="G1676" s="19"/>
      <c r="I1676" s="37"/>
    </row>
    <row r="1677" spans="4:9" s="14" customFormat="1" ht="15" customHeight="1">
      <c r="D1677" s="12" t="str">
        <f>IF(C1677&gt;0,(VLOOKUP(C1677,'Blnct AR'!$C$2:$D$2255,2,0))," ")</f>
        <v xml:space="preserve"> </v>
      </c>
      <c r="F1677" s="19"/>
      <c r="G1677" s="19"/>
      <c r="I1677" s="37"/>
    </row>
    <row r="1678" spans="4:9" s="14" customFormat="1" ht="15" customHeight="1">
      <c r="D1678" s="12" t="str">
        <f>IF(C1678&gt;0,(VLOOKUP(C1678,'Blnct AR'!$C$2:$D$2255,2,0))," ")</f>
        <v xml:space="preserve"> </v>
      </c>
      <c r="F1678" s="19"/>
      <c r="G1678" s="19"/>
      <c r="I1678" s="37"/>
    </row>
    <row r="1679" spans="4:9" s="14" customFormat="1" ht="15" customHeight="1">
      <c r="D1679" s="12" t="str">
        <f>IF(C1679&gt;0,(VLOOKUP(C1679,'Blnct AR'!$C$2:$D$2255,2,0))," ")</f>
        <v xml:space="preserve"> </v>
      </c>
      <c r="F1679" s="19"/>
      <c r="G1679" s="19"/>
      <c r="I1679" s="37"/>
    </row>
    <row r="1680" spans="4:9" s="14" customFormat="1" ht="15" customHeight="1">
      <c r="D1680" s="12" t="str">
        <f>IF(C1680&gt;0,(VLOOKUP(C1680,'Blnct AR'!$C$2:$D$2255,2,0))," ")</f>
        <v xml:space="preserve"> </v>
      </c>
      <c r="F1680" s="19"/>
      <c r="G1680" s="19"/>
      <c r="I1680" s="37"/>
    </row>
    <row r="1681" spans="4:9" s="14" customFormat="1" ht="15" customHeight="1">
      <c r="D1681" s="12" t="str">
        <f>IF(C1681&gt;0,(VLOOKUP(C1681,'Blnct AR'!$C$2:$D$2255,2,0))," ")</f>
        <v xml:space="preserve"> </v>
      </c>
      <c r="F1681" s="19"/>
      <c r="G1681" s="19"/>
      <c r="I1681" s="37"/>
    </row>
    <row r="1682" spans="4:9" s="14" customFormat="1" ht="15" customHeight="1">
      <c r="D1682" s="12" t="str">
        <f>IF(C1682&gt;0,(VLOOKUP(C1682,'Blnct AR'!$C$2:$D$2255,2,0))," ")</f>
        <v xml:space="preserve"> </v>
      </c>
      <c r="F1682" s="19"/>
      <c r="G1682" s="19"/>
      <c r="I1682" s="37"/>
    </row>
    <row r="1683" spans="4:9" s="14" customFormat="1" ht="15" customHeight="1">
      <c r="D1683" s="12" t="str">
        <f>IF(C1683&gt;0,(VLOOKUP(C1683,'Blnct AR'!$C$2:$D$2255,2,0))," ")</f>
        <v xml:space="preserve"> </v>
      </c>
      <c r="F1683" s="19"/>
      <c r="G1683" s="19"/>
      <c r="I1683" s="37"/>
    </row>
    <row r="1684" spans="4:9" s="14" customFormat="1" ht="15" customHeight="1">
      <c r="D1684" s="12" t="str">
        <f>IF(C1684&gt;0,(VLOOKUP(C1684,'Blnct AR'!$C$2:$D$2255,2,0))," ")</f>
        <v xml:space="preserve"> </v>
      </c>
      <c r="F1684" s="19"/>
      <c r="G1684" s="19"/>
      <c r="I1684" s="37"/>
    </row>
    <row r="1685" spans="4:9" s="14" customFormat="1" ht="15" customHeight="1">
      <c r="D1685" s="12" t="str">
        <f>IF(C1685&gt;0,(VLOOKUP(C1685,'Blnct AR'!$C$2:$D$2255,2,0))," ")</f>
        <v xml:space="preserve"> </v>
      </c>
      <c r="F1685" s="19"/>
      <c r="G1685" s="19"/>
      <c r="I1685" s="37"/>
    </row>
    <row r="1686" spans="4:9" s="14" customFormat="1" ht="15" customHeight="1">
      <c r="D1686" s="12" t="str">
        <f>IF(C1686&gt;0,(VLOOKUP(C1686,'Blnct AR'!$C$2:$D$2255,2,0))," ")</f>
        <v xml:space="preserve"> </v>
      </c>
      <c r="F1686" s="19"/>
      <c r="G1686" s="19"/>
      <c r="I1686" s="37"/>
    </row>
    <row r="1687" spans="4:9" s="14" customFormat="1" ht="15" customHeight="1">
      <c r="D1687" s="12" t="str">
        <f>IF(C1687&gt;0,(VLOOKUP(C1687,'Blnct AR'!$C$2:$D$2255,2,0))," ")</f>
        <v xml:space="preserve"> </v>
      </c>
      <c r="F1687" s="19"/>
      <c r="G1687" s="19"/>
      <c r="I1687" s="37"/>
    </row>
    <row r="1688" spans="4:9" s="14" customFormat="1" ht="15" customHeight="1">
      <c r="D1688" s="12" t="str">
        <f>IF(C1688&gt;0,(VLOOKUP(C1688,'Blnct AR'!$C$2:$D$2255,2,0))," ")</f>
        <v xml:space="preserve"> </v>
      </c>
      <c r="F1688" s="19"/>
      <c r="G1688" s="19"/>
      <c r="I1688" s="37"/>
    </row>
    <row r="1689" spans="4:9" s="14" customFormat="1" ht="15" customHeight="1">
      <c r="D1689" s="12" t="str">
        <f>IF(C1689&gt;0,(VLOOKUP(C1689,'Blnct AR'!$C$2:$D$2255,2,0))," ")</f>
        <v xml:space="preserve"> </v>
      </c>
      <c r="F1689" s="19"/>
      <c r="G1689" s="19"/>
      <c r="I1689" s="37"/>
    </row>
    <row r="1690" spans="4:9" s="14" customFormat="1" ht="15" customHeight="1">
      <c r="D1690" s="12" t="str">
        <f>IF(C1690&gt;0,(VLOOKUP(C1690,'Blnct AR'!$C$2:$D$2255,2,0))," ")</f>
        <v xml:space="preserve"> </v>
      </c>
      <c r="F1690" s="19"/>
      <c r="G1690" s="19"/>
      <c r="I1690" s="37"/>
    </row>
    <row r="1691" spans="4:9" s="14" customFormat="1" ht="15" customHeight="1">
      <c r="D1691" s="12" t="str">
        <f>IF(C1691&gt;0,(VLOOKUP(C1691,'Blnct AR'!$C$2:$D$2255,2,0))," ")</f>
        <v xml:space="preserve"> </v>
      </c>
      <c r="F1691" s="19"/>
      <c r="G1691" s="19"/>
      <c r="I1691" s="37"/>
    </row>
    <row r="1692" spans="4:9" s="14" customFormat="1" ht="15" customHeight="1">
      <c r="D1692" s="12" t="str">
        <f>IF(C1692&gt;0,(VLOOKUP(C1692,'Blnct AR'!$C$2:$D$2255,2,0))," ")</f>
        <v xml:space="preserve"> </v>
      </c>
      <c r="F1692" s="19"/>
      <c r="G1692" s="19"/>
      <c r="I1692" s="37"/>
    </row>
    <row r="1693" spans="4:9" s="14" customFormat="1" ht="15" customHeight="1">
      <c r="D1693" s="12" t="str">
        <f>IF(C1693&gt;0,(VLOOKUP(C1693,'Blnct AR'!$C$2:$D$2255,2,0))," ")</f>
        <v xml:space="preserve"> </v>
      </c>
      <c r="F1693" s="19"/>
      <c r="G1693" s="19"/>
      <c r="I1693" s="37"/>
    </row>
    <row r="1694" spans="4:9" s="14" customFormat="1" ht="15" customHeight="1">
      <c r="D1694" s="12" t="str">
        <f>IF(C1694&gt;0,(VLOOKUP(C1694,'Blnct AR'!$C$2:$D$2255,2,0))," ")</f>
        <v xml:space="preserve"> </v>
      </c>
      <c r="F1694" s="19"/>
      <c r="G1694" s="19"/>
      <c r="I1694" s="37"/>
    </row>
    <row r="1695" spans="4:9" s="14" customFormat="1" ht="15" customHeight="1">
      <c r="D1695" s="12" t="str">
        <f>IF(C1695&gt;0,(VLOOKUP(C1695,'Blnct AR'!$C$2:$D$2255,2,0))," ")</f>
        <v xml:space="preserve"> </v>
      </c>
      <c r="F1695" s="19"/>
      <c r="G1695" s="19"/>
      <c r="I1695" s="37"/>
    </row>
    <row r="1696" spans="4:9" s="14" customFormat="1" ht="15" customHeight="1">
      <c r="D1696" s="12" t="str">
        <f>IF(C1696&gt;0,(VLOOKUP(C1696,'Blnct AR'!$C$2:$D$2255,2,0))," ")</f>
        <v xml:space="preserve"> </v>
      </c>
      <c r="F1696" s="19"/>
      <c r="G1696" s="19"/>
      <c r="I1696" s="37"/>
    </row>
    <row r="1697" spans="4:9" s="14" customFormat="1" ht="15" customHeight="1">
      <c r="D1697" s="12" t="str">
        <f>IF(C1697&gt;0,(VLOOKUP(C1697,'Blnct AR'!$C$2:$D$2255,2,0))," ")</f>
        <v xml:space="preserve"> </v>
      </c>
      <c r="F1697" s="19"/>
      <c r="G1697" s="19"/>
      <c r="I1697" s="37"/>
    </row>
    <row r="1698" spans="4:9" s="14" customFormat="1" ht="15" customHeight="1">
      <c r="D1698" s="12" t="str">
        <f>IF(C1698&gt;0,(VLOOKUP(C1698,'Blnct AR'!$C$2:$D$2255,2,0))," ")</f>
        <v xml:space="preserve"> </v>
      </c>
      <c r="F1698" s="19"/>
      <c r="G1698" s="19"/>
      <c r="I1698" s="37"/>
    </row>
    <row r="1699" spans="4:9" s="14" customFormat="1" ht="15" customHeight="1">
      <c r="D1699" s="12" t="str">
        <f>IF(C1699&gt;0,(VLOOKUP(C1699,'Blnct AR'!$C$2:$D$2255,2,0))," ")</f>
        <v xml:space="preserve"> </v>
      </c>
      <c r="F1699" s="19"/>
      <c r="G1699" s="19"/>
      <c r="I1699" s="37"/>
    </row>
    <row r="1700" spans="4:9" s="14" customFormat="1" ht="15" customHeight="1">
      <c r="D1700" s="12" t="str">
        <f>IF(C1700&gt;0,(VLOOKUP(C1700,'Blnct AR'!$C$2:$D$2255,2,0))," ")</f>
        <v xml:space="preserve"> </v>
      </c>
      <c r="F1700" s="19"/>
      <c r="G1700" s="19"/>
      <c r="I1700" s="37"/>
    </row>
    <row r="1701" spans="4:9" s="14" customFormat="1" ht="15" customHeight="1">
      <c r="D1701" s="12" t="str">
        <f>IF(C1701&gt;0,(VLOOKUP(C1701,'Blnct AR'!$C$2:$D$2255,2,0))," ")</f>
        <v xml:space="preserve"> </v>
      </c>
      <c r="F1701" s="19"/>
      <c r="G1701" s="19"/>
      <c r="I1701" s="37"/>
    </row>
    <row r="1702" spans="4:9" s="14" customFormat="1" ht="15" customHeight="1">
      <c r="D1702" s="12" t="str">
        <f>IF(C1702&gt;0,(VLOOKUP(C1702,'Blnct AR'!$C$2:$D$2255,2,0))," ")</f>
        <v xml:space="preserve"> </v>
      </c>
      <c r="F1702" s="19"/>
      <c r="G1702" s="19"/>
      <c r="I1702" s="37"/>
    </row>
    <row r="1703" spans="4:9" s="14" customFormat="1" ht="15" customHeight="1">
      <c r="D1703" s="12" t="str">
        <f>IF(C1703&gt;0,(VLOOKUP(C1703,'Blnct AR'!$C$2:$D$2255,2,0))," ")</f>
        <v xml:space="preserve"> </v>
      </c>
      <c r="F1703" s="19"/>
      <c r="G1703" s="19"/>
      <c r="I1703" s="37"/>
    </row>
    <row r="1704" spans="4:9" s="14" customFormat="1" ht="15" customHeight="1">
      <c r="D1704" s="12" t="str">
        <f>IF(C1704&gt;0,(VLOOKUP(C1704,'Blnct AR'!$C$2:$D$2255,2,0))," ")</f>
        <v xml:space="preserve"> </v>
      </c>
      <c r="F1704" s="19"/>
      <c r="G1704" s="19"/>
      <c r="I1704" s="37"/>
    </row>
    <row r="1705" spans="4:9" s="14" customFormat="1" ht="15" customHeight="1">
      <c r="D1705" s="12" t="str">
        <f>IF(C1705&gt;0,(VLOOKUP(C1705,'Blnct AR'!$C$2:$D$2255,2,0))," ")</f>
        <v xml:space="preserve"> </v>
      </c>
      <c r="F1705" s="19"/>
      <c r="G1705" s="19"/>
      <c r="I1705" s="37"/>
    </row>
    <row r="1706" spans="4:9" s="14" customFormat="1" ht="15" customHeight="1">
      <c r="D1706" s="12" t="str">
        <f>IF(C1706&gt;0,(VLOOKUP(C1706,'Blnct AR'!$C$2:$D$2255,2,0))," ")</f>
        <v xml:space="preserve"> </v>
      </c>
      <c r="F1706" s="19"/>
      <c r="G1706" s="19"/>
      <c r="I1706" s="37"/>
    </row>
    <row r="1707" spans="4:9" s="14" customFormat="1" ht="15" customHeight="1">
      <c r="D1707" s="12" t="str">
        <f>IF(C1707&gt;0,(VLOOKUP(C1707,'Blnct AR'!$C$2:$D$2255,2,0))," ")</f>
        <v xml:space="preserve"> </v>
      </c>
      <c r="F1707" s="19"/>
      <c r="G1707" s="19"/>
      <c r="I1707" s="37"/>
    </row>
    <row r="1708" spans="4:9" s="14" customFormat="1" ht="15" customHeight="1">
      <c r="D1708" s="12" t="str">
        <f>IF(C1708&gt;0,(VLOOKUP(C1708,'Blnct AR'!$C$2:$D$2255,2,0))," ")</f>
        <v xml:space="preserve"> </v>
      </c>
      <c r="F1708" s="19"/>
      <c r="G1708" s="19"/>
      <c r="I1708" s="37"/>
    </row>
    <row r="1709" spans="4:9" s="14" customFormat="1" ht="15" customHeight="1">
      <c r="D1709" s="12" t="str">
        <f>IF(C1709&gt;0,(VLOOKUP(C1709,'Blnct AR'!$C$2:$D$2255,2,0))," ")</f>
        <v xml:space="preserve"> </v>
      </c>
      <c r="F1709" s="19"/>
      <c r="G1709" s="19"/>
      <c r="I1709" s="37"/>
    </row>
    <row r="1710" spans="4:9" s="14" customFormat="1" ht="15" customHeight="1">
      <c r="D1710" s="12" t="str">
        <f>IF(C1710&gt;0,(VLOOKUP(C1710,'Blnct AR'!$C$2:$D$2255,2,0))," ")</f>
        <v xml:space="preserve"> </v>
      </c>
      <c r="F1710" s="19"/>
      <c r="G1710" s="19"/>
      <c r="I1710" s="37"/>
    </row>
    <row r="1711" spans="4:9" s="14" customFormat="1" ht="15" customHeight="1">
      <c r="D1711" s="12" t="str">
        <f>IF(C1711&gt;0,(VLOOKUP(C1711,'Blnct AR'!$C$2:$D$2255,2,0))," ")</f>
        <v xml:space="preserve"> </v>
      </c>
      <c r="F1711" s="19"/>
      <c r="G1711" s="19"/>
      <c r="I1711" s="37"/>
    </row>
    <row r="1712" spans="4:9" s="14" customFormat="1" ht="15" customHeight="1">
      <c r="D1712" s="12" t="str">
        <f>IF(C1712&gt;0,(VLOOKUP(C1712,'Blnct AR'!$C$2:$D$2255,2,0))," ")</f>
        <v xml:space="preserve"> </v>
      </c>
      <c r="F1712" s="19"/>
      <c r="G1712" s="19"/>
      <c r="I1712" s="37"/>
    </row>
    <row r="1713" spans="4:9" s="14" customFormat="1" ht="15" customHeight="1">
      <c r="D1713" s="12" t="str">
        <f>IF(C1713&gt;0,(VLOOKUP(C1713,'Blnct AR'!$C$2:$D$2255,2,0))," ")</f>
        <v xml:space="preserve"> </v>
      </c>
      <c r="F1713" s="19"/>
      <c r="G1713" s="19"/>
      <c r="I1713" s="37"/>
    </row>
    <row r="1714" spans="4:9" s="14" customFormat="1" ht="15" customHeight="1">
      <c r="D1714" s="12" t="str">
        <f>IF(C1714&gt;0,(VLOOKUP(C1714,'Blnct AR'!$C$2:$D$2255,2,0))," ")</f>
        <v xml:space="preserve"> </v>
      </c>
      <c r="F1714" s="19"/>
      <c r="G1714" s="19"/>
      <c r="I1714" s="37"/>
    </row>
    <row r="1715" spans="4:9" s="14" customFormat="1" ht="15" customHeight="1">
      <c r="D1715" s="12" t="str">
        <f>IF(C1715&gt;0,(VLOOKUP(C1715,'Blnct AR'!$C$2:$D$2255,2,0))," ")</f>
        <v xml:space="preserve"> </v>
      </c>
      <c r="F1715" s="19"/>
      <c r="G1715" s="19"/>
      <c r="I1715" s="37"/>
    </row>
    <row r="1716" spans="4:9" s="14" customFormat="1" ht="15" customHeight="1">
      <c r="D1716" s="12" t="str">
        <f>IF(C1716&gt;0,(VLOOKUP(C1716,'Blnct AR'!$C$2:$D$2255,2,0))," ")</f>
        <v xml:space="preserve"> </v>
      </c>
      <c r="F1716" s="19"/>
      <c r="G1716" s="19"/>
      <c r="I1716" s="37"/>
    </row>
    <row r="1717" spans="4:9" s="14" customFormat="1" ht="15" customHeight="1">
      <c r="D1717" s="12" t="str">
        <f>IF(C1717&gt;0,(VLOOKUP(C1717,'Blnct AR'!$C$2:$D$2255,2,0))," ")</f>
        <v xml:space="preserve"> </v>
      </c>
      <c r="F1717" s="19"/>
      <c r="G1717" s="19"/>
      <c r="I1717" s="37"/>
    </row>
    <row r="1718" spans="4:9" s="14" customFormat="1" ht="15" customHeight="1">
      <c r="D1718" s="12" t="str">
        <f>IF(C1718&gt;0,(VLOOKUP(C1718,'Blnct AR'!$C$2:$D$2255,2,0))," ")</f>
        <v xml:space="preserve"> </v>
      </c>
      <c r="F1718" s="19"/>
      <c r="G1718" s="19"/>
      <c r="I1718" s="37"/>
    </row>
    <row r="1719" spans="4:9" s="14" customFormat="1" ht="15" customHeight="1">
      <c r="D1719" s="12" t="str">
        <f>IF(C1719&gt;0,(VLOOKUP(C1719,'Blnct AR'!$C$2:$D$2255,2,0))," ")</f>
        <v xml:space="preserve"> </v>
      </c>
      <c r="F1719" s="19"/>
      <c r="G1719" s="19"/>
      <c r="I1719" s="37"/>
    </row>
    <row r="1720" spans="4:9" s="14" customFormat="1" ht="15" customHeight="1">
      <c r="D1720" s="12" t="str">
        <f>IF(C1720&gt;0,(VLOOKUP(C1720,'Blnct AR'!$C$2:$D$2255,2,0))," ")</f>
        <v xml:space="preserve"> </v>
      </c>
      <c r="F1720" s="19"/>
      <c r="G1720" s="19"/>
      <c r="I1720" s="37"/>
    </row>
    <row r="1721" spans="4:9" s="14" customFormat="1" ht="15" customHeight="1">
      <c r="D1721" s="12" t="str">
        <f>IF(C1721&gt;0,(VLOOKUP(C1721,'Blnct AR'!$C$2:$D$2255,2,0))," ")</f>
        <v xml:space="preserve"> </v>
      </c>
      <c r="F1721" s="19"/>
      <c r="G1721" s="19"/>
      <c r="I1721" s="37"/>
    </row>
    <row r="1722" spans="4:9" s="14" customFormat="1" ht="15" customHeight="1">
      <c r="D1722" s="12" t="str">
        <f>IF(C1722&gt;0,(VLOOKUP(C1722,'Blnct AR'!$C$2:$D$2255,2,0))," ")</f>
        <v xml:space="preserve"> </v>
      </c>
      <c r="F1722" s="19"/>
      <c r="G1722" s="19"/>
      <c r="I1722" s="37"/>
    </row>
    <row r="1723" spans="4:9" s="14" customFormat="1" ht="15" customHeight="1">
      <c r="D1723" s="12" t="str">
        <f>IF(C1723&gt;0,(VLOOKUP(C1723,'Blnct AR'!$C$2:$D$2255,2,0))," ")</f>
        <v xml:space="preserve"> </v>
      </c>
      <c r="F1723" s="19"/>
      <c r="G1723" s="19"/>
      <c r="I1723" s="37"/>
    </row>
    <row r="1724" spans="4:9" s="14" customFormat="1" ht="15" customHeight="1">
      <c r="D1724" s="12" t="str">
        <f>IF(C1724&gt;0,(VLOOKUP(C1724,'Blnct AR'!$C$2:$D$2255,2,0))," ")</f>
        <v xml:space="preserve"> </v>
      </c>
      <c r="F1724" s="19"/>
      <c r="G1724" s="19"/>
      <c r="I1724" s="37"/>
    </row>
    <row r="1725" spans="4:9" s="14" customFormat="1" ht="15" customHeight="1">
      <c r="D1725" s="12" t="str">
        <f>IF(C1725&gt;0,(VLOOKUP(C1725,'Blnct AR'!$C$2:$D$2255,2,0))," ")</f>
        <v xml:space="preserve"> </v>
      </c>
      <c r="F1725" s="19"/>
      <c r="G1725" s="19"/>
      <c r="I1725" s="37"/>
    </row>
    <row r="1726" spans="4:9" s="14" customFormat="1" ht="15" customHeight="1">
      <c r="D1726" s="12" t="str">
        <f>IF(C1726&gt;0,(VLOOKUP(C1726,'Blnct AR'!$C$2:$D$2255,2,0))," ")</f>
        <v xml:space="preserve"> </v>
      </c>
      <c r="F1726" s="19"/>
      <c r="G1726" s="19"/>
      <c r="I1726" s="37"/>
    </row>
    <row r="1727" spans="4:9" s="14" customFormat="1" ht="15" customHeight="1">
      <c r="D1727" s="12" t="str">
        <f>IF(C1727&gt;0,(VLOOKUP(C1727,'Blnct AR'!$C$2:$D$2255,2,0))," ")</f>
        <v xml:space="preserve"> </v>
      </c>
      <c r="F1727" s="19"/>
      <c r="G1727" s="19"/>
      <c r="I1727" s="37"/>
    </row>
    <row r="1728" spans="4:9" s="14" customFormat="1" ht="15" customHeight="1">
      <c r="D1728" s="12" t="str">
        <f>IF(C1728&gt;0,(VLOOKUP(C1728,'Blnct AR'!$C$2:$D$2255,2,0))," ")</f>
        <v xml:space="preserve"> </v>
      </c>
      <c r="F1728" s="19"/>
      <c r="G1728" s="19"/>
      <c r="I1728" s="37"/>
    </row>
    <row r="1729" spans="4:9" s="14" customFormat="1" ht="15" customHeight="1">
      <c r="D1729" s="12" t="str">
        <f>IF(C1729&gt;0,(VLOOKUP(C1729,'Blnct AR'!$C$2:$D$2255,2,0))," ")</f>
        <v xml:space="preserve"> </v>
      </c>
      <c r="F1729" s="19"/>
      <c r="G1729" s="19"/>
      <c r="I1729" s="37"/>
    </row>
    <row r="1730" spans="4:9" s="14" customFormat="1" ht="15" customHeight="1">
      <c r="D1730" s="12" t="str">
        <f>IF(C1730&gt;0,(VLOOKUP(C1730,'Blnct AR'!$C$2:$D$2255,2,0))," ")</f>
        <v xml:space="preserve"> </v>
      </c>
      <c r="F1730" s="19"/>
      <c r="G1730" s="19"/>
      <c r="I1730" s="37"/>
    </row>
    <row r="1731" spans="4:9" s="14" customFormat="1" ht="15" customHeight="1">
      <c r="D1731" s="12" t="str">
        <f>IF(C1731&gt;0,(VLOOKUP(C1731,'Blnct AR'!$C$2:$D$2255,2,0))," ")</f>
        <v xml:space="preserve"> </v>
      </c>
      <c r="F1731" s="19"/>
      <c r="G1731" s="19"/>
      <c r="I1731" s="37"/>
    </row>
    <row r="1732" spans="4:9" s="14" customFormat="1" ht="15" customHeight="1">
      <c r="D1732" s="12" t="str">
        <f>IF(C1732&gt;0,(VLOOKUP(C1732,'Blnct AR'!$C$2:$D$2255,2,0))," ")</f>
        <v xml:space="preserve"> </v>
      </c>
      <c r="F1732" s="19"/>
      <c r="G1732" s="19"/>
      <c r="I1732" s="37"/>
    </row>
    <row r="1733" spans="4:9" s="14" customFormat="1" ht="15" customHeight="1">
      <c r="D1733" s="12" t="str">
        <f>IF(C1733&gt;0,(VLOOKUP(C1733,'Blnct AR'!$C$2:$D$2255,2,0))," ")</f>
        <v xml:space="preserve"> </v>
      </c>
      <c r="F1733" s="19"/>
      <c r="G1733" s="19"/>
      <c r="I1733" s="37"/>
    </row>
    <row r="1734" spans="4:9" s="14" customFormat="1" ht="15" customHeight="1">
      <c r="D1734" s="12" t="str">
        <f>IF(C1734&gt;0,(VLOOKUP(C1734,'Blnct AR'!$C$2:$D$2255,2,0))," ")</f>
        <v xml:space="preserve"> </v>
      </c>
      <c r="F1734" s="19"/>
      <c r="G1734" s="19"/>
      <c r="I1734" s="37"/>
    </row>
    <row r="1735" spans="4:9" s="14" customFormat="1" ht="15" customHeight="1">
      <c r="D1735" s="12" t="str">
        <f>IF(C1735&gt;0,(VLOOKUP(C1735,'Blnct AR'!$C$2:$D$2255,2,0))," ")</f>
        <v xml:space="preserve"> </v>
      </c>
      <c r="F1735" s="19"/>
      <c r="G1735" s="19"/>
      <c r="I1735" s="37"/>
    </row>
    <row r="1736" spans="4:9" s="14" customFormat="1" ht="15" customHeight="1">
      <c r="D1736" s="12" t="str">
        <f>IF(C1736&gt;0,(VLOOKUP(C1736,'Blnct AR'!$C$2:$D$2255,2,0))," ")</f>
        <v xml:space="preserve"> </v>
      </c>
      <c r="F1736" s="19"/>
      <c r="G1736" s="19"/>
      <c r="I1736" s="37"/>
    </row>
    <row r="1737" spans="4:9" s="14" customFormat="1" ht="15" customHeight="1">
      <c r="D1737" s="12" t="str">
        <f>IF(C1737&gt;0,(VLOOKUP(C1737,'Blnct AR'!$C$2:$D$2255,2,0))," ")</f>
        <v xml:space="preserve"> </v>
      </c>
      <c r="F1737" s="19"/>
      <c r="G1737" s="19"/>
      <c r="I1737" s="37"/>
    </row>
    <row r="1738" spans="4:9" s="14" customFormat="1" ht="15" customHeight="1">
      <c r="D1738" s="12" t="str">
        <f>IF(C1738&gt;0,(VLOOKUP(C1738,'Blnct AR'!$C$2:$D$2255,2,0))," ")</f>
        <v xml:space="preserve"> </v>
      </c>
      <c r="F1738" s="19"/>
      <c r="G1738" s="19"/>
      <c r="I1738" s="37"/>
    </row>
    <row r="1739" spans="4:9" s="14" customFormat="1" ht="15" customHeight="1">
      <c r="D1739" s="12" t="str">
        <f>IF(C1739&gt;0,(VLOOKUP(C1739,'Blnct AR'!$C$2:$D$2255,2,0))," ")</f>
        <v xml:space="preserve"> </v>
      </c>
      <c r="F1739" s="19"/>
      <c r="G1739" s="19"/>
      <c r="I1739" s="37"/>
    </row>
    <row r="1740" spans="4:9" s="14" customFormat="1" ht="15" customHeight="1">
      <c r="D1740" s="12" t="str">
        <f>IF(C1740&gt;0,(VLOOKUP(C1740,'Blnct AR'!$C$2:$D$2255,2,0))," ")</f>
        <v xml:space="preserve"> </v>
      </c>
      <c r="F1740" s="19"/>
      <c r="G1740" s="19"/>
      <c r="I1740" s="37"/>
    </row>
    <row r="1741" spans="4:9" s="14" customFormat="1" ht="15" customHeight="1">
      <c r="D1741" s="12" t="str">
        <f>IF(C1741&gt;0,(VLOOKUP(C1741,'Blnct AR'!$C$2:$D$2255,2,0))," ")</f>
        <v xml:space="preserve"> </v>
      </c>
      <c r="F1741" s="19"/>
      <c r="G1741" s="19"/>
      <c r="I1741" s="37"/>
    </row>
    <row r="1742" spans="4:9" s="14" customFormat="1" ht="15" customHeight="1">
      <c r="D1742" s="12" t="str">
        <f>IF(C1742&gt;0,(VLOOKUP(C1742,'Blnct AR'!$C$2:$D$2255,2,0))," ")</f>
        <v xml:space="preserve"> </v>
      </c>
      <c r="F1742" s="19"/>
      <c r="G1742" s="19"/>
      <c r="I1742" s="37"/>
    </row>
    <row r="1743" spans="4:9" s="14" customFormat="1" ht="15" customHeight="1">
      <c r="D1743" s="12" t="str">
        <f>IF(C1743&gt;0,(VLOOKUP(C1743,'Blnct AR'!$C$2:$D$2255,2,0))," ")</f>
        <v xml:space="preserve"> </v>
      </c>
      <c r="F1743" s="19"/>
      <c r="G1743" s="19"/>
      <c r="I1743" s="37"/>
    </row>
    <row r="1744" spans="4:9" s="14" customFormat="1" ht="15" customHeight="1">
      <c r="D1744" s="12" t="str">
        <f>IF(C1744&gt;0,(VLOOKUP(C1744,'Blnct AR'!$C$2:$D$2255,2,0))," ")</f>
        <v xml:space="preserve"> </v>
      </c>
      <c r="F1744" s="19"/>
      <c r="G1744" s="19"/>
      <c r="I1744" s="37"/>
    </row>
    <row r="1745" spans="4:9" s="14" customFormat="1" ht="15" customHeight="1">
      <c r="D1745" s="12" t="str">
        <f>IF(C1745&gt;0,(VLOOKUP(C1745,'Blnct AR'!$C$2:$D$2255,2,0))," ")</f>
        <v xml:space="preserve"> </v>
      </c>
      <c r="F1745" s="19"/>
      <c r="G1745" s="19"/>
      <c r="I1745" s="37"/>
    </row>
    <row r="1746" spans="4:9" s="14" customFormat="1" ht="15" customHeight="1">
      <c r="D1746" s="12" t="str">
        <f>IF(C1746&gt;0,(VLOOKUP(C1746,'Blnct AR'!$C$2:$D$2255,2,0))," ")</f>
        <v xml:space="preserve"> </v>
      </c>
      <c r="F1746" s="19"/>
      <c r="G1746" s="19"/>
      <c r="I1746" s="37"/>
    </row>
    <row r="1747" spans="4:9" s="14" customFormat="1" ht="15" customHeight="1">
      <c r="D1747" s="12" t="str">
        <f>IF(C1747&gt;0,(VLOOKUP(C1747,'Blnct AR'!$C$2:$D$2255,2,0))," ")</f>
        <v xml:space="preserve"> </v>
      </c>
      <c r="F1747" s="19"/>
      <c r="G1747" s="19"/>
      <c r="I1747" s="37"/>
    </row>
    <row r="1748" spans="4:9" s="14" customFormat="1" ht="15" customHeight="1">
      <c r="D1748" s="12" t="str">
        <f>IF(C1748&gt;0,(VLOOKUP(C1748,'Blnct AR'!$C$2:$D$2255,2,0))," ")</f>
        <v xml:space="preserve"> </v>
      </c>
      <c r="F1748" s="19"/>
      <c r="G1748" s="19"/>
      <c r="I1748" s="37"/>
    </row>
    <row r="1749" spans="4:9" s="14" customFormat="1" ht="15" customHeight="1">
      <c r="D1749" s="12" t="str">
        <f>IF(C1749&gt;0,(VLOOKUP(C1749,'Blnct AR'!$C$2:$D$2255,2,0))," ")</f>
        <v xml:space="preserve"> </v>
      </c>
      <c r="F1749" s="19"/>
      <c r="G1749" s="19"/>
      <c r="I1749" s="37"/>
    </row>
    <row r="1750" spans="4:9" s="14" customFormat="1" ht="15" customHeight="1">
      <c r="D1750" s="12" t="str">
        <f>IF(C1750&gt;0,(VLOOKUP(C1750,'Blnct AR'!$C$2:$D$2255,2,0))," ")</f>
        <v xml:space="preserve"> </v>
      </c>
      <c r="F1750" s="19"/>
      <c r="G1750" s="19"/>
      <c r="I1750" s="37"/>
    </row>
    <row r="1751" spans="4:9" s="14" customFormat="1" ht="15" customHeight="1">
      <c r="D1751" s="12" t="str">
        <f>IF(C1751&gt;0,(VLOOKUP(C1751,'Blnct AR'!$C$2:$D$2255,2,0))," ")</f>
        <v xml:space="preserve"> </v>
      </c>
      <c r="F1751" s="19"/>
      <c r="G1751" s="19"/>
      <c r="I1751" s="37"/>
    </row>
    <row r="1752" spans="4:9" s="14" customFormat="1" ht="15" customHeight="1">
      <c r="D1752" s="12" t="str">
        <f>IF(C1752&gt;0,(VLOOKUP(C1752,'Blnct AR'!$C$2:$D$2255,2,0))," ")</f>
        <v xml:space="preserve"> </v>
      </c>
      <c r="F1752" s="19"/>
      <c r="G1752" s="19"/>
      <c r="I1752" s="37"/>
    </row>
    <row r="1753" spans="4:9" s="14" customFormat="1" ht="15" customHeight="1">
      <c r="D1753" s="12" t="str">
        <f>IF(C1753&gt;0,(VLOOKUP(C1753,'Blnct AR'!$C$2:$D$2255,2,0))," ")</f>
        <v xml:space="preserve"> </v>
      </c>
      <c r="F1753" s="19"/>
      <c r="G1753" s="19"/>
      <c r="I1753" s="37"/>
    </row>
    <row r="1754" spans="4:9" s="14" customFormat="1" ht="15" customHeight="1">
      <c r="D1754" s="12" t="str">
        <f>IF(C1754&gt;0,(VLOOKUP(C1754,'Blnct AR'!$C$2:$D$2255,2,0))," ")</f>
        <v xml:space="preserve"> </v>
      </c>
      <c r="F1754" s="19"/>
      <c r="G1754" s="19"/>
      <c r="I1754" s="37"/>
    </row>
    <row r="1755" spans="4:9" s="14" customFormat="1" ht="15" customHeight="1">
      <c r="D1755" s="12" t="str">
        <f>IF(C1755&gt;0,(VLOOKUP(C1755,'Blnct AR'!$C$2:$D$2255,2,0))," ")</f>
        <v xml:space="preserve"> </v>
      </c>
      <c r="F1755" s="19"/>
      <c r="G1755" s="19"/>
      <c r="I1755" s="37"/>
    </row>
    <row r="1756" spans="4:9" s="14" customFormat="1" ht="15" customHeight="1">
      <c r="D1756" s="12" t="str">
        <f>IF(C1756&gt;0,(VLOOKUP(C1756,'Blnct AR'!$C$2:$D$2255,2,0))," ")</f>
        <v xml:space="preserve"> </v>
      </c>
      <c r="F1756" s="19"/>
      <c r="G1756" s="19"/>
      <c r="I1756" s="37"/>
    </row>
    <row r="1757" spans="4:9" s="14" customFormat="1" ht="15" customHeight="1">
      <c r="D1757" s="12" t="str">
        <f>IF(C1757&gt;0,(VLOOKUP(C1757,'Blnct AR'!$C$2:$D$2255,2,0))," ")</f>
        <v xml:space="preserve"> </v>
      </c>
      <c r="F1757" s="19"/>
      <c r="G1757" s="19"/>
      <c r="I1757" s="37"/>
    </row>
    <row r="1758" spans="4:9" s="14" customFormat="1" ht="15" customHeight="1">
      <c r="D1758" s="12" t="str">
        <f>IF(C1758&gt;0,(VLOOKUP(C1758,'Blnct AR'!$C$2:$D$2255,2,0))," ")</f>
        <v xml:space="preserve"> </v>
      </c>
      <c r="F1758" s="19"/>
      <c r="G1758" s="19"/>
      <c r="I1758" s="37"/>
    </row>
    <row r="1759" spans="4:9" s="14" customFormat="1" ht="15" customHeight="1">
      <c r="D1759" s="12" t="str">
        <f>IF(C1759&gt;0,(VLOOKUP(C1759,'Blnct AR'!$C$2:$D$2255,2,0))," ")</f>
        <v xml:space="preserve"> </v>
      </c>
      <c r="F1759" s="19"/>
      <c r="G1759" s="19"/>
      <c r="I1759" s="37"/>
    </row>
    <row r="1760" spans="4:9" s="14" customFormat="1" ht="15" customHeight="1">
      <c r="D1760" s="12" t="str">
        <f>IF(C1760&gt;0,(VLOOKUP(C1760,'Blnct AR'!$C$2:$D$2255,2,0))," ")</f>
        <v xml:space="preserve"> </v>
      </c>
      <c r="F1760" s="19"/>
      <c r="G1760" s="19"/>
      <c r="I1760" s="37"/>
    </row>
    <row r="1761" spans="4:9" s="14" customFormat="1" ht="15" customHeight="1">
      <c r="D1761" s="12" t="str">
        <f>IF(C1761&gt;0,(VLOOKUP(C1761,'Blnct AR'!$C$2:$D$2255,2,0))," ")</f>
        <v xml:space="preserve"> </v>
      </c>
      <c r="F1761" s="19"/>
      <c r="G1761" s="19"/>
      <c r="I1761" s="37"/>
    </row>
    <row r="1762" spans="4:9" s="14" customFormat="1" ht="15" customHeight="1">
      <c r="D1762" s="12" t="str">
        <f>IF(C1762&gt;0,(VLOOKUP(C1762,'Blnct AR'!$C$2:$D$2255,2,0))," ")</f>
        <v xml:space="preserve"> </v>
      </c>
      <c r="F1762" s="19"/>
      <c r="G1762" s="19"/>
      <c r="I1762" s="37"/>
    </row>
    <row r="1763" spans="4:9" s="14" customFormat="1" ht="15" customHeight="1">
      <c r="D1763" s="12" t="str">
        <f>IF(C1763&gt;0,(VLOOKUP(C1763,'Blnct AR'!$C$2:$D$2255,2,0))," ")</f>
        <v xml:space="preserve"> </v>
      </c>
      <c r="F1763" s="19"/>
      <c r="G1763" s="19"/>
      <c r="I1763" s="37"/>
    </row>
    <row r="1764" spans="4:9" s="14" customFormat="1" ht="15" customHeight="1">
      <c r="D1764" s="12" t="str">
        <f>IF(C1764&gt;0,(VLOOKUP(C1764,'Blnct AR'!$C$2:$D$2255,2,0))," ")</f>
        <v xml:space="preserve"> </v>
      </c>
      <c r="F1764" s="19"/>
      <c r="G1764" s="19"/>
      <c r="I1764" s="37"/>
    </row>
    <row r="1765" spans="4:9" s="14" customFormat="1" ht="15" customHeight="1">
      <c r="D1765" s="12" t="str">
        <f>IF(C1765&gt;0,(VLOOKUP(C1765,'Blnct AR'!$C$2:$D$2255,2,0))," ")</f>
        <v xml:space="preserve"> </v>
      </c>
      <c r="F1765" s="19"/>
      <c r="G1765" s="19"/>
      <c r="I1765" s="37"/>
    </row>
    <row r="1766" spans="4:9" s="14" customFormat="1" ht="15" customHeight="1">
      <c r="D1766" s="12" t="str">
        <f>IF(C1766&gt;0,(VLOOKUP(C1766,'Blnct AR'!$C$2:$D$2255,2,0))," ")</f>
        <v xml:space="preserve"> </v>
      </c>
      <c r="F1766" s="19"/>
      <c r="G1766" s="19"/>
      <c r="I1766" s="37"/>
    </row>
    <row r="1767" spans="4:9" s="14" customFormat="1" ht="15" customHeight="1">
      <c r="D1767" s="12" t="str">
        <f>IF(C1767&gt;0,(VLOOKUP(C1767,'Blnct AR'!$C$2:$D$2255,2,0))," ")</f>
        <v xml:space="preserve"> </v>
      </c>
      <c r="F1767" s="19"/>
      <c r="G1767" s="19"/>
      <c r="I1767" s="37"/>
    </row>
    <row r="1768" spans="4:9" s="14" customFormat="1" ht="15" customHeight="1">
      <c r="D1768" s="12" t="str">
        <f>IF(C1768&gt;0,(VLOOKUP(C1768,'Blnct AR'!$C$2:$D$2255,2,0))," ")</f>
        <v xml:space="preserve"> </v>
      </c>
      <c r="F1768" s="19"/>
      <c r="G1768" s="19"/>
      <c r="I1768" s="37"/>
    </row>
    <row r="1769" spans="4:9" s="14" customFormat="1" ht="15" customHeight="1">
      <c r="D1769" s="12" t="str">
        <f>IF(C1769&gt;0,(VLOOKUP(C1769,'Blnct AR'!$C$2:$D$2255,2,0))," ")</f>
        <v xml:space="preserve"> </v>
      </c>
      <c r="F1769" s="19"/>
      <c r="G1769" s="19"/>
      <c r="I1769" s="37"/>
    </row>
    <row r="1770" spans="4:9" s="14" customFormat="1" ht="15" customHeight="1">
      <c r="D1770" s="12" t="str">
        <f>IF(C1770&gt;0,(VLOOKUP(C1770,'Blnct AR'!$C$2:$D$2255,2,0))," ")</f>
        <v xml:space="preserve"> </v>
      </c>
      <c r="F1770" s="19"/>
      <c r="G1770" s="19"/>
      <c r="I1770" s="37"/>
    </row>
    <row r="1771" spans="4:9" s="14" customFormat="1" ht="15" customHeight="1">
      <c r="D1771" s="12" t="str">
        <f>IF(C1771&gt;0,(VLOOKUP(C1771,'Blnct AR'!$C$2:$D$2255,2,0))," ")</f>
        <v xml:space="preserve"> </v>
      </c>
      <c r="F1771" s="19"/>
      <c r="G1771" s="19"/>
      <c r="I1771" s="37"/>
    </row>
    <row r="1772" spans="4:9" s="14" customFormat="1" ht="15" customHeight="1">
      <c r="D1772" s="12" t="str">
        <f>IF(C1772&gt;0,(VLOOKUP(C1772,'Blnct AR'!$C$2:$D$2255,2,0))," ")</f>
        <v xml:space="preserve"> </v>
      </c>
      <c r="F1772" s="19"/>
      <c r="G1772" s="19"/>
      <c r="I1772" s="37"/>
    </row>
    <row r="1773" spans="4:9" s="14" customFormat="1" ht="15" customHeight="1">
      <c r="D1773" s="12" t="str">
        <f>IF(C1773&gt;0,(VLOOKUP(C1773,'Blnct AR'!$C$2:$D$2255,2,0))," ")</f>
        <v xml:space="preserve"> </v>
      </c>
      <c r="F1773" s="19"/>
      <c r="G1773" s="19"/>
      <c r="I1773" s="37"/>
    </row>
    <row r="1774" spans="4:9" s="14" customFormat="1" ht="15" customHeight="1">
      <c r="D1774" s="12" t="str">
        <f>IF(C1774&gt;0,(VLOOKUP(C1774,'Blnct AR'!$C$2:$D$2255,2,0))," ")</f>
        <v xml:space="preserve"> </v>
      </c>
      <c r="F1774" s="19"/>
      <c r="G1774" s="19"/>
      <c r="I1774" s="37"/>
    </row>
    <row r="1775" spans="4:9" s="14" customFormat="1" ht="15" customHeight="1">
      <c r="D1775" s="12" t="str">
        <f>IF(C1775&gt;0,(VLOOKUP(C1775,'Blnct AR'!$C$2:$D$2255,2,0))," ")</f>
        <v xml:space="preserve"> </v>
      </c>
      <c r="F1775" s="19"/>
      <c r="G1775" s="19"/>
      <c r="I1775" s="37"/>
    </row>
    <row r="1776" spans="4:9" s="14" customFormat="1" ht="15" customHeight="1">
      <c r="D1776" s="12" t="str">
        <f>IF(C1776&gt;0,(VLOOKUP(C1776,'Blnct AR'!$C$2:$D$2255,2,0))," ")</f>
        <v xml:space="preserve"> </v>
      </c>
      <c r="F1776" s="19"/>
      <c r="G1776" s="19"/>
      <c r="I1776" s="37"/>
    </row>
    <row r="1777" spans="4:9" s="14" customFormat="1" ht="15" customHeight="1">
      <c r="D1777" s="12" t="str">
        <f>IF(C1777&gt;0,(VLOOKUP(C1777,'Blnct AR'!$C$2:$D$2255,2,0))," ")</f>
        <v xml:space="preserve"> </v>
      </c>
      <c r="F1777" s="19"/>
      <c r="G1777" s="19"/>
      <c r="I1777" s="37"/>
    </row>
    <row r="1778" spans="4:9" s="14" customFormat="1" ht="15" customHeight="1">
      <c r="D1778" s="12" t="str">
        <f>IF(C1778&gt;0,(VLOOKUP(C1778,'Blnct AR'!$C$2:$D$2255,2,0))," ")</f>
        <v xml:space="preserve"> </v>
      </c>
      <c r="F1778" s="19"/>
      <c r="G1778" s="19"/>
      <c r="I1778" s="37"/>
    </row>
    <row r="1779" spans="4:9" s="14" customFormat="1" ht="15" customHeight="1">
      <c r="D1779" s="12" t="str">
        <f>IF(C1779&gt;0,(VLOOKUP(C1779,'Blnct AR'!$C$2:$D$2255,2,0))," ")</f>
        <v xml:space="preserve"> </v>
      </c>
      <c r="F1779" s="19"/>
      <c r="G1779" s="19"/>
      <c r="I1779" s="37"/>
    </row>
    <row r="1780" spans="4:9" s="14" customFormat="1" ht="15" customHeight="1">
      <c r="D1780" s="12" t="str">
        <f>IF(C1780&gt;0,(VLOOKUP(C1780,'Blnct AR'!$C$2:$D$2255,2,0))," ")</f>
        <v xml:space="preserve"> </v>
      </c>
      <c r="F1780" s="19"/>
      <c r="G1780" s="19"/>
      <c r="I1780" s="37"/>
    </row>
    <row r="1781" spans="4:9" s="14" customFormat="1" ht="15" customHeight="1">
      <c r="D1781" s="12" t="str">
        <f>IF(C1781&gt;0,(VLOOKUP(C1781,'Blnct AR'!$C$2:$D$2255,2,0))," ")</f>
        <v xml:space="preserve"> </v>
      </c>
      <c r="F1781" s="19"/>
      <c r="G1781" s="19"/>
      <c r="I1781" s="37"/>
    </row>
    <row r="1782" spans="4:9" s="14" customFormat="1" ht="15" customHeight="1">
      <c r="D1782" s="12" t="str">
        <f>IF(C1782&gt;0,(VLOOKUP(C1782,'Blnct AR'!$C$2:$D$2255,2,0))," ")</f>
        <v xml:space="preserve"> </v>
      </c>
      <c r="F1782" s="19"/>
      <c r="G1782" s="19"/>
      <c r="I1782" s="37"/>
    </row>
    <row r="1783" spans="4:9" s="14" customFormat="1" ht="15" customHeight="1">
      <c r="D1783" s="12" t="str">
        <f>IF(C1783&gt;0,(VLOOKUP(C1783,'Blnct AR'!$C$2:$D$2255,2,0))," ")</f>
        <v xml:space="preserve"> </v>
      </c>
      <c r="F1783" s="19"/>
      <c r="G1783" s="19"/>
      <c r="I1783" s="37"/>
    </row>
    <row r="1784" spans="4:9" s="14" customFormat="1" ht="15" customHeight="1">
      <c r="D1784" s="12" t="str">
        <f>IF(C1784&gt;0,(VLOOKUP(C1784,'Blnct AR'!$C$2:$D$2255,2,0))," ")</f>
        <v xml:space="preserve"> </v>
      </c>
      <c r="F1784" s="19"/>
      <c r="G1784" s="19"/>
      <c r="I1784" s="37"/>
    </row>
    <row r="1785" spans="4:9" s="14" customFormat="1" ht="15" customHeight="1">
      <c r="D1785" s="12" t="str">
        <f>IF(C1785&gt;0,(VLOOKUP(C1785,'Blnct AR'!$C$2:$D$2255,2,0))," ")</f>
        <v xml:space="preserve"> </v>
      </c>
      <c r="F1785" s="19"/>
      <c r="G1785" s="19"/>
      <c r="I1785" s="37"/>
    </row>
    <row r="1786" spans="4:9" s="14" customFormat="1" ht="15" customHeight="1">
      <c r="D1786" s="12" t="str">
        <f>IF(C1786&gt;0,(VLOOKUP(C1786,'Blnct AR'!$C$2:$D$2255,2,0))," ")</f>
        <v xml:space="preserve"> </v>
      </c>
      <c r="F1786" s="19"/>
      <c r="G1786" s="19"/>
      <c r="I1786" s="37"/>
    </row>
    <row r="1787" spans="4:9" s="14" customFormat="1" ht="15" customHeight="1">
      <c r="D1787" s="12" t="str">
        <f>IF(C1787&gt;0,(VLOOKUP(C1787,'Blnct AR'!$C$2:$D$2255,2,0))," ")</f>
        <v xml:space="preserve"> </v>
      </c>
      <c r="F1787" s="19"/>
      <c r="G1787" s="19"/>
      <c r="I1787" s="37"/>
    </row>
    <row r="1788" spans="4:9" s="14" customFormat="1" ht="15" customHeight="1">
      <c r="D1788" s="12" t="str">
        <f>IF(C1788&gt;0,(VLOOKUP(C1788,'Blnct AR'!$C$2:$D$2255,2,0))," ")</f>
        <v xml:space="preserve"> </v>
      </c>
      <c r="F1788" s="19"/>
      <c r="G1788" s="19"/>
      <c r="I1788" s="37"/>
    </row>
    <row r="1789" spans="4:9" s="14" customFormat="1" ht="15" customHeight="1">
      <c r="D1789" s="12" t="str">
        <f>IF(C1789&gt;0,(VLOOKUP(C1789,'Blnct AR'!$C$2:$D$2255,2,0))," ")</f>
        <v xml:space="preserve"> </v>
      </c>
      <c r="F1789" s="19"/>
      <c r="G1789" s="19"/>
      <c r="I1789" s="37"/>
    </row>
    <row r="1790" spans="4:9" s="14" customFormat="1" ht="15" customHeight="1">
      <c r="D1790" s="12" t="str">
        <f>IF(C1790&gt;0,(VLOOKUP(C1790,'Blnct AR'!$C$2:$D$2255,2,0))," ")</f>
        <v xml:space="preserve"> </v>
      </c>
      <c r="F1790" s="19"/>
      <c r="G1790" s="19"/>
      <c r="I1790" s="37"/>
    </row>
    <row r="1791" spans="4:9" s="14" customFormat="1" ht="15" customHeight="1">
      <c r="D1791" s="12" t="str">
        <f>IF(C1791&gt;0,(VLOOKUP(C1791,'Blnct AR'!$C$2:$D$2255,2,0))," ")</f>
        <v xml:space="preserve"> </v>
      </c>
      <c r="F1791" s="19"/>
      <c r="G1791" s="19"/>
      <c r="I1791" s="37"/>
    </row>
    <row r="1792" spans="4:9" s="14" customFormat="1" ht="15" customHeight="1">
      <c r="D1792" s="12" t="str">
        <f>IF(C1792&gt;0,(VLOOKUP(C1792,'Blnct AR'!$C$2:$D$2255,2,0))," ")</f>
        <v xml:space="preserve"> </v>
      </c>
      <c r="F1792" s="19"/>
      <c r="G1792" s="19"/>
      <c r="I1792" s="37"/>
    </row>
    <row r="1793" spans="4:9" s="14" customFormat="1" ht="15" customHeight="1">
      <c r="D1793" s="12" t="str">
        <f>IF(C1793&gt;0,(VLOOKUP(C1793,'Blnct AR'!$C$2:$D$2255,2,0))," ")</f>
        <v xml:space="preserve"> </v>
      </c>
      <c r="F1793" s="19"/>
      <c r="G1793" s="19"/>
      <c r="I1793" s="37"/>
    </row>
    <row r="1794" spans="4:9" s="14" customFormat="1" ht="15" customHeight="1">
      <c r="D1794" s="12" t="str">
        <f>IF(C1794&gt;0,(VLOOKUP(C1794,'Blnct AR'!$C$2:$D$2255,2,0))," ")</f>
        <v xml:space="preserve"> </v>
      </c>
      <c r="F1794" s="19"/>
      <c r="G1794" s="19"/>
      <c r="I1794" s="37"/>
    </row>
    <row r="1795" spans="4:9" s="14" customFormat="1" ht="15" customHeight="1">
      <c r="D1795" s="12" t="str">
        <f>IF(C1795&gt;0,(VLOOKUP(C1795,'Blnct AR'!$C$2:$D$2255,2,0))," ")</f>
        <v xml:space="preserve"> </v>
      </c>
      <c r="F1795" s="19"/>
      <c r="G1795" s="19"/>
      <c r="I1795" s="37"/>
    </row>
    <row r="1796" spans="4:9" s="14" customFormat="1" ht="15" customHeight="1">
      <c r="D1796" s="12" t="str">
        <f>IF(C1796&gt;0,(VLOOKUP(C1796,'Blnct AR'!$C$2:$D$2255,2,0))," ")</f>
        <v xml:space="preserve"> </v>
      </c>
      <c r="F1796" s="19"/>
      <c r="G1796" s="19"/>
      <c r="I1796" s="37"/>
    </row>
    <row r="1797" spans="4:9" s="14" customFormat="1" ht="15" customHeight="1">
      <c r="D1797" s="12" t="str">
        <f>IF(C1797&gt;0,(VLOOKUP(C1797,'Blnct AR'!$C$2:$D$2255,2,0))," ")</f>
        <v xml:space="preserve"> </v>
      </c>
      <c r="F1797" s="19"/>
      <c r="G1797" s="19"/>
      <c r="I1797" s="37"/>
    </row>
    <row r="1798" spans="4:9" s="14" customFormat="1" ht="15" customHeight="1">
      <c r="D1798" s="12" t="str">
        <f>IF(C1798&gt;0,(VLOOKUP(C1798,'Blnct AR'!$C$2:$D$2255,2,0))," ")</f>
        <v xml:space="preserve"> </v>
      </c>
      <c r="F1798" s="19"/>
      <c r="G1798" s="19"/>
      <c r="I1798" s="37"/>
    </row>
    <row r="1799" spans="4:9" s="14" customFormat="1" ht="15" customHeight="1">
      <c r="D1799" s="12" t="str">
        <f>IF(C1799&gt;0,(VLOOKUP(C1799,'Blnct AR'!$C$2:$D$2255,2,0))," ")</f>
        <v xml:space="preserve"> </v>
      </c>
      <c r="F1799" s="19"/>
      <c r="G1799" s="19"/>
      <c r="I1799" s="37"/>
    </row>
    <row r="1800" spans="4:9" s="14" customFormat="1" ht="15" customHeight="1">
      <c r="D1800" s="12" t="str">
        <f>IF(C1800&gt;0,(VLOOKUP(C1800,'Blnct AR'!$C$2:$D$2255,2,0))," ")</f>
        <v xml:space="preserve"> </v>
      </c>
      <c r="F1800" s="19"/>
      <c r="G1800" s="19"/>
      <c r="I1800" s="37"/>
    </row>
    <row r="1801" spans="4:9" s="14" customFormat="1" ht="15" customHeight="1">
      <c r="D1801" s="12" t="str">
        <f>IF(C1801&gt;0,(VLOOKUP(C1801,'Blnct AR'!$C$2:$D$2255,2,0))," ")</f>
        <v xml:space="preserve"> </v>
      </c>
      <c r="F1801" s="19"/>
      <c r="G1801" s="19"/>
      <c r="I1801" s="37"/>
    </row>
    <row r="1802" spans="4:9" s="14" customFormat="1" ht="15" customHeight="1">
      <c r="D1802" s="12" t="str">
        <f>IF(C1802&gt;0,(VLOOKUP(C1802,'Blnct AR'!$C$2:$D$2255,2,0))," ")</f>
        <v xml:space="preserve"> </v>
      </c>
      <c r="F1802" s="19"/>
      <c r="G1802" s="19"/>
      <c r="I1802" s="37"/>
    </row>
    <row r="1803" spans="4:9" s="14" customFormat="1" ht="15" customHeight="1">
      <c r="D1803" s="12" t="str">
        <f>IF(C1803&gt;0,(VLOOKUP(C1803,'Blnct AR'!$C$2:$D$2255,2,0))," ")</f>
        <v xml:space="preserve"> </v>
      </c>
      <c r="F1803" s="19"/>
      <c r="G1803" s="19"/>
      <c r="I1803" s="37"/>
    </row>
    <row r="1804" spans="4:9" s="14" customFormat="1" ht="15" customHeight="1">
      <c r="D1804" s="12" t="str">
        <f>IF(C1804&gt;0,(VLOOKUP(C1804,'Blnct AR'!$C$2:$D$2255,2,0))," ")</f>
        <v xml:space="preserve"> </v>
      </c>
      <c r="F1804" s="19"/>
      <c r="G1804" s="19"/>
      <c r="I1804" s="37"/>
    </row>
    <row r="1805" spans="4:9" s="14" customFormat="1" ht="15" customHeight="1">
      <c r="D1805" s="12" t="str">
        <f>IF(C1805&gt;0,(VLOOKUP(C1805,'Blnct AR'!$C$2:$D$2255,2,0))," ")</f>
        <v xml:space="preserve"> </v>
      </c>
      <c r="F1805" s="19"/>
      <c r="G1805" s="19"/>
      <c r="I1805" s="37"/>
    </row>
    <row r="1806" spans="4:9" s="14" customFormat="1" ht="15" customHeight="1">
      <c r="D1806" s="12" t="str">
        <f>IF(C1806&gt;0,(VLOOKUP(C1806,'Blnct AR'!$C$2:$D$2255,2,0))," ")</f>
        <v xml:space="preserve"> </v>
      </c>
      <c r="F1806" s="19"/>
      <c r="G1806" s="19"/>
      <c r="I1806" s="37"/>
    </row>
    <row r="1807" spans="4:9" s="14" customFormat="1" ht="15" customHeight="1">
      <c r="D1807" s="12" t="str">
        <f>IF(C1807&gt;0,(VLOOKUP(C1807,'Blnct AR'!$C$2:$D$2255,2,0))," ")</f>
        <v xml:space="preserve"> </v>
      </c>
      <c r="F1807" s="19"/>
      <c r="G1807" s="19"/>
      <c r="I1807" s="37"/>
    </row>
    <row r="1808" spans="4:9" s="14" customFormat="1" ht="15" customHeight="1">
      <c r="D1808" s="12" t="str">
        <f>IF(C1808&gt;0,(VLOOKUP(C1808,'Blnct AR'!$C$2:$D$2255,2,0))," ")</f>
        <v xml:space="preserve"> </v>
      </c>
      <c r="F1808" s="19"/>
      <c r="G1808" s="19"/>
      <c r="I1808" s="37"/>
    </row>
    <row r="1809" spans="4:9" s="14" customFormat="1" ht="15" customHeight="1">
      <c r="D1809" s="12" t="str">
        <f>IF(C1809&gt;0,(VLOOKUP(C1809,'Blnct AR'!$C$2:$D$2255,2,0))," ")</f>
        <v xml:space="preserve"> </v>
      </c>
      <c r="F1809" s="19"/>
      <c r="G1809" s="19"/>
      <c r="I1809" s="37"/>
    </row>
    <row r="1810" spans="4:9" s="14" customFormat="1" ht="15" customHeight="1">
      <c r="D1810" s="12" t="str">
        <f>IF(C1810&gt;0,(VLOOKUP(C1810,'Blnct AR'!$C$2:$D$2255,2,0))," ")</f>
        <v xml:space="preserve"> </v>
      </c>
      <c r="F1810" s="19"/>
      <c r="G1810" s="19"/>
      <c r="I1810" s="37"/>
    </row>
    <row r="1811" spans="4:9" s="14" customFormat="1" ht="15" customHeight="1">
      <c r="D1811" s="12" t="str">
        <f>IF(C1811&gt;0,(VLOOKUP(C1811,'Blnct AR'!$C$2:$D$2255,2,0))," ")</f>
        <v xml:space="preserve"> </v>
      </c>
      <c r="F1811" s="19"/>
      <c r="G1811" s="19"/>
      <c r="I1811" s="37"/>
    </row>
    <row r="1812" spans="4:9" s="14" customFormat="1" ht="15" customHeight="1">
      <c r="D1812" s="12" t="str">
        <f>IF(C1812&gt;0,(VLOOKUP(C1812,'Blnct AR'!$C$2:$D$2255,2,0))," ")</f>
        <v xml:space="preserve"> </v>
      </c>
      <c r="F1812" s="19"/>
      <c r="G1812" s="19"/>
      <c r="I1812" s="37"/>
    </row>
    <row r="1813" spans="4:9" s="14" customFormat="1" ht="15" customHeight="1">
      <c r="D1813" s="12" t="str">
        <f>IF(C1813&gt;0,(VLOOKUP(C1813,'Blnct AR'!$C$2:$D$2255,2,0))," ")</f>
        <v xml:space="preserve"> </v>
      </c>
      <c r="F1813" s="19"/>
      <c r="G1813" s="19"/>
      <c r="I1813" s="37"/>
    </row>
    <row r="1814" spans="4:9" s="14" customFormat="1" ht="15" customHeight="1">
      <c r="D1814" s="12" t="str">
        <f>IF(C1814&gt;0,(VLOOKUP(C1814,'Blnct AR'!$C$2:$D$2255,2,0))," ")</f>
        <v xml:space="preserve"> </v>
      </c>
      <c r="F1814" s="19"/>
      <c r="G1814" s="19"/>
      <c r="I1814" s="37"/>
    </row>
    <row r="1815" spans="4:9" s="14" customFormat="1" ht="15" customHeight="1">
      <c r="D1815" s="12" t="str">
        <f>IF(C1815&gt;0,(VLOOKUP(C1815,'Blnct AR'!$C$2:$D$2255,2,0))," ")</f>
        <v xml:space="preserve"> </v>
      </c>
      <c r="F1815" s="19"/>
      <c r="G1815" s="19"/>
      <c r="I1815" s="37"/>
    </row>
    <row r="1816" spans="4:9" s="14" customFormat="1" ht="15" customHeight="1">
      <c r="D1816" s="12" t="str">
        <f>IF(C1816&gt;0,(VLOOKUP(C1816,'Blnct AR'!$C$2:$D$2255,2,0))," ")</f>
        <v xml:space="preserve"> </v>
      </c>
      <c r="F1816" s="19"/>
      <c r="G1816" s="19"/>
      <c r="I1816" s="37"/>
    </row>
    <row r="1817" spans="4:9" s="14" customFormat="1" ht="15" customHeight="1">
      <c r="D1817" s="12" t="str">
        <f>IF(C1817&gt;0,(VLOOKUP(C1817,'Blnct AR'!$C$2:$D$2255,2,0))," ")</f>
        <v xml:space="preserve"> </v>
      </c>
      <c r="F1817" s="19"/>
      <c r="G1817" s="19"/>
      <c r="I1817" s="37"/>
    </row>
    <row r="1818" spans="4:9" s="14" customFormat="1" ht="15" customHeight="1">
      <c r="D1818" s="12" t="str">
        <f>IF(C1818&gt;0,(VLOOKUP(C1818,'Blnct AR'!$C$2:$D$2255,2,0))," ")</f>
        <v xml:space="preserve"> </v>
      </c>
      <c r="F1818" s="19"/>
      <c r="G1818" s="19"/>
      <c r="I1818" s="37"/>
    </row>
    <row r="1819" spans="4:9" s="14" customFormat="1" ht="15" customHeight="1">
      <c r="D1819" s="12" t="str">
        <f>IF(C1819&gt;0,(VLOOKUP(C1819,'Blnct AR'!$C$2:$D$2255,2,0))," ")</f>
        <v xml:space="preserve"> </v>
      </c>
      <c r="F1819" s="19"/>
      <c r="G1819" s="19"/>
      <c r="I1819" s="37"/>
    </row>
    <row r="1820" spans="4:9" s="14" customFormat="1" ht="15" customHeight="1">
      <c r="D1820" s="12" t="str">
        <f>IF(C1820&gt;0,(VLOOKUP(C1820,'Blnct AR'!$C$2:$D$2255,2,0))," ")</f>
        <v xml:space="preserve"> </v>
      </c>
      <c r="F1820" s="19"/>
      <c r="G1820" s="19"/>
      <c r="I1820" s="37"/>
    </row>
    <row r="1821" spans="4:9" s="14" customFormat="1" ht="15" customHeight="1">
      <c r="D1821" s="12" t="str">
        <f>IF(C1821&gt;0,(VLOOKUP(C1821,'Blnct AR'!$C$2:$D$2255,2,0))," ")</f>
        <v xml:space="preserve"> </v>
      </c>
      <c r="F1821" s="19"/>
      <c r="G1821" s="19"/>
      <c r="I1821" s="37"/>
    </row>
    <row r="1822" spans="4:9" s="14" customFormat="1" ht="15" customHeight="1">
      <c r="D1822" s="12" t="str">
        <f>IF(C1822&gt;0,(VLOOKUP(C1822,'Blnct AR'!$C$2:$D$2255,2,0))," ")</f>
        <v xml:space="preserve"> </v>
      </c>
      <c r="F1822" s="19"/>
      <c r="G1822" s="19"/>
      <c r="I1822" s="37"/>
    </row>
    <row r="1823" spans="4:9" s="14" customFormat="1" ht="15" customHeight="1">
      <c r="D1823" s="12" t="str">
        <f>IF(C1823&gt;0,(VLOOKUP(C1823,'Blnct AR'!$C$2:$D$2255,2,0))," ")</f>
        <v xml:space="preserve"> </v>
      </c>
      <c r="F1823" s="19"/>
      <c r="G1823" s="19"/>
      <c r="I1823" s="37"/>
    </row>
    <row r="1824" spans="4:9" s="14" customFormat="1" ht="15" customHeight="1">
      <c r="D1824" s="12" t="str">
        <f>IF(C1824&gt;0,(VLOOKUP(C1824,'Blnct AR'!$C$2:$D$2255,2,0))," ")</f>
        <v xml:space="preserve"> </v>
      </c>
      <c r="F1824" s="19"/>
      <c r="G1824" s="19"/>
      <c r="I1824" s="37"/>
    </row>
    <row r="1825" spans="4:9" s="14" customFormat="1" ht="15" customHeight="1">
      <c r="D1825" s="12" t="str">
        <f>IF(C1825&gt;0,(VLOOKUP(C1825,'Blnct AR'!$C$2:$D$2255,2,0))," ")</f>
        <v xml:space="preserve"> </v>
      </c>
      <c r="F1825" s="19"/>
      <c r="G1825" s="19"/>
      <c r="I1825" s="37"/>
    </row>
    <row r="1826" spans="4:9" s="14" customFormat="1" ht="15" customHeight="1">
      <c r="D1826" s="12" t="str">
        <f>IF(C1826&gt;0,(VLOOKUP(C1826,'Blnct AR'!$C$2:$D$2255,2,0))," ")</f>
        <v xml:space="preserve"> </v>
      </c>
      <c r="F1826" s="19"/>
      <c r="G1826" s="19"/>
      <c r="I1826" s="37"/>
    </row>
    <row r="1827" spans="4:9" s="14" customFormat="1" ht="15" customHeight="1">
      <c r="D1827" s="12" t="str">
        <f>IF(C1827&gt;0,(VLOOKUP(C1827,'Blnct AR'!$C$2:$D$2255,2,0))," ")</f>
        <v xml:space="preserve"> </v>
      </c>
      <c r="F1827" s="19"/>
      <c r="G1827" s="19"/>
      <c r="I1827" s="37"/>
    </row>
    <row r="1828" spans="4:9" s="14" customFormat="1" ht="15" customHeight="1">
      <c r="D1828" s="12" t="str">
        <f>IF(C1828&gt;0,(VLOOKUP(C1828,'Blnct AR'!$C$2:$D$2255,2,0))," ")</f>
        <v xml:space="preserve"> </v>
      </c>
      <c r="F1828" s="19"/>
      <c r="G1828" s="19"/>
      <c r="I1828" s="37"/>
    </row>
    <row r="1829" spans="4:9" s="14" customFormat="1" ht="15" customHeight="1">
      <c r="D1829" s="12" t="str">
        <f>IF(C1829&gt;0,(VLOOKUP(C1829,'Blnct AR'!$C$2:$D$2255,2,0))," ")</f>
        <v xml:space="preserve"> </v>
      </c>
      <c r="F1829" s="19"/>
      <c r="G1829" s="19"/>
      <c r="I1829" s="37"/>
    </row>
    <row r="1830" spans="4:9" s="14" customFormat="1" ht="15" customHeight="1">
      <c r="D1830" s="12" t="str">
        <f>IF(C1830&gt;0,(VLOOKUP(C1830,'Blnct AR'!$C$2:$D$2255,2,0))," ")</f>
        <v xml:space="preserve"> </v>
      </c>
      <c r="F1830" s="19"/>
      <c r="G1830" s="19"/>
      <c r="I1830" s="37"/>
    </row>
    <row r="1831" spans="4:9" s="14" customFormat="1" ht="15" customHeight="1">
      <c r="D1831" s="12" t="str">
        <f>IF(C1831&gt;0,(VLOOKUP(C1831,'Blnct AR'!$C$2:$D$2255,2,0))," ")</f>
        <v xml:space="preserve"> </v>
      </c>
      <c r="F1831" s="19"/>
      <c r="G1831" s="19"/>
      <c r="I1831" s="37"/>
    </row>
    <row r="1832" spans="4:9" s="14" customFormat="1" ht="15" customHeight="1">
      <c r="D1832" s="12" t="str">
        <f>IF(C1832&gt;0,(VLOOKUP(C1832,'Blnct AR'!$C$2:$D$2255,2,0))," ")</f>
        <v xml:space="preserve"> </v>
      </c>
      <c r="F1832" s="19"/>
      <c r="G1832" s="19"/>
      <c r="I1832" s="37"/>
    </row>
    <row r="1833" spans="4:9" s="14" customFormat="1" ht="15" customHeight="1">
      <c r="D1833" s="12" t="str">
        <f>IF(C1833&gt;0,(VLOOKUP(C1833,'Blnct AR'!$C$2:$D$2255,2,0))," ")</f>
        <v xml:space="preserve"> </v>
      </c>
      <c r="F1833" s="19"/>
      <c r="G1833" s="19"/>
      <c r="I1833" s="37"/>
    </row>
    <row r="1834" spans="4:9" s="14" customFormat="1" ht="15" customHeight="1">
      <c r="D1834" s="12" t="str">
        <f>IF(C1834&gt;0,(VLOOKUP(C1834,'Blnct AR'!$C$2:$D$2255,2,0))," ")</f>
        <v xml:space="preserve"> </v>
      </c>
      <c r="F1834" s="19"/>
      <c r="G1834" s="19"/>
      <c r="I1834" s="37"/>
    </row>
    <row r="1835" spans="4:9" s="14" customFormat="1" ht="15" customHeight="1">
      <c r="D1835" s="12" t="str">
        <f>IF(C1835&gt;0,(VLOOKUP(C1835,'Blnct AR'!$C$2:$D$2255,2,0))," ")</f>
        <v xml:space="preserve"> </v>
      </c>
      <c r="F1835" s="19"/>
      <c r="G1835" s="19"/>
      <c r="I1835" s="37"/>
    </row>
    <row r="1836" spans="4:9" s="14" customFormat="1" ht="15" customHeight="1">
      <c r="D1836" s="12" t="str">
        <f>IF(C1836&gt;0,(VLOOKUP(C1836,'Blnct AR'!$C$2:$D$2255,2,0))," ")</f>
        <v xml:space="preserve"> </v>
      </c>
      <c r="F1836" s="19"/>
      <c r="G1836" s="19"/>
      <c r="I1836" s="37"/>
    </row>
    <row r="1837" spans="4:9" s="14" customFormat="1" ht="15" customHeight="1">
      <c r="D1837" s="12" t="str">
        <f>IF(C1837&gt;0,(VLOOKUP(C1837,'Blnct AR'!$C$2:$D$2255,2,0))," ")</f>
        <v xml:space="preserve"> </v>
      </c>
      <c r="F1837" s="19"/>
      <c r="G1837" s="19"/>
      <c r="I1837" s="37"/>
    </row>
    <row r="1838" spans="4:9" s="14" customFormat="1" ht="15" customHeight="1">
      <c r="D1838" s="12" t="str">
        <f>IF(C1838&gt;0,(VLOOKUP(C1838,'Blnct AR'!$C$2:$D$2255,2,0))," ")</f>
        <v xml:space="preserve"> </v>
      </c>
      <c r="F1838" s="19"/>
      <c r="G1838" s="19"/>
      <c r="I1838" s="37"/>
    </row>
    <row r="1839" spans="4:9" s="14" customFormat="1" ht="15" customHeight="1">
      <c r="D1839" s="12" t="str">
        <f>IF(C1839&gt;0,(VLOOKUP(C1839,'Blnct AR'!$C$2:$D$2255,2,0))," ")</f>
        <v xml:space="preserve"> </v>
      </c>
      <c r="F1839" s="19"/>
      <c r="G1839" s="19"/>
      <c r="I1839" s="37"/>
    </row>
    <row r="1840" spans="4:9" s="14" customFormat="1" ht="15" customHeight="1">
      <c r="D1840" s="12" t="str">
        <f>IF(C1840&gt;0,(VLOOKUP(C1840,'Blnct AR'!$C$2:$D$2255,2,0))," ")</f>
        <v xml:space="preserve"> </v>
      </c>
      <c r="F1840" s="19"/>
      <c r="G1840" s="19"/>
      <c r="I1840" s="37"/>
    </row>
    <row r="1841" spans="4:9" s="14" customFormat="1" ht="15" customHeight="1">
      <c r="D1841" s="12" t="str">
        <f>IF(C1841&gt;0,(VLOOKUP(C1841,'Blnct AR'!$C$2:$D$2255,2,0))," ")</f>
        <v xml:space="preserve"> </v>
      </c>
      <c r="F1841" s="19"/>
      <c r="G1841" s="19"/>
      <c r="I1841" s="37"/>
    </row>
    <row r="1842" spans="4:9" s="14" customFormat="1" ht="15" customHeight="1">
      <c r="D1842" s="12" t="str">
        <f>IF(C1842&gt;0,(VLOOKUP(C1842,'Blnct AR'!$C$2:$D$2255,2,0))," ")</f>
        <v xml:space="preserve"> </v>
      </c>
      <c r="F1842" s="19"/>
      <c r="G1842" s="19"/>
      <c r="I1842" s="37"/>
    </row>
    <row r="1843" spans="4:9" s="14" customFormat="1" ht="15" customHeight="1">
      <c r="D1843" s="12" t="str">
        <f>IF(C1843&gt;0,(VLOOKUP(C1843,'Blnct AR'!$C$2:$D$2255,2,0))," ")</f>
        <v xml:space="preserve"> </v>
      </c>
      <c r="F1843" s="19"/>
      <c r="G1843" s="19"/>
      <c r="I1843" s="37"/>
    </row>
    <row r="1844" spans="4:9" s="14" customFormat="1" ht="15" customHeight="1">
      <c r="D1844" s="12" t="str">
        <f>IF(C1844&gt;0,(VLOOKUP(C1844,'Blnct AR'!$C$2:$D$2255,2,0))," ")</f>
        <v xml:space="preserve"> </v>
      </c>
      <c r="F1844" s="19"/>
      <c r="G1844" s="19"/>
      <c r="I1844" s="37"/>
    </row>
    <row r="1845" spans="4:9" s="14" customFormat="1" ht="15" customHeight="1">
      <c r="D1845" s="12" t="str">
        <f>IF(C1845&gt;0,(VLOOKUP(C1845,'Blnct AR'!$C$2:$D$2255,2,0))," ")</f>
        <v xml:space="preserve"> </v>
      </c>
      <c r="F1845" s="19"/>
      <c r="G1845" s="19"/>
      <c r="I1845" s="37"/>
    </row>
    <row r="1846" spans="4:9" s="14" customFormat="1" ht="15" customHeight="1">
      <c r="D1846" s="12" t="str">
        <f>IF(C1846&gt;0,(VLOOKUP(C1846,'Blnct AR'!$C$2:$D$2255,2,0))," ")</f>
        <v xml:space="preserve"> </v>
      </c>
      <c r="F1846" s="19"/>
      <c r="G1846" s="19"/>
      <c r="I1846" s="37"/>
    </row>
    <row r="1847" spans="4:9" s="14" customFormat="1" ht="15" customHeight="1">
      <c r="D1847" s="12" t="str">
        <f>IF(C1847&gt;0,(VLOOKUP(C1847,'Blnct AR'!$C$2:$D$2255,2,0))," ")</f>
        <v xml:space="preserve"> </v>
      </c>
      <c r="F1847" s="19"/>
      <c r="G1847" s="19"/>
      <c r="I1847" s="37"/>
    </row>
    <row r="1848" spans="4:9" s="14" customFormat="1" ht="15" customHeight="1">
      <c r="D1848" s="12" t="str">
        <f>IF(C1848&gt;0,(VLOOKUP(C1848,'Blnct AR'!$C$2:$D$2255,2,0))," ")</f>
        <v xml:space="preserve"> </v>
      </c>
      <c r="F1848" s="19"/>
      <c r="G1848" s="19"/>
      <c r="I1848" s="37"/>
    </row>
    <row r="1849" spans="4:9" s="14" customFormat="1" ht="15" customHeight="1">
      <c r="D1849" s="12" t="str">
        <f>IF(C1849&gt;0,(VLOOKUP(C1849,'Blnct AR'!$C$2:$D$2255,2,0))," ")</f>
        <v xml:space="preserve"> </v>
      </c>
      <c r="F1849" s="19"/>
      <c r="G1849" s="19"/>
      <c r="I1849" s="37"/>
    </row>
    <row r="1850" spans="4:9" s="14" customFormat="1" ht="15" customHeight="1">
      <c r="D1850" s="12" t="str">
        <f>IF(C1850&gt;0,(VLOOKUP(C1850,'Blnct AR'!$C$2:$D$2255,2,0))," ")</f>
        <v xml:space="preserve"> </v>
      </c>
      <c r="F1850" s="19"/>
      <c r="G1850" s="19"/>
      <c r="I1850" s="37"/>
    </row>
    <row r="1851" spans="4:9" s="14" customFormat="1" ht="15" customHeight="1">
      <c r="D1851" s="12" t="str">
        <f>IF(C1851&gt;0,(VLOOKUP(C1851,'Blnct AR'!$C$2:$D$2255,2,0))," ")</f>
        <v xml:space="preserve"> </v>
      </c>
      <c r="F1851" s="19"/>
      <c r="G1851" s="19"/>
      <c r="I1851" s="37"/>
    </row>
    <row r="1852" spans="4:9" s="14" customFormat="1" ht="15" customHeight="1">
      <c r="D1852" s="12" t="str">
        <f>IF(C1852&gt;0,(VLOOKUP(C1852,'Blnct AR'!$C$2:$D$2255,2,0))," ")</f>
        <v xml:space="preserve"> </v>
      </c>
      <c r="F1852" s="19"/>
      <c r="G1852" s="19"/>
      <c r="I1852" s="37"/>
    </row>
    <row r="1853" spans="4:9" s="14" customFormat="1" ht="15" customHeight="1">
      <c r="D1853" s="12" t="str">
        <f>IF(C1853&gt;0,(VLOOKUP(C1853,'Blnct AR'!$C$2:$D$2255,2,0))," ")</f>
        <v xml:space="preserve"> </v>
      </c>
      <c r="F1853" s="19"/>
      <c r="G1853" s="19"/>
      <c r="I1853" s="37"/>
    </row>
    <row r="1854" spans="4:9" s="14" customFormat="1" ht="15" customHeight="1">
      <c r="D1854" s="12" t="str">
        <f>IF(C1854&gt;0,(VLOOKUP(C1854,'Blnct AR'!$C$2:$D$2255,2,0))," ")</f>
        <v xml:space="preserve"> </v>
      </c>
      <c r="F1854" s="19"/>
      <c r="G1854" s="19"/>
      <c r="I1854" s="37"/>
    </row>
    <row r="1855" spans="4:9" s="14" customFormat="1" ht="15" customHeight="1">
      <c r="D1855" s="12" t="str">
        <f>IF(C1855&gt;0,(VLOOKUP(C1855,'Blnct AR'!$C$2:$D$2255,2,0))," ")</f>
        <v xml:space="preserve"> </v>
      </c>
      <c r="F1855" s="19"/>
      <c r="G1855" s="19"/>
      <c r="I1855" s="37"/>
    </row>
    <row r="1856" spans="4:9" s="14" customFormat="1" ht="15" customHeight="1">
      <c r="D1856" s="12" t="str">
        <f>IF(C1856&gt;0,(VLOOKUP(C1856,'Blnct AR'!$C$2:$D$2255,2,0))," ")</f>
        <v xml:space="preserve"> </v>
      </c>
      <c r="F1856" s="19"/>
      <c r="G1856" s="19"/>
      <c r="I1856" s="37"/>
    </row>
    <row r="1857" spans="4:9" s="14" customFormat="1" ht="15" customHeight="1">
      <c r="D1857" s="12" t="str">
        <f>IF(C1857&gt;0,(VLOOKUP(C1857,'Blnct AR'!$C$2:$D$2255,2,0))," ")</f>
        <v xml:space="preserve"> </v>
      </c>
      <c r="F1857" s="19"/>
      <c r="G1857" s="19"/>
      <c r="I1857" s="37"/>
    </row>
    <row r="1858" spans="4:9" s="14" customFormat="1" ht="15" customHeight="1">
      <c r="D1858" s="12" t="str">
        <f>IF(C1858&gt;0,(VLOOKUP(C1858,'Blnct AR'!$C$2:$D$2255,2,0))," ")</f>
        <v xml:space="preserve"> </v>
      </c>
      <c r="F1858" s="19"/>
      <c r="G1858" s="19"/>
      <c r="I1858" s="37"/>
    </row>
    <row r="1859" spans="4:9" s="14" customFormat="1" ht="15" customHeight="1">
      <c r="D1859" s="12" t="str">
        <f>IF(C1859&gt;0,(VLOOKUP(C1859,'Blnct AR'!$C$2:$D$2255,2,0))," ")</f>
        <v xml:space="preserve"> </v>
      </c>
      <c r="F1859" s="19"/>
      <c r="G1859" s="19"/>
      <c r="I1859" s="37"/>
    </row>
    <row r="1860" spans="4:9" s="14" customFormat="1" ht="15" customHeight="1">
      <c r="D1860" s="12" t="str">
        <f>IF(C1860&gt;0,(VLOOKUP(C1860,'Blnct AR'!$C$2:$D$2255,2,0))," ")</f>
        <v xml:space="preserve"> </v>
      </c>
      <c r="F1860" s="19"/>
      <c r="G1860" s="19"/>
      <c r="I1860" s="37"/>
    </row>
    <row r="1861" spans="4:9" s="14" customFormat="1" ht="15" customHeight="1">
      <c r="D1861" s="12" t="str">
        <f>IF(C1861&gt;0,(VLOOKUP(C1861,'Blnct AR'!$C$2:$D$2255,2,0))," ")</f>
        <v xml:space="preserve"> </v>
      </c>
      <c r="F1861" s="19"/>
      <c r="G1861" s="19"/>
      <c r="I1861" s="37"/>
    </row>
    <row r="1862" spans="4:9" s="14" customFormat="1" ht="15" customHeight="1">
      <c r="D1862" s="12" t="str">
        <f>IF(C1862&gt;0,(VLOOKUP(C1862,'Blnct AR'!$C$2:$D$2255,2,0))," ")</f>
        <v xml:space="preserve"> </v>
      </c>
      <c r="F1862" s="19"/>
      <c r="G1862" s="19"/>
      <c r="I1862" s="37"/>
    </row>
    <row r="1863" spans="4:9" s="14" customFormat="1" ht="15" customHeight="1">
      <c r="D1863" s="12" t="str">
        <f>IF(C1863&gt;0,(VLOOKUP(C1863,'Blnct AR'!$C$2:$D$2255,2,0))," ")</f>
        <v xml:space="preserve"> </v>
      </c>
      <c r="F1863" s="19"/>
      <c r="G1863" s="19"/>
      <c r="I1863" s="37"/>
    </row>
    <row r="1864" spans="4:9" s="14" customFormat="1" ht="15" customHeight="1">
      <c r="D1864" s="12" t="str">
        <f>IF(C1864&gt;0,(VLOOKUP(C1864,'Blnct AR'!$C$2:$D$2255,2,0))," ")</f>
        <v xml:space="preserve"> </v>
      </c>
      <c r="F1864" s="19"/>
      <c r="G1864" s="19"/>
      <c r="I1864" s="37"/>
    </row>
    <row r="1865" spans="4:9" s="14" customFormat="1" ht="15" customHeight="1">
      <c r="D1865" s="12" t="str">
        <f>IF(C1865&gt;0,(VLOOKUP(C1865,'Blnct AR'!$C$2:$D$2255,2,0))," ")</f>
        <v xml:space="preserve"> </v>
      </c>
      <c r="F1865" s="19"/>
      <c r="G1865" s="19"/>
      <c r="I1865" s="37"/>
    </row>
    <row r="1866" spans="4:9" s="14" customFormat="1" ht="15" customHeight="1">
      <c r="D1866" s="12" t="str">
        <f>IF(C1866&gt;0,(VLOOKUP(C1866,'Blnct AR'!$C$2:$D$2255,2,0))," ")</f>
        <v xml:space="preserve"> </v>
      </c>
      <c r="F1866" s="19"/>
      <c r="G1866" s="19"/>
      <c r="I1866" s="37"/>
    </row>
    <row r="1867" spans="4:9" s="14" customFormat="1" ht="15" customHeight="1">
      <c r="D1867" s="12" t="str">
        <f>IF(C1867&gt;0,(VLOOKUP(C1867,'Blnct AR'!$C$2:$D$2255,2,0))," ")</f>
        <v xml:space="preserve"> </v>
      </c>
      <c r="F1867" s="19"/>
      <c r="G1867" s="19"/>
      <c r="I1867" s="37"/>
    </row>
    <row r="1868" spans="4:9" s="14" customFormat="1" ht="15" customHeight="1">
      <c r="D1868" s="12" t="str">
        <f>IF(C1868&gt;0,(VLOOKUP(C1868,'Blnct AR'!$C$2:$D$2255,2,0))," ")</f>
        <v xml:space="preserve"> </v>
      </c>
      <c r="F1868" s="19"/>
      <c r="G1868" s="19"/>
      <c r="I1868" s="37"/>
    </row>
    <row r="1869" spans="4:9" s="14" customFormat="1" ht="15" customHeight="1">
      <c r="D1869" s="12" t="str">
        <f>IF(C1869&gt;0,(VLOOKUP(C1869,'Blnct AR'!$C$2:$D$2255,2,0))," ")</f>
        <v xml:space="preserve"> </v>
      </c>
      <c r="F1869" s="19"/>
      <c r="G1869" s="19"/>
      <c r="I1869" s="37"/>
    </row>
    <row r="1870" spans="4:9" s="14" customFormat="1" ht="15" customHeight="1">
      <c r="D1870" s="12" t="str">
        <f>IF(C1870&gt;0,(VLOOKUP(C1870,'Blnct AR'!$C$2:$D$2255,2,0))," ")</f>
        <v xml:space="preserve"> </v>
      </c>
      <c r="F1870" s="19"/>
      <c r="G1870" s="19"/>
      <c r="I1870" s="37"/>
    </row>
    <row r="1871" spans="4:9" s="14" customFormat="1" ht="15" customHeight="1">
      <c r="D1871" s="12" t="str">
        <f>IF(C1871&gt;0,(VLOOKUP(C1871,'Blnct AR'!$C$2:$D$2255,2,0))," ")</f>
        <v xml:space="preserve"> </v>
      </c>
      <c r="F1871" s="19"/>
      <c r="G1871" s="19"/>
      <c r="I1871" s="37"/>
    </row>
    <row r="1872" spans="4:9" s="14" customFormat="1" ht="15" customHeight="1">
      <c r="D1872" s="12" t="str">
        <f>IF(C1872&gt;0,(VLOOKUP(C1872,'Blnct AR'!$C$2:$D$2255,2,0))," ")</f>
        <v xml:space="preserve"> </v>
      </c>
      <c r="F1872" s="19"/>
      <c r="G1872" s="19"/>
      <c r="I1872" s="37"/>
    </row>
    <row r="1873" spans="4:9" s="14" customFormat="1" ht="15" customHeight="1">
      <c r="D1873" s="12" t="str">
        <f>IF(C1873&gt;0,(VLOOKUP(C1873,'Blnct AR'!$C$2:$D$2255,2,0))," ")</f>
        <v xml:space="preserve"> </v>
      </c>
      <c r="F1873" s="19"/>
      <c r="G1873" s="19"/>
      <c r="I1873" s="37"/>
    </row>
    <row r="1874" spans="4:9" s="14" customFormat="1" ht="15" customHeight="1">
      <c r="D1874" s="12" t="str">
        <f>IF(C1874&gt;0,(VLOOKUP(C1874,'Blnct AR'!$C$2:$D$2255,2,0))," ")</f>
        <v xml:space="preserve"> </v>
      </c>
      <c r="F1874" s="19"/>
      <c r="G1874" s="19"/>
      <c r="I1874" s="37"/>
    </row>
    <row r="1875" spans="4:9" s="14" customFormat="1" ht="15" customHeight="1">
      <c r="D1875" s="12" t="str">
        <f>IF(C1875&gt;0,(VLOOKUP(C1875,'Blnct AR'!$C$2:$D$2255,2,0))," ")</f>
        <v xml:space="preserve"> </v>
      </c>
      <c r="F1875" s="19"/>
      <c r="G1875" s="19"/>
      <c r="I1875" s="37"/>
    </row>
    <row r="1876" spans="4:9" s="14" customFormat="1" ht="15" customHeight="1">
      <c r="D1876" s="12" t="str">
        <f>IF(C1876&gt;0,(VLOOKUP(C1876,'Blnct AR'!$C$2:$D$2255,2,0))," ")</f>
        <v xml:space="preserve"> </v>
      </c>
      <c r="F1876" s="19"/>
      <c r="G1876" s="19"/>
      <c r="I1876" s="37"/>
    </row>
    <row r="1877" spans="4:9" s="14" customFormat="1" ht="15" customHeight="1">
      <c r="D1877" s="12" t="str">
        <f>IF(C1877&gt;0,(VLOOKUP(C1877,'Blnct AR'!$C$2:$D$2255,2,0))," ")</f>
        <v xml:space="preserve"> </v>
      </c>
      <c r="F1877" s="19"/>
      <c r="G1877" s="19"/>
      <c r="I1877" s="37"/>
    </row>
    <row r="1878" spans="4:9" s="14" customFormat="1" ht="15" customHeight="1">
      <c r="D1878" s="12" t="str">
        <f>IF(C1878&gt;0,(VLOOKUP(C1878,'Blnct AR'!$C$2:$D$2255,2,0))," ")</f>
        <v xml:space="preserve"> </v>
      </c>
      <c r="F1878" s="19"/>
      <c r="G1878" s="19"/>
      <c r="I1878" s="37"/>
    </row>
    <row r="1879" spans="4:9" s="14" customFormat="1" ht="15" customHeight="1">
      <c r="D1879" s="12" t="str">
        <f>IF(C1879&gt;0,(VLOOKUP(C1879,'Blnct AR'!$C$2:$D$2255,2,0))," ")</f>
        <v xml:space="preserve"> </v>
      </c>
      <c r="F1879" s="19"/>
      <c r="G1879" s="19"/>
      <c r="I1879" s="37"/>
    </row>
    <row r="1880" spans="4:9" s="14" customFormat="1" ht="15" customHeight="1">
      <c r="D1880" s="12" t="str">
        <f>IF(C1880&gt;0,(VLOOKUP(C1880,'Blnct AR'!$C$2:$D$2255,2,0))," ")</f>
        <v xml:space="preserve"> </v>
      </c>
      <c r="F1880" s="19"/>
      <c r="G1880" s="19"/>
      <c r="I1880" s="37"/>
    </row>
    <row r="1881" spans="4:9" s="14" customFormat="1" ht="15" customHeight="1">
      <c r="D1881" s="12" t="str">
        <f>IF(C1881&gt;0,(VLOOKUP(C1881,'Blnct AR'!$C$2:$D$2255,2,0))," ")</f>
        <v xml:space="preserve"> </v>
      </c>
      <c r="F1881" s="19"/>
      <c r="G1881" s="19"/>
      <c r="I1881" s="37"/>
    </row>
    <row r="1882" spans="4:9" s="14" customFormat="1" ht="15" customHeight="1">
      <c r="D1882" s="12" t="str">
        <f>IF(C1882&gt;0,(VLOOKUP(C1882,'Blnct AR'!$C$2:$D$2255,2,0))," ")</f>
        <v xml:space="preserve"> </v>
      </c>
      <c r="F1882" s="19"/>
      <c r="G1882" s="19"/>
      <c r="I1882" s="37"/>
    </row>
    <row r="1883" spans="4:9" s="14" customFormat="1" ht="15" customHeight="1">
      <c r="D1883" s="12" t="str">
        <f>IF(C1883&gt;0,(VLOOKUP(C1883,'Blnct AR'!$C$2:$D$2255,2,0))," ")</f>
        <v xml:space="preserve"> </v>
      </c>
      <c r="F1883" s="19"/>
      <c r="G1883" s="19"/>
      <c r="I1883" s="37"/>
    </row>
    <row r="1884" spans="4:9" s="14" customFormat="1" ht="15" customHeight="1">
      <c r="D1884" s="12" t="str">
        <f>IF(C1884&gt;0,(VLOOKUP(C1884,'Blnct AR'!$C$2:$D$2255,2,0))," ")</f>
        <v xml:space="preserve"> </v>
      </c>
      <c r="F1884" s="19"/>
      <c r="G1884" s="19"/>
      <c r="I1884" s="37"/>
    </row>
    <row r="1885" spans="4:9" s="14" customFormat="1" ht="15" customHeight="1">
      <c r="D1885" s="12" t="str">
        <f>IF(C1885&gt;0,(VLOOKUP(C1885,'Blnct AR'!$C$2:$D$2255,2,0))," ")</f>
        <v xml:space="preserve"> </v>
      </c>
      <c r="F1885" s="19"/>
      <c r="G1885" s="19"/>
      <c r="I1885" s="37"/>
    </row>
    <row r="1886" spans="4:9" s="14" customFormat="1" ht="15" customHeight="1">
      <c r="D1886" s="12" t="str">
        <f>IF(C1886&gt;0,(VLOOKUP(C1886,'Blnct AR'!$C$2:$D$2255,2,0))," ")</f>
        <v xml:space="preserve"> </v>
      </c>
      <c r="F1886" s="19"/>
      <c r="G1886" s="19"/>
      <c r="I1886" s="37"/>
    </row>
    <row r="1887" spans="4:9" s="14" customFormat="1" ht="15" customHeight="1">
      <c r="D1887" s="12" t="str">
        <f>IF(C1887&gt;0,(VLOOKUP(C1887,'Blnct AR'!$C$2:$D$2255,2,0))," ")</f>
        <v xml:space="preserve"> </v>
      </c>
      <c r="F1887" s="19"/>
      <c r="G1887" s="19"/>
      <c r="I1887" s="37"/>
    </row>
    <row r="1888" spans="4:9" s="14" customFormat="1" ht="15" customHeight="1">
      <c r="D1888" s="12" t="str">
        <f>IF(C1888&gt;0,(VLOOKUP(C1888,'Blnct AR'!$C$2:$D$2255,2,0))," ")</f>
        <v xml:space="preserve"> </v>
      </c>
      <c r="F1888" s="19"/>
      <c r="G1888" s="19"/>
      <c r="I1888" s="37"/>
    </row>
    <row r="1889" spans="4:9" s="14" customFormat="1" ht="15" customHeight="1">
      <c r="D1889" s="12" t="str">
        <f>IF(C1889&gt;0,(VLOOKUP(C1889,'Blnct AR'!$C$2:$D$2255,2,0))," ")</f>
        <v xml:space="preserve"> </v>
      </c>
      <c r="F1889" s="19"/>
      <c r="G1889" s="19"/>
      <c r="I1889" s="37"/>
    </row>
    <row r="1890" spans="4:9" s="14" customFormat="1" ht="15" customHeight="1">
      <c r="D1890" s="12" t="str">
        <f>IF(C1890&gt;0,(VLOOKUP(C1890,'Blnct AR'!$C$2:$D$2255,2,0))," ")</f>
        <v xml:space="preserve"> </v>
      </c>
      <c r="F1890" s="19"/>
      <c r="G1890" s="19"/>
      <c r="I1890" s="37"/>
    </row>
    <row r="1891" spans="4:9" s="14" customFormat="1" ht="15" customHeight="1">
      <c r="D1891" s="12" t="str">
        <f>IF(C1891&gt;0,(VLOOKUP(C1891,'Blnct AR'!$C$2:$D$2255,2,0))," ")</f>
        <v xml:space="preserve"> </v>
      </c>
      <c r="F1891" s="19"/>
      <c r="G1891" s="19"/>
      <c r="I1891" s="37"/>
    </row>
    <row r="1892" spans="4:9" s="14" customFormat="1" ht="15" customHeight="1">
      <c r="D1892" s="12" t="str">
        <f>IF(C1892&gt;0,(VLOOKUP(C1892,'Blnct AR'!$C$2:$D$2255,2,0))," ")</f>
        <v xml:space="preserve"> </v>
      </c>
      <c r="F1892" s="19"/>
      <c r="G1892" s="19"/>
      <c r="I1892" s="37"/>
    </row>
    <row r="1893" spans="4:9" s="14" customFormat="1" ht="15" customHeight="1">
      <c r="D1893" s="12" t="str">
        <f>IF(C1893&gt;0,(VLOOKUP(C1893,'Blnct AR'!$C$2:$D$2255,2,0))," ")</f>
        <v xml:space="preserve"> </v>
      </c>
      <c r="F1893" s="19"/>
      <c r="G1893" s="19"/>
      <c r="I1893" s="37"/>
    </row>
    <row r="1894" spans="4:9" s="14" customFormat="1" ht="15" customHeight="1">
      <c r="D1894" s="12" t="str">
        <f>IF(C1894&gt;0,(VLOOKUP(C1894,'Blnct AR'!$C$2:$D$2255,2,0))," ")</f>
        <v xml:space="preserve"> </v>
      </c>
      <c r="F1894" s="19"/>
      <c r="G1894" s="19"/>
      <c r="I1894" s="37"/>
    </row>
    <row r="1895" spans="4:9" s="14" customFormat="1" ht="15" customHeight="1">
      <c r="D1895" s="12" t="str">
        <f>IF(C1895&gt;0,(VLOOKUP(C1895,'Blnct AR'!$C$2:$D$2255,2,0))," ")</f>
        <v xml:space="preserve"> </v>
      </c>
      <c r="F1895" s="19"/>
      <c r="G1895" s="19"/>
      <c r="I1895" s="37"/>
    </row>
    <row r="1896" spans="4:9" s="14" customFormat="1" ht="15" customHeight="1">
      <c r="D1896" s="12" t="str">
        <f>IF(C1896&gt;0,(VLOOKUP(C1896,'Blnct AR'!$C$2:$D$2255,2,0))," ")</f>
        <v xml:space="preserve"> </v>
      </c>
      <c r="F1896" s="19"/>
      <c r="G1896" s="19"/>
      <c r="I1896" s="37"/>
    </row>
    <row r="1897" spans="4:9" s="14" customFormat="1" ht="15" customHeight="1">
      <c r="D1897" s="12" t="str">
        <f>IF(C1897&gt;0,(VLOOKUP(C1897,'Blnct AR'!$C$2:$D$2255,2,0))," ")</f>
        <v xml:space="preserve"> </v>
      </c>
      <c r="F1897" s="19"/>
      <c r="G1897" s="19"/>
      <c r="I1897" s="37"/>
    </row>
    <row r="1898" spans="4:9" s="14" customFormat="1" ht="15" customHeight="1">
      <c r="D1898" s="12" t="str">
        <f>IF(C1898&gt;0,(VLOOKUP(C1898,'Blnct AR'!$C$2:$D$2255,2,0))," ")</f>
        <v xml:space="preserve"> </v>
      </c>
      <c r="F1898" s="19"/>
      <c r="G1898" s="19"/>
      <c r="I1898" s="37"/>
    </row>
    <row r="1899" spans="4:9" s="14" customFormat="1" ht="15" customHeight="1">
      <c r="D1899" s="12" t="str">
        <f>IF(C1899&gt;0,(VLOOKUP(C1899,'Blnct AR'!$C$2:$D$2255,2,0))," ")</f>
        <v xml:space="preserve"> </v>
      </c>
      <c r="F1899" s="19"/>
      <c r="G1899" s="19"/>
      <c r="I1899" s="37"/>
    </row>
    <row r="1900" spans="4:9" s="14" customFormat="1" ht="15" customHeight="1">
      <c r="D1900" s="12" t="str">
        <f>IF(C1900&gt;0,(VLOOKUP(C1900,'Blnct AR'!$C$2:$D$2255,2,0))," ")</f>
        <v xml:space="preserve"> </v>
      </c>
      <c r="F1900" s="19"/>
      <c r="G1900" s="19"/>
      <c r="I1900" s="37"/>
    </row>
    <row r="1901" spans="4:9" s="14" customFormat="1" ht="15" customHeight="1">
      <c r="D1901" s="12" t="str">
        <f>IF(C1901&gt;0,(VLOOKUP(C1901,'Blnct AR'!$C$2:$D$2255,2,0))," ")</f>
        <v xml:space="preserve"> </v>
      </c>
      <c r="F1901" s="19"/>
      <c r="G1901" s="19"/>
      <c r="I1901" s="37"/>
    </row>
    <row r="1902" spans="4:9" s="14" customFormat="1" ht="15" customHeight="1">
      <c r="D1902" s="12" t="str">
        <f>IF(C1902&gt;0,(VLOOKUP(C1902,'Blnct AR'!$C$2:$D$2255,2,0))," ")</f>
        <v xml:space="preserve"> </v>
      </c>
      <c r="F1902" s="19"/>
      <c r="G1902" s="19"/>
      <c r="I1902" s="37"/>
    </row>
    <row r="1903" spans="4:9" s="14" customFormat="1" ht="15" customHeight="1">
      <c r="D1903" s="12" t="str">
        <f>IF(C1903&gt;0,(VLOOKUP(C1903,'Blnct AR'!$C$2:$D$2255,2,0))," ")</f>
        <v xml:space="preserve"> </v>
      </c>
      <c r="F1903" s="19"/>
      <c r="G1903" s="19"/>
      <c r="I1903" s="37"/>
    </row>
    <row r="1904" spans="4:9" s="14" customFormat="1" ht="15" customHeight="1">
      <c r="D1904" s="12" t="str">
        <f>IF(C1904&gt;0,(VLOOKUP(C1904,'Blnct AR'!$C$2:$D$2255,2,0))," ")</f>
        <v xml:space="preserve"> </v>
      </c>
      <c r="F1904" s="19"/>
      <c r="G1904" s="19"/>
      <c r="I1904" s="37"/>
    </row>
    <row r="1905" spans="4:9" s="14" customFormat="1" ht="15" customHeight="1">
      <c r="D1905" s="12" t="str">
        <f>IF(C1905&gt;0,(VLOOKUP(C1905,'Blnct AR'!$C$2:$D$2255,2,0))," ")</f>
        <v xml:space="preserve"> </v>
      </c>
      <c r="F1905" s="19"/>
      <c r="G1905" s="19"/>
      <c r="I1905" s="37"/>
    </row>
    <row r="1906" spans="4:9" s="14" customFormat="1" ht="15" customHeight="1">
      <c r="D1906" s="12" t="str">
        <f>IF(C1906&gt;0,(VLOOKUP(C1906,'Blnct AR'!$C$2:$D$2255,2,0))," ")</f>
        <v xml:space="preserve"> </v>
      </c>
      <c r="F1906" s="19"/>
      <c r="G1906" s="19"/>
      <c r="I1906" s="37"/>
    </row>
    <row r="1907" spans="4:9" s="14" customFormat="1" ht="15" customHeight="1">
      <c r="D1907" s="12" t="str">
        <f>IF(C1907&gt;0,(VLOOKUP(C1907,'Blnct AR'!$C$2:$D$2255,2,0))," ")</f>
        <v xml:space="preserve"> </v>
      </c>
      <c r="F1907" s="19"/>
      <c r="G1907" s="19"/>
      <c r="I1907" s="37"/>
    </row>
    <row r="1908" spans="4:9" s="14" customFormat="1" ht="15" customHeight="1">
      <c r="D1908" s="12" t="str">
        <f>IF(C1908&gt;0,(VLOOKUP(C1908,'Blnct AR'!$C$2:$D$2255,2,0))," ")</f>
        <v xml:space="preserve"> </v>
      </c>
      <c r="F1908" s="19"/>
      <c r="G1908" s="19"/>
      <c r="I1908" s="37"/>
    </row>
    <row r="1909" spans="4:9" s="14" customFormat="1" ht="15" customHeight="1">
      <c r="D1909" s="12" t="str">
        <f>IF(C1909&gt;0,(VLOOKUP(C1909,'Blnct AR'!$C$2:$D$2255,2,0))," ")</f>
        <v xml:space="preserve"> </v>
      </c>
      <c r="F1909" s="19"/>
      <c r="G1909" s="19"/>
      <c r="I1909" s="37"/>
    </row>
    <row r="1910" spans="4:9" s="14" customFormat="1" ht="15" customHeight="1">
      <c r="D1910" s="12" t="str">
        <f>IF(C1910&gt;0,(VLOOKUP(C1910,'Blnct AR'!$C$2:$D$2255,2,0))," ")</f>
        <v xml:space="preserve"> </v>
      </c>
      <c r="F1910" s="19"/>
      <c r="G1910" s="19"/>
      <c r="I1910" s="37"/>
    </row>
    <row r="1911" spans="4:9" s="14" customFormat="1" ht="15" customHeight="1">
      <c r="D1911" s="12" t="str">
        <f>IF(C1911&gt;0,(VLOOKUP(C1911,'Blnct AR'!$C$2:$D$2255,2,0))," ")</f>
        <v xml:space="preserve"> </v>
      </c>
      <c r="F1911" s="19"/>
      <c r="G1911" s="19"/>
      <c r="I1911" s="37"/>
    </row>
    <row r="1912" spans="4:9" s="14" customFormat="1" ht="15" customHeight="1">
      <c r="D1912" s="12" t="str">
        <f>IF(C1912&gt;0,(VLOOKUP(C1912,'Blnct AR'!$C$2:$D$2255,2,0))," ")</f>
        <v xml:space="preserve"> </v>
      </c>
      <c r="F1912" s="19"/>
      <c r="G1912" s="19"/>
      <c r="I1912" s="37"/>
    </row>
    <row r="1913" spans="4:9" s="14" customFormat="1" ht="15" customHeight="1">
      <c r="D1913" s="12" t="str">
        <f>IF(C1913&gt;0,(VLOOKUP(C1913,'Blnct AR'!$C$2:$D$2255,2,0))," ")</f>
        <v xml:space="preserve"> </v>
      </c>
      <c r="F1913" s="19"/>
      <c r="G1913" s="19"/>
      <c r="I1913" s="37"/>
    </row>
    <row r="1914" spans="4:9" s="14" customFormat="1" ht="15" customHeight="1">
      <c r="D1914" s="12" t="str">
        <f>IF(C1914&gt;0,(VLOOKUP(C1914,'Blnct AR'!$C$2:$D$2255,2,0))," ")</f>
        <v xml:space="preserve"> </v>
      </c>
      <c r="F1914" s="19"/>
      <c r="G1914" s="19"/>
      <c r="I1914" s="37"/>
    </row>
    <row r="1915" spans="4:9" s="14" customFormat="1" ht="15" customHeight="1">
      <c r="D1915" s="12" t="str">
        <f>IF(C1915&gt;0,(VLOOKUP(C1915,'Blnct AR'!$C$2:$D$2255,2,0))," ")</f>
        <v xml:space="preserve"> </v>
      </c>
      <c r="F1915" s="19"/>
      <c r="G1915" s="19"/>
      <c r="I1915" s="37"/>
    </row>
    <row r="1916" spans="4:9" s="14" customFormat="1" ht="15" customHeight="1">
      <c r="D1916" s="12" t="str">
        <f>IF(C1916&gt;0,(VLOOKUP(C1916,'Blnct AR'!$C$2:$D$2255,2,0))," ")</f>
        <v xml:space="preserve"> </v>
      </c>
      <c r="F1916" s="19"/>
      <c r="G1916" s="19"/>
      <c r="I1916" s="37"/>
    </row>
    <row r="1917" spans="4:9" s="14" customFormat="1" ht="15" customHeight="1">
      <c r="D1917" s="12" t="str">
        <f>IF(C1917&gt;0,(VLOOKUP(C1917,'Blnct AR'!$C$2:$D$2255,2,0))," ")</f>
        <v xml:space="preserve"> </v>
      </c>
      <c r="F1917" s="19"/>
      <c r="G1917" s="19"/>
      <c r="I1917" s="37"/>
    </row>
    <row r="1918" spans="4:9" s="14" customFormat="1" ht="15" customHeight="1">
      <c r="D1918" s="12" t="str">
        <f>IF(C1918&gt;0,(VLOOKUP(C1918,'Blnct AR'!$C$2:$D$2255,2,0))," ")</f>
        <v xml:space="preserve"> </v>
      </c>
      <c r="F1918" s="19"/>
      <c r="G1918" s="19"/>
      <c r="I1918" s="37"/>
    </row>
    <row r="1919" spans="4:9" s="14" customFormat="1" ht="15" customHeight="1">
      <c r="D1919" s="12" t="str">
        <f>IF(C1919&gt;0,(VLOOKUP(C1919,'Blnct AR'!$C$2:$D$2255,2,0))," ")</f>
        <v xml:space="preserve"> </v>
      </c>
      <c r="F1919" s="19"/>
      <c r="G1919" s="19"/>
      <c r="I1919" s="37"/>
    </row>
    <row r="1920" spans="4:9" s="14" customFormat="1" ht="15" customHeight="1">
      <c r="D1920" s="12" t="str">
        <f>IF(C1920&gt;0,(VLOOKUP(C1920,'Blnct AR'!$C$2:$D$2255,2,0))," ")</f>
        <v xml:space="preserve"> </v>
      </c>
      <c r="F1920" s="19"/>
      <c r="G1920" s="19"/>
      <c r="I1920" s="37"/>
    </row>
    <row r="1921" spans="4:9" s="14" customFormat="1" ht="15" customHeight="1">
      <c r="D1921" s="12" t="str">
        <f>IF(C1921&gt;0,(VLOOKUP(C1921,'Blnct AR'!$C$2:$D$2255,2,0))," ")</f>
        <v xml:space="preserve"> </v>
      </c>
      <c r="F1921" s="19"/>
      <c r="G1921" s="19"/>
      <c r="I1921" s="37"/>
    </row>
    <row r="1922" spans="4:9" s="14" customFormat="1" ht="15" customHeight="1">
      <c r="D1922" s="12" t="str">
        <f>IF(C1922&gt;0,(VLOOKUP(C1922,'Blnct AR'!$C$2:$D$2255,2,0))," ")</f>
        <v xml:space="preserve"> </v>
      </c>
      <c r="F1922" s="19"/>
      <c r="G1922" s="19"/>
      <c r="I1922" s="37"/>
    </row>
    <row r="1923" spans="4:9" s="14" customFormat="1" ht="15" customHeight="1">
      <c r="D1923" s="12" t="str">
        <f>IF(C1923&gt;0,(VLOOKUP(C1923,'Blnct AR'!$C$2:$D$2255,2,0))," ")</f>
        <v xml:space="preserve"> </v>
      </c>
      <c r="F1923" s="19"/>
      <c r="G1923" s="19"/>
      <c r="I1923" s="37"/>
    </row>
    <row r="1924" spans="4:9" s="14" customFormat="1" ht="15" customHeight="1">
      <c r="D1924" s="12" t="str">
        <f>IF(C1924&gt;0,(VLOOKUP(C1924,'Blnct AR'!$C$2:$D$2255,2,0))," ")</f>
        <v xml:space="preserve"> </v>
      </c>
      <c r="F1924" s="19"/>
      <c r="G1924" s="19"/>
      <c r="I1924" s="37"/>
    </row>
    <row r="1925" spans="4:9" s="14" customFormat="1" ht="15" customHeight="1">
      <c r="D1925" s="12" t="str">
        <f>IF(C1925&gt;0,(VLOOKUP(C1925,'Blnct AR'!$C$2:$D$2255,2,0))," ")</f>
        <v xml:space="preserve"> </v>
      </c>
      <c r="F1925" s="19"/>
      <c r="G1925" s="19"/>
      <c r="I1925" s="37"/>
    </row>
    <row r="1926" spans="4:9" s="14" customFormat="1" ht="15" customHeight="1">
      <c r="D1926" s="12" t="str">
        <f>IF(C1926&gt;0,(VLOOKUP(C1926,'Blnct AR'!$C$2:$D$2255,2,0))," ")</f>
        <v xml:space="preserve"> </v>
      </c>
      <c r="F1926" s="19"/>
      <c r="G1926" s="19"/>
      <c r="I1926" s="37"/>
    </row>
    <row r="1927" spans="4:9" s="14" customFormat="1" ht="15" customHeight="1">
      <c r="D1927" s="12" t="str">
        <f>IF(C1927&gt;0,(VLOOKUP(C1927,'Blnct AR'!$C$2:$D$2255,2,0))," ")</f>
        <v xml:space="preserve"> </v>
      </c>
      <c r="F1927" s="19"/>
      <c r="G1927" s="19"/>
      <c r="I1927" s="37"/>
    </row>
    <row r="1928" spans="4:9" s="14" customFormat="1" ht="15" customHeight="1">
      <c r="D1928" s="12" t="str">
        <f>IF(C1928&gt;0,(VLOOKUP(C1928,'Blnct AR'!$C$2:$D$2255,2,0))," ")</f>
        <v xml:space="preserve"> </v>
      </c>
      <c r="F1928" s="19"/>
      <c r="G1928" s="19"/>
      <c r="I1928" s="37"/>
    </row>
    <row r="1929" spans="4:9" s="14" customFormat="1" ht="15" customHeight="1">
      <c r="D1929" s="12" t="str">
        <f>IF(C1929&gt;0,(VLOOKUP(C1929,'Blnct AR'!$C$2:$D$2255,2,0))," ")</f>
        <v xml:space="preserve"> </v>
      </c>
      <c r="F1929" s="19"/>
      <c r="G1929" s="19"/>
      <c r="I1929" s="37"/>
    </row>
    <row r="1930" spans="4:9" s="14" customFormat="1" ht="15" customHeight="1">
      <c r="D1930" s="12" t="str">
        <f>IF(C1930&gt;0,(VLOOKUP(C1930,'Blnct AR'!$C$2:$D$2255,2,0))," ")</f>
        <v xml:space="preserve"> </v>
      </c>
      <c r="F1930" s="19"/>
      <c r="G1930" s="19"/>
      <c r="I1930" s="37"/>
    </row>
    <row r="1931" spans="4:9" s="14" customFormat="1" ht="15" customHeight="1">
      <c r="D1931" s="12" t="str">
        <f>IF(C1931&gt;0,(VLOOKUP(C1931,'Blnct AR'!$C$2:$D$2255,2,0))," ")</f>
        <v xml:space="preserve"> </v>
      </c>
      <c r="F1931" s="19"/>
      <c r="G1931" s="19"/>
      <c r="I1931" s="37"/>
    </row>
    <row r="1932" spans="4:9" s="14" customFormat="1" ht="15" customHeight="1">
      <c r="D1932" s="12" t="str">
        <f>IF(C1932&gt;0,(VLOOKUP(C1932,'Blnct AR'!$C$2:$D$2255,2,0))," ")</f>
        <v xml:space="preserve"> </v>
      </c>
      <c r="F1932" s="19"/>
      <c r="G1932" s="19"/>
      <c r="I1932" s="37"/>
    </row>
    <row r="1933" spans="4:9" s="14" customFormat="1" ht="15" customHeight="1">
      <c r="D1933" s="12" t="str">
        <f>IF(C1933&gt;0,(VLOOKUP(C1933,'Blnct AR'!$C$2:$D$2255,2,0))," ")</f>
        <v xml:space="preserve"> </v>
      </c>
      <c r="F1933" s="19"/>
      <c r="G1933" s="19"/>
      <c r="I1933" s="37"/>
    </row>
    <row r="1934" spans="4:9" s="14" customFormat="1" ht="15" customHeight="1">
      <c r="D1934" s="12" t="str">
        <f>IF(C1934&gt;0,(VLOOKUP(C1934,'Blnct AR'!$C$2:$D$2255,2,0))," ")</f>
        <v xml:space="preserve"> </v>
      </c>
      <c r="F1934" s="19"/>
      <c r="G1934" s="19"/>
      <c r="I1934" s="37"/>
    </row>
    <row r="1935" spans="4:9" s="14" customFormat="1" ht="15" customHeight="1">
      <c r="D1935" s="12" t="str">
        <f>IF(C1935&gt;0,(VLOOKUP(C1935,'Blnct AR'!$C$2:$D$2255,2,0))," ")</f>
        <v xml:space="preserve"> </v>
      </c>
      <c r="F1935" s="19"/>
      <c r="G1935" s="19"/>
      <c r="I1935" s="37"/>
    </row>
    <row r="1936" spans="4:9" s="14" customFormat="1" ht="15" customHeight="1">
      <c r="D1936" s="12" t="str">
        <f>IF(C1936&gt;0,(VLOOKUP(C1936,'Blnct AR'!$C$2:$D$2255,2,0))," ")</f>
        <v xml:space="preserve"> </v>
      </c>
      <c r="F1936" s="19"/>
      <c r="G1936" s="19"/>
      <c r="I1936" s="37"/>
    </row>
    <row r="1937" spans="4:9" s="14" customFormat="1" ht="15" customHeight="1">
      <c r="D1937" s="12" t="str">
        <f>IF(C1937&gt;0,(VLOOKUP(C1937,'Blnct AR'!$C$2:$D$2255,2,0))," ")</f>
        <v xml:space="preserve"> </v>
      </c>
      <c r="F1937" s="19"/>
      <c r="G1937" s="19"/>
      <c r="I1937" s="37"/>
    </row>
    <row r="1938" spans="4:9" s="14" customFormat="1" ht="15" customHeight="1">
      <c r="D1938" s="12" t="str">
        <f>IF(C1938&gt;0,(VLOOKUP(C1938,'Blnct AR'!$C$2:$D$2255,2,0))," ")</f>
        <v xml:space="preserve"> </v>
      </c>
      <c r="F1938" s="19"/>
      <c r="G1938" s="19"/>
      <c r="I1938" s="37"/>
    </row>
    <row r="1939" spans="4:9" s="14" customFormat="1" ht="15" customHeight="1">
      <c r="D1939" s="12" t="str">
        <f>IF(C1939&gt;0,(VLOOKUP(C1939,'Blnct AR'!$C$2:$D$2255,2,0))," ")</f>
        <v xml:space="preserve"> </v>
      </c>
      <c r="F1939" s="19"/>
      <c r="G1939" s="19"/>
      <c r="I1939" s="37"/>
    </row>
    <row r="1940" spans="4:9" s="14" customFormat="1" ht="15" customHeight="1">
      <c r="D1940" s="12" t="str">
        <f>IF(C1940&gt;0,(VLOOKUP(C1940,'Blnct AR'!$C$2:$D$2255,2,0))," ")</f>
        <v xml:space="preserve"> </v>
      </c>
      <c r="F1940" s="19"/>
      <c r="G1940" s="19"/>
      <c r="I1940" s="37"/>
    </row>
    <row r="1941" spans="4:9" s="14" customFormat="1" ht="15" customHeight="1">
      <c r="D1941" s="12" t="str">
        <f>IF(C1941&gt;0,(VLOOKUP(C1941,'Blnct AR'!$C$2:$D$2255,2,0))," ")</f>
        <v xml:space="preserve"> </v>
      </c>
      <c r="F1941" s="19"/>
      <c r="G1941" s="19"/>
      <c r="I1941" s="37"/>
    </row>
    <row r="1942" spans="4:9" s="14" customFormat="1" ht="15" customHeight="1">
      <c r="D1942" s="12" t="str">
        <f>IF(C1942&gt;0,(VLOOKUP(C1942,'Blnct AR'!$C$2:$D$2255,2,0))," ")</f>
        <v xml:space="preserve"> </v>
      </c>
      <c r="F1942" s="19"/>
      <c r="G1942" s="19"/>
      <c r="I1942" s="37"/>
    </row>
    <row r="1943" spans="4:9" s="14" customFormat="1" ht="15" customHeight="1">
      <c r="D1943" s="12" t="str">
        <f>IF(C1943&gt;0,(VLOOKUP(C1943,'Blnct AR'!$C$2:$D$2255,2,0))," ")</f>
        <v xml:space="preserve"> </v>
      </c>
      <c r="F1943" s="19"/>
      <c r="G1943" s="19"/>
      <c r="I1943" s="37"/>
    </row>
    <row r="1944" spans="4:9" s="14" customFormat="1" ht="15" customHeight="1">
      <c r="D1944" s="12" t="str">
        <f>IF(C1944&gt;0,(VLOOKUP(C1944,'Blnct AR'!$C$2:$D$2255,2,0))," ")</f>
        <v xml:space="preserve"> </v>
      </c>
      <c r="F1944" s="19"/>
      <c r="G1944" s="19"/>
      <c r="I1944" s="37"/>
    </row>
    <row r="1945" spans="4:9" s="14" customFormat="1" ht="15" customHeight="1">
      <c r="D1945" s="12" t="str">
        <f>IF(C1945&gt;0,(VLOOKUP(C1945,'Blnct AR'!$C$2:$D$2255,2,0))," ")</f>
        <v xml:space="preserve"> </v>
      </c>
      <c r="F1945" s="19"/>
      <c r="G1945" s="19"/>
      <c r="I1945" s="37"/>
    </row>
    <row r="1946" spans="4:9" s="14" customFormat="1" ht="15" customHeight="1">
      <c r="D1946" s="12" t="str">
        <f>IF(C1946&gt;0,(VLOOKUP(C1946,'Blnct AR'!$C$2:$D$2255,2,0))," ")</f>
        <v xml:space="preserve"> </v>
      </c>
      <c r="F1946" s="19"/>
      <c r="G1946" s="19"/>
      <c r="I1946" s="37"/>
    </row>
    <row r="1947" spans="4:9" s="14" customFormat="1" ht="15" customHeight="1">
      <c r="D1947" s="12" t="str">
        <f>IF(C1947&gt;0,(VLOOKUP(C1947,'Blnct AR'!$C$2:$D$2255,2,0))," ")</f>
        <v xml:space="preserve"> </v>
      </c>
      <c r="F1947" s="19"/>
      <c r="G1947" s="19"/>
      <c r="I1947" s="37"/>
    </row>
    <row r="1948" spans="4:9" s="14" customFormat="1" ht="15" customHeight="1">
      <c r="D1948" s="12" t="str">
        <f>IF(C1948&gt;0,(VLOOKUP(C1948,'Blnct AR'!$C$2:$D$2255,2,0))," ")</f>
        <v xml:space="preserve"> </v>
      </c>
      <c r="F1948" s="19"/>
      <c r="G1948" s="19"/>
      <c r="I1948" s="37"/>
    </row>
    <row r="1949" spans="4:9" s="14" customFormat="1" ht="15" customHeight="1">
      <c r="D1949" s="12" t="str">
        <f>IF(C1949&gt;0,(VLOOKUP(C1949,'Blnct AR'!$C$2:$D$2255,2,0))," ")</f>
        <v xml:space="preserve"> </v>
      </c>
      <c r="F1949" s="19"/>
      <c r="G1949" s="19"/>
      <c r="I1949" s="37"/>
    </row>
    <row r="1950" spans="4:9" s="14" customFormat="1" ht="15" customHeight="1">
      <c r="D1950" s="12" t="str">
        <f>IF(C1950&gt;0,(VLOOKUP(C1950,'Blnct AR'!$C$2:$D$2255,2,0))," ")</f>
        <v xml:space="preserve"> </v>
      </c>
      <c r="F1950" s="19"/>
      <c r="G1950" s="19"/>
      <c r="I1950" s="37"/>
    </row>
    <row r="1951" spans="4:9" s="14" customFormat="1" ht="15" customHeight="1">
      <c r="D1951" s="12" t="str">
        <f>IF(C1951&gt;0,(VLOOKUP(C1951,'Blnct AR'!$C$2:$D$2255,2,0))," ")</f>
        <v xml:space="preserve"> </v>
      </c>
      <c r="F1951" s="19"/>
      <c r="G1951" s="19"/>
      <c r="I1951" s="37"/>
    </row>
    <row r="1952" spans="4:9" s="14" customFormat="1" ht="15" customHeight="1">
      <c r="D1952" s="12" t="str">
        <f>IF(C1952&gt;0,(VLOOKUP(C1952,'Blnct AR'!$C$2:$D$2255,2,0))," ")</f>
        <v xml:space="preserve"> </v>
      </c>
      <c r="F1952" s="19"/>
      <c r="G1952" s="19"/>
      <c r="I1952" s="37"/>
    </row>
    <row r="1953" spans="4:9" s="14" customFormat="1" ht="15" customHeight="1">
      <c r="D1953" s="12" t="str">
        <f>IF(C1953&gt;0,(VLOOKUP(C1953,'Blnct AR'!$C$2:$D$2255,2,0))," ")</f>
        <v xml:space="preserve"> </v>
      </c>
      <c r="F1953" s="19"/>
      <c r="G1953" s="19"/>
      <c r="I1953" s="37"/>
    </row>
    <row r="1954" spans="4:9" s="14" customFormat="1" ht="15" customHeight="1">
      <c r="D1954" s="12" t="str">
        <f>IF(C1954&gt;0,(VLOOKUP(C1954,'Blnct AR'!$C$2:$D$2255,2,0))," ")</f>
        <v xml:space="preserve"> </v>
      </c>
      <c r="F1954" s="19"/>
      <c r="G1954" s="19"/>
      <c r="I1954" s="37"/>
    </row>
    <row r="1955" spans="4:9" s="14" customFormat="1" ht="15" customHeight="1">
      <c r="D1955" s="12" t="str">
        <f>IF(C1955&gt;0,(VLOOKUP(C1955,'Blnct AR'!$C$2:$D$2255,2,0))," ")</f>
        <v xml:space="preserve"> </v>
      </c>
      <c r="F1955" s="19"/>
      <c r="G1955" s="19"/>
      <c r="I1955" s="37"/>
    </row>
    <row r="1956" spans="4:9" s="14" customFormat="1" ht="15" customHeight="1">
      <c r="D1956" s="12" t="str">
        <f>IF(C1956&gt;0,(VLOOKUP(C1956,'Blnct AR'!$C$2:$D$2255,2,0))," ")</f>
        <v xml:space="preserve"> </v>
      </c>
      <c r="F1956" s="19"/>
      <c r="G1956" s="19"/>
      <c r="I1956" s="37"/>
    </row>
    <row r="1957" spans="4:9" s="14" customFormat="1" ht="15" customHeight="1">
      <c r="D1957" s="12" t="str">
        <f>IF(C1957&gt;0,(VLOOKUP(C1957,'Blnct AR'!$C$2:$D$2255,2,0))," ")</f>
        <v xml:space="preserve"> </v>
      </c>
      <c r="F1957" s="19"/>
      <c r="G1957" s="19"/>
      <c r="I1957" s="37"/>
    </row>
    <row r="1958" spans="4:9" s="14" customFormat="1" ht="15" customHeight="1">
      <c r="D1958" s="12" t="str">
        <f>IF(C1958&gt;0,(VLOOKUP(C1958,'Blnct AR'!$C$2:$D$2255,2,0))," ")</f>
        <v xml:space="preserve"> </v>
      </c>
      <c r="F1958" s="19"/>
      <c r="G1958" s="19"/>
      <c r="I1958" s="37"/>
    </row>
    <row r="1959" spans="4:9" s="14" customFormat="1" ht="15" customHeight="1">
      <c r="D1959" s="12" t="str">
        <f>IF(C1959&gt;0,(VLOOKUP(C1959,'Blnct AR'!$C$2:$D$2255,2,0))," ")</f>
        <v xml:space="preserve"> </v>
      </c>
      <c r="F1959" s="19"/>
      <c r="G1959" s="19"/>
      <c r="I1959" s="37"/>
    </row>
    <row r="1960" spans="4:9" s="14" customFormat="1" ht="15" customHeight="1">
      <c r="D1960" s="12" t="str">
        <f>IF(C1960&gt;0,(VLOOKUP(C1960,'Blnct AR'!$C$2:$D$2255,2,0))," ")</f>
        <v xml:space="preserve"> </v>
      </c>
      <c r="F1960" s="19"/>
      <c r="G1960" s="19"/>
      <c r="I1960" s="37"/>
    </row>
    <row r="1961" spans="4:9" s="14" customFormat="1" ht="15" customHeight="1">
      <c r="D1961" s="12" t="str">
        <f>IF(C1961&gt;0,(VLOOKUP(C1961,'Blnct AR'!$C$2:$D$2255,2,0))," ")</f>
        <v xml:space="preserve"> </v>
      </c>
      <c r="F1961" s="19"/>
      <c r="G1961" s="19"/>
      <c r="I1961" s="37"/>
    </row>
    <row r="1962" spans="4:9" s="14" customFormat="1" ht="15" customHeight="1">
      <c r="D1962" s="12" t="str">
        <f>IF(C1962&gt;0,(VLOOKUP(C1962,'Blnct AR'!$C$2:$D$2255,2,0))," ")</f>
        <v xml:space="preserve"> </v>
      </c>
      <c r="F1962" s="19"/>
      <c r="G1962" s="19"/>
      <c r="I1962" s="37"/>
    </row>
    <row r="1963" spans="4:9" s="14" customFormat="1" ht="15" customHeight="1">
      <c r="D1963" s="12" t="str">
        <f>IF(C1963&gt;0,(VLOOKUP(C1963,'Blnct AR'!$C$2:$D$2255,2,0))," ")</f>
        <v xml:space="preserve"> </v>
      </c>
      <c r="F1963" s="19"/>
      <c r="G1963" s="19"/>
      <c r="I1963" s="37"/>
    </row>
    <row r="1964" spans="4:9" s="14" customFormat="1" ht="15" customHeight="1">
      <c r="D1964" s="12" t="str">
        <f>IF(C1964&gt;0,(VLOOKUP(C1964,'Blnct AR'!$C$2:$D$2255,2,0))," ")</f>
        <v xml:space="preserve"> </v>
      </c>
      <c r="F1964" s="19"/>
      <c r="G1964" s="19"/>
      <c r="I1964" s="37"/>
    </row>
    <row r="1965" spans="4:9" s="14" customFormat="1" ht="15" customHeight="1">
      <c r="D1965" s="12" t="str">
        <f>IF(C1965&gt;0,(VLOOKUP(C1965,'Blnct AR'!$C$2:$D$2255,2,0))," ")</f>
        <v xml:space="preserve"> </v>
      </c>
      <c r="F1965" s="19"/>
      <c r="G1965" s="19"/>
      <c r="I1965" s="37"/>
    </row>
    <row r="1966" spans="4:9" s="14" customFormat="1" ht="15" customHeight="1">
      <c r="D1966" s="12" t="str">
        <f>IF(C1966&gt;0,(VLOOKUP(C1966,'Blnct AR'!$C$2:$D$2255,2,0))," ")</f>
        <v xml:space="preserve"> </v>
      </c>
      <c r="F1966" s="19"/>
      <c r="G1966" s="19"/>
      <c r="I1966" s="37"/>
    </row>
    <row r="1967" spans="4:9" s="14" customFormat="1" ht="15" customHeight="1">
      <c r="D1967" s="12" t="str">
        <f>IF(C1967&gt;0,(VLOOKUP(C1967,'Blnct AR'!$C$2:$D$2255,2,0))," ")</f>
        <v xml:space="preserve"> </v>
      </c>
      <c r="F1967" s="19"/>
      <c r="G1967" s="19"/>
      <c r="I1967" s="37"/>
    </row>
    <row r="1968" spans="4:9" s="14" customFormat="1" ht="15" customHeight="1">
      <c r="D1968" s="12" t="str">
        <f>IF(C1968&gt;0,(VLOOKUP(C1968,'Blnct AR'!$C$2:$D$2255,2,0))," ")</f>
        <v xml:space="preserve"> </v>
      </c>
      <c r="F1968" s="19"/>
      <c r="G1968" s="19"/>
      <c r="I1968" s="37"/>
    </row>
    <row r="1969" spans="4:9" s="14" customFormat="1" ht="15" customHeight="1">
      <c r="D1969" s="12" t="str">
        <f>IF(C1969&gt;0,(VLOOKUP(C1969,'Blnct AR'!$C$2:$D$2255,2,0))," ")</f>
        <v xml:space="preserve"> </v>
      </c>
      <c r="F1969" s="19"/>
      <c r="G1969" s="19"/>
      <c r="I1969" s="37"/>
    </row>
    <row r="1970" spans="4:9" s="14" customFormat="1" ht="15" customHeight="1">
      <c r="D1970" s="12" t="str">
        <f>IF(C1970&gt;0,(VLOOKUP(C1970,'Blnct AR'!$C$2:$D$2255,2,0))," ")</f>
        <v xml:space="preserve"> </v>
      </c>
      <c r="F1970" s="19"/>
      <c r="G1970" s="19"/>
      <c r="I1970" s="37"/>
    </row>
    <row r="1971" spans="4:9" s="14" customFormat="1" ht="15" customHeight="1">
      <c r="D1971" s="12" t="str">
        <f>IF(C1971&gt;0,(VLOOKUP(C1971,'Blnct AR'!$C$2:$D$2255,2,0))," ")</f>
        <v xml:space="preserve"> </v>
      </c>
      <c r="F1971" s="19"/>
      <c r="G1971" s="19"/>
      <c r="I1971" s="37"/>
    </row>
    <row r="1972" spans="4:9" s="14" customFormat="1" ht="15" customHeight="1">
      <c r="D1972" s="12" t="str">
        <f>IF(C1972&gt;0,(VLOOKUP(C1972,'Blnct AR'!$C$2:$D$2255,2,0))," ")</f>
        <v xml:space="preserve"> </v>
      </c>
      <c r="F1972" s="19"/>
      <c r="G1972" s="19"/>
      <c r="I1972" s="37"/>
    </row>
    <row r="1973" spans="4:9" s="14" customFormat="1" ht="15" customHeight="1">
      <c r="D1973" s="12" t="str">
        <f>IF(C1973&gt;0,(VLOOKUP(C1973,'Blnct AR'!$C$2:$D$2255,2,0))," ")</f>
        <v xml:space="preserve"> </v>
      </c>
      <c r="F1973" s="19"/>
      <c r="G1973" s="19"/>
      <c r="I1973" s="37"/>
    </row>
    <row r="1974" spans="4:9" s="14" customFormat="1" ht="15" customHeight="1">
      <c r="D1974" s="12" t="str">
        <f>IF(C1974&gt;0,(VLOOKUP(C1974,'Blnct AR'!$C$2:$D$2255,2,0))," ")</f>
        <v xml:space="preserve"> </v>
      </c>
      <c r="F1974" s="19"/>
      <c r="G1974" s="19"/>
      <c r="I1974" s="37"/>
    </row>
    <row r="1975" spans="4:9" s="14" customFormat="1" ht="15" customHeight="1">
      <c r="D1975" s="12" t="str">
        <f>IF(C1975&gt;0,(VLOOKUP(C1975,'Blnct AR'!$C$2:$D$2255,2,0))," ")</f>
        <v xml:space="preserve"> </v>
      </c>
      <c r="F1975" s="19"/>
      <c r="G1975" s="19"/>
      <c r="I1975" s="37"/>
    </row>
    <row r="1976" spans="4:9" s="14" customFormat="1" ht="15" customHeight="1">
      <c r="D1976" s="12" t="str">
        <f>IF(C1976&gt;0,(VLOOKUP(C1976,'Blnct AR'!$C$2:$D$2255,2,0))," ")</f>
        <v xml:space="preserve"> </v>
      </c>
      <c r="F1976" s="19"/>
      <c r="G1976" s="19"/>
      <c r="I1976" s="37"/>
    </row>
    <row r="1977" spans="4:9" s="14" customFormat="1" ht="15" customHeight="1">
      <c r="D1977" s="12" t="str">
        <f>IF(C1977&gt;0,(VLOOKUP(C1977,'Blnct AR'!$C$2:$D$2255,2,0))," ")</f>
        <v xml:space="preserve"> </v>
      </c>
      <c r="F1977" s="19"/>
      <c r="G1977" s="19"/>
      <c r="I1977" s="37"/>
    </row>
    <row r="1978" spans="4:9" s="14" customFormat="1" ht="15" customHeight="1">
      <c r="D1978" s="12" t="str">
        <f>IF(C1978&gt;0,(VLOOKUP(C1978,'Blnct AR'!$C$2:$D$2255,2,0))," ")</f>
        <v xml:space="preserve"> </v>
      </c>
      <c r="F1978" s="19"/>
      <c r="G1978" s="19"/>
      <c r="I1978" s="37"/>
    </row>
    <row r="1979" spans="4:9" s="14" customFormat="1" ht="15" customHeight="1">
      <c r="D1979" s="12" t="str">
        <f>IF(C1979&gt;0,(VLOOKUP(C1979,'Blnct AR'!$C$2:$D$2255,2,0))," ")</f>
        <v xml:space="preserve"> </v>
      </c>
      <c r="F1979" s="19"/>
      <c r="G1979" s="19"/>
      <c r="I1979" s="37"/>
    </row>
    <row r="1980" spans="4:9" s="14" customFormat="1" ht="15" customHeight="1">
      <c r="D1980" s="12" t="str">
        <f>IF(C1980&gt;0,(VLOOKUP(C1980,'Blnct AR'!$C$2:$D$2255,2,0))," ")</f>
        <v xml:space="preserve"> </v>
      </c>
      <c r="F1980" s="19"/>
      <c r="G1980" s="19"/>
      <c r="I1980" s="37"/>
    </row>
    <row r="1981" spans="4:9" s="14" customFormat="1" ht="15" customHeight="1">
      <c r="D1981" s="12" t="str">
        <f>IF(C1981&gt;0,(VLOOKUP(C1981,'Blnct AR'!$C$2:$D$2255,2,0))," ")</f>
        <v xml:space="preserve"> </v>
      </c>
      <c r="F1981" s="19"/>
      <c r="G1981" s="19"/>
      <c r="I1981" s="37"/>
    </row>
    <row r="1982" spans="4:9" s="14" customFormat="1" ht="15" customHeight="1">
      <c r="D1982" s="12" t="str">
        <f>IF(C1982&gt;0,(VLOOKUP(C1982,'Blnct AR'!$C$2:$D$2255,2,0))," ")</f>
        <v xml:space="preserve"> </v>
      </c>
      <c r="F1982" s="19"/>
      <c r="G1982" s="19"/>
      <c r="I1982" s="37"/>
    </row>
    <row r="1983" spans="4:9" s="14" customFormat="1" ht="15" customHeight="1">
      <c r="D1983" s="12" t="str">
        <f>IF(C1983&gt;0,(VLOOKUP(C1983,'Blnct AR'!$C$2:$D$2255,2,0))," ")</f>
        <v xml:space="preserve"> </v>
      </c>
      <c r="F1983" s="19"/>
      <c r="G1983" s="19"/>
      <c r="I1983" s="37"/>
    </row>
    <row r="1984" spans="4:9" s="14" customFormat="1" ht="15" customHeight="1">
      <c r="D1984" s="12" t="str">
        <f>IF(C1984&gt;0,(VLOOKUP(C1984,'Blnct AR'!$C$2:$D$2255,2,0))," ")</f>
        <v xml:space="preserve"> </v>
      </c>
      <c r="F1984" s="19"/>
      <c r="G1984" s="19"/>
      <c r="I1984" s="37"/>
    </row>
    <row r="1985" spans="4:9" s="14" customFormat="1" ht="15" customHeight="1">
      <c r="D1985" s="12" t="str">
        <f>IF(C1985&gt;0,(VLOOKUP(C1985,'Blnct AR'!$C$2:$D$2255,2,0))," ")</f>
        <v xml:space="preserve"> </v>
      </c>
      <c r="F1985" s="19"/>
      <c r="G1985" s="19"/>
      <c r="I1985" s="37"/>
    </row>
    <row r="1986" spans="4:9" s="14" customFormat="1" ht="15" customHeight="1">
      <c r="D1986" s="12" t="str">
        <f>IF(C1986&gt;0,(VLOOKUP(C1986,'Blnct AR'!$C$2:$D$2255,2,0))," ")</f>
        <v xml:space="preserve"> </v>
      </c>
      <c r="F1986" s="19"/>
      <c r="G1986" s="19"/>
      <c r="I1986" s="37"/>
    </row>
    <row r="1987" spans="4:9" s="14" customFormat="1" ht="15" customHeight="1">
      <c r="D1987" s="12" t="str">
        <f>IF(C1987&gt;0,(VLOOKUP(C1987,'Blnct AR'!$C$2:$D$2255,2,0))," ")</f>
        <v xml:space="preserve"> </v>
      </c>
      <c r="F1987" s="19"/>
      <c r="G1987" s="19"/>
      <c r="I1987" s="37"/>
    </row>
    <row r="1988" spans="4:9" s="14" customFormat="1" ht="15" customHeight="1">
      <c r="D1988" s="12" t="str">
        <f>IF(C1988&gt;0,(VLOOKUP(C1988,'Blnct AR'!$C$2:$D$2255,2,0))," ")</f>
        <v xml:space="preserve"> </v>
      </c>
      <c r="F1988" s="19"/>
      <c r="G1988" s="19"/>
      <c r="I1988" s="37"/>
    </row>
    <row r="1989" spans="4:9" s="14" customFormat="1" ht="15" customHeight="1">
      <c r="D1989" s="12" t="str">
        <f>IF(C1989&gt;0,(VLOOKUP(C1989,'Blnct AR'!$C$2:$D$2255,2,0))," ")</f>
        <v xml:space="preserve"> </v>
      </c>
      <c r="F1989" s="19"/>
      <c r="G1989" s="19"/>
      <c r="I1989" s="37"/>
    </row>
    <row r="1990" spans="4:9" s="14" customFormat="1" ht="15" customHeight="1">
      <c r="D1990" s="12" t="str">
        <f>IF(C1990&gt;0,(VLOOKUP(C1990,'Blnct AR'!$C$2:$D$2255,2,0))," ")</f>
        <v xml:space="preserve"> </v>
      </c>
      <c r="F1990" s="19"/>
      <c r="G1990" s="19"/>
      <c r="I1990" s="37"/>
    </row>
    <row r="1991" spans="4:9" s="14" customFormat="1" ht="15" customHeight="1">
      <c r="D1991" s="12" t="str">
        <f>IF(C1991&gt;0,(VLOOKUP(C1991,'Blnct AR'!$C$2:$D$2255,2,0))," ")</f>
        <v xml:space="preserve"> </v>
      </c>
      <c r="F1991" s="19"/>
      <c r="G1991" s="19"/>
      <c r="I1991" s="37"/>
    </row>
    <row r="1992" spans="4:9" s="14" customFormat="1" ht="15" customHeight="1">
      <c r="D1992" s="12" t="str">
        <f>IF(C1992&gt;0,(VLOOKUP(C1992,'Blnct AR'!$C$2:$D$2255,2,0))," ")</f>
        <v xml:space="preserve"> </v>
      </c>
      <c r="F1992" s="19"/>
      <c r="G1992" s="19"/>
      <c r="I1992" s="37"/>
    </row>
    <row r="1993" spans="4:9" s="14" customFormat="1" ht="15" customHeight="1">
      <c r="D1993" s="12" t="str">
        <f>IF(C1993&gt;0,(VLOOKUP(C1993,'Blnct AR'!$C$2:$D$2255,2,0))," ")</f>
        <v xml:space="preserve"> </v>
      </c>
      <c r="F1993" s="19"/>
      <c r="G1993" s="19"/>
      <c r="I1993" s="37"/>
    </row>
    <row r="1994" spans="4:9" s="14" customFormat="1" ht="15" customHeight="1">
      <c r="D1994" s="12" t="str">
        <f>IF(C1994&gt;0,(VLOOKUP(C1994,'Blnct AR'!$C$2:$D$2255,2,0))," ")</f>
        <v xml:space="preserve"> </v>
      </c>
      <c r="F1994" s="19"/>
      <c r="G1994" s="19"/>
      <c r="I1994" s="37"/>
    </row>
    <row r="1995" spans="4:9" s="14" customFormat="1" ht="15" customHeight="1">
      <c r="D1995" s="12" t="str">
        <f>IF(C1995&gt;0,(VLOOKUP(C1995,'Blnct AR'!$C$2:$D$2255,2,0))," ")</f>
        <v xml:space="preserve"> </v>
      </c>
      <c r="F1995" s="19"/>
      <c r="G1995" s="19"/>
      <c r="I1995" s="37"/>
    </row>
    <row r="1996" spans="4:9" s="14" customFormat="1" ht="15" customHeight="1">
      <c r="D1996" s="12" t="str">
        <f>IF(C1996&gt;0,(VLOOKUP(C1996,'Blnct AR'!$C$2:$D$2255,2,0))," ")</f>
        <v xml:space="preserve"> </v>
      </c>
      <c r="F1996" s="19"/>
      <c r="G1996" s="19"/>
      <c r="I1996" s="37"/>
    </row>
    <row r="1997" spans="4:9" s="14" customFormat="1" ht="15" customHeight="1">
      <c r="D1997" s="12" t="str">
        <f>IF(C1997&gt;0,(VLOOKUP(C1997,'Blnct AR'!$C$2:$D$2255,2,0))," ")</f>
        <v xml:space="preserve"> </v>
      </c>
      <c r="F1997" s="19"/>
      <c r="G1997" s="19"/>
      <c r="I1997" s="37"/>
    </row>
    <row r="1998" spans="4:9" s="14" customFormat="1" ht="15" customHeight="1">
      <c r="D1998" s="12" t="str">
        <f>IF(C1998&gt;0,(VLOOKUP(C1998,'Blnct AR'!$C$2:$D$2255,2,0))," ")</f>
        <v xml:space="preserve"> </v>
      </c>
      <c r="F1998" s="19"/>
      <c r="G1998" s="19"/>
      <c r="I1998" s="37"/>
    </row>
    <row r="1999" spans="4:9" s="14" customFormat="1" ht="15" customHeight="1">
      <c r="D1999" s="12" t="str">
        <f>IF(C1999&gt;0,(VLOOKUP(C1999,'Blnct AR'!$C$2:$D$2255,2,0))," ")</f>
        <v xml:space="preserve"> </v>
      </c>
      <c r="F1999" s="19"/>
      <c r="G1999" s="19"/>
      <c r="I1999" s="37"/>
    </row>
    <row r="2000" spans="4:9" s="14" customFormat="1" ht="15" customHeight="1">
      <c r="D2000" s="12" t="str">
        <f>IF(C2000&gt;0,(VLOOKUP(C2000,'Blnct AR'!$C$2:$D$2255,2,0))," ")</f>
        <v xml:space="preserve"> </v>
      </c>
      <c r="F2000" s="19"/>
      <c r="G2000" s="19"/>
      <c r="I2000" s="37"/>
    </row>
    <row r="2001" spans="4:9" s="14" customFormat="1" ht="15" customHeight="1">
      <c r="D2001" s="12" t="str">
        <f>IF(C2001&gt;0,(VLOOKUP(C2001,'Blnct AR'!$C$2:$D$2255,2,0))," ")</f>
        <v xml:space="preserve"> </v>
      </c>
      <c r="F2001" s="19"/>
      <c r="G2001" s="19"/>
      <c r="I2001" s="37"/>
    </row>
    <row r="2002" spans="4:9" s="14" customFormat="1" ht="15" customHeight="1">
      <c r="D2002" s="12" t="str">
        <f>IF(C2002&gt;0,(VLOOKUP(C2002,'Blnct AR'!$C$2:$D$2255,2,0))," ")</f>
        <v xml:space="preserve"> </v>
      </c>
      <c r="F2002" s="19"/>
      <c r="G2002" s="19"/>
      <c r="I2002" s="37"/>
    </row>
    <row r="2003" spans="4:9" s="14" customFormat="1" ht="15" customHeight="1">
      <c r="D2003" s="12" t="str">
        <f>IF(C2003&gt;0,(VLOOKUP(C2003,'Blnct AR'!$C$2:$D$2255,2,0))," ")</f>
        <v xml:space="preserve"> </v>
      </c>
      <c r="F2003" s="19"/>
      <c r="G2003" s="19"/>
      <c r="I2003" s="37"/>
    </row>
    <row r="2004" spans="4:9" s="14" customFormat="1" ht="15" customHeight="1">
      <c r="D2004" s="12" t="str">
        <f>IF(C2004&gt;0,(VLOOKUP(C2004,'Blnct AR'!$C$2:$D$2255,2,0))," ")</f>
        <v xml:space="preserve"> </v>
      </c>
      <c r="F2004" s="19"/>
      <c r="G2004" s="19"/>
      <c r="I2004" s="37"/>
    </row>
    <row r="2005" spans="4:9" s="14" customFormat="1" ht="15" customHeight="1">
      <c r="D2005" s="12" t="str">
        <f>IF(C2005&gt;0,(VLOOKUP(C2005,'Blnct AR'!$C$2:$D$2255,2,0))," ")</f>
        <v xml:space="preserve"> </v>
      </c>
      <c r="F2005" s="19"/>
      <c r="G2005" s="19"/>
      <c r="I2005" s="37"/>
    </row>
    <row r="2006" spans="4:9" s="14" customFormat="1" ht="15" customHeight="1">
      <c r="D2006" s="12" t="str">
        <f>IF(C2006&gt;0,(VLOOKUP(C2006,'Blnct AR'!$C$2:$D$2255,2,0))," ")</f>
        <v xml:space="preserve"> </v>
      </c>
      <c r="F2006" s="19"/>
      <c r="G2006" s="19"/>
      <c r="I2006" s="37"/>
    </row>
    <row r="2007" spans="4:9" s="14" customFormat="1" ht="15" customHeight="1">
      <c r="D2007" s="12" t="str">
        <f>IF(C2007&gt;0,(VLOOKUP(C2007,'Blnct AR'!$C$2:$D$2255,2,0))," ")</f>
        <v xml:space="preserve"> </v>
      </c>
      <c r="F2007" s="19"/>
      <c r="G2007" s="19"/>
      <c r="I2007" s="37"/>
    </row>
    <row r="2008" spans="4:9" s="14" customFormat="1" ht="15" customHeight="1">
      <c r="D2008" s="12" t="str">
        <f>IF(C2008&gt;0,(VLOOKUP(C2008,'Blnct AR'!$C$2:$D$2255,2,0))," ")</f>
        <v xml:space="preserve"> </v>
      </c>
      <c r="F2008" s="19"/>
      <c r="G2008" s="19"/>
      <c r="I2008" s="37"/>
    </row>
    <row r="2009" spans="4:9" s="14" customFormat="1" ht="15" customHeight="1">
      <c r="D2009" s="12" t="str">
        <f>IF(C2009&gt;0,(VLOOKUP(C2009,'Blnct AR'!$C$2:$D$2255,2,0))," ")</f>
        <v xml:space="preserve"> </v>
      </c>
      <c r="F2009" s="19"/>
      <c r="G2009" s="19"/>
      <c r="I2009" s="37"/>
    </row>
    <row r="2010" spans="4:9" s="14" customFormat="1" ht="15" customHeight="1">
      <c r="D2010" s="12" t="str">
        <f>IF(C2010&gt;0,(VLOOKUP(C2010,'Blnct AR'!$C$2:$D$2255,2,0))," ")</f>
        <v xml:space="preserve"> </v>
      </c>
      <c r="F2010" s="19"/>
      <c r="G2010" s="19"/>
      <c r="I2010" s="37"/>
    </row>
    <row r="2011" spans="4:9" s="14" customFormat="1" ht="15" customHeight="1">
      <c r="D2011" s="12" t="str">
        <f>IF(C2011&gt;0,(VLOOKUP(C2011,'Blnct AR'!$C$2:$D$2255,2,0))," ")</f>
        <v xml:space="preserve"> </v>
      </c>
      <c r="F2011" s="19"/>
      <c r="G2011" s="19"/>
      <c r="I2011" s="37"/>
    </row>
    <row r="2012" spans="4:9" s="14" customFormat="1" ht="15" customHeight="1">
      <c r="D2012" s="12" t="str">
        <f>IF(C2012&gt;0,(VLOOKUP(C2012,'Blnct AR'!$C$2:$D$2255,2,0))," ")</f>
        <v xml:space="preserve"> </v>
      </c>
      <c r="F2012" s="19"/>
      <c r="G2012" s="19"/>
      <c r="I2012" s="37"/>
    </row>
    <row r="2013" spans="4:9" s="14" customFormat="1" ht="15" customHeight="1">
      <c r="D2013" s="12" t="str">
        <f>IF(C2013&gt;0,(VLOOKUP(C2013,'Blnct AR'!$C$2:$D$2255,2,0))," ")</f>
        <v xml:space="preserve"> </v>
      </c>
      <c r="F2013" s="19"/>
      <c r="G2013" s="19"/>
      <c r="I2013" s="37"/>
    </row>
    <row r="2014" spans="4:9" s="14" customFormat="1" ht="15" customHeight="1">
      <c r="D2014" s="12" t="str">
        <f>IF(C2014&gt;0,(VLOOKUP(C2014,'Blnct AR'!$C$2:$D$2255,2,0))," ")</f>
        <v xml:space="preserve"> </v>
      </c>
      <c r="F2014" s="19"/>
      <c r="G2014" s="19"/>
      <c r="I2014" s="37"/>
    </row>
    <row r="2015" spans="4:9" s="14" customFormat="1" ht="15" customHeight="1">
      <c r="D2015" s="12" t="str">
        <f>IF(C2015&gt;0,(VLOOKUP(C2015,'Blnct AR'!$C$2:$D$2255,2,0))," ")</f>
        <v xml:space="preserve"> </v>
      </c>
      <c r="F2015" s="19"/>
      <c r="G2015" s="19"/>
      <c r="I2015" s="37"/>
    </row>
    <row r="2016" spans="4:9" s="14" customFormat="1" ht="15" customHeight="1">
      <c r="D2016" s="12" t="str">
        <f>IF(C2016&gt;0,(VLOOKUP(C2016,'Blnct AR'!$C$2:$D$2255,2,0))," ")</f>
        <v xml:space="preserve"> </v>
      </c>
      <c r="F2016" s="19"/>
      <c r="G2016" s="19"/>
      <c r="I2016" s="37"/>
    </row>
    <row r="2017" spans="4:9" s="14" customFormat="1" ht="15" customHeight="1">
      <c r="D2017" s="12" t="str">
        <f>IF(C2017&gt;0,(VLOOKUP(C2017,'Blnct AR'!$C$2:$D$2255,2,0))," ")</f>
        <v xml:space="preserve"> </v>
      </c>
      <c r="F2017" s="19"/>
      <c r="G2017" s="19"/>
      <c r="I2017" s="37"/>
    </row>
    <row r="2018" spans="4:9" s="14" customFormat="1" ht="15" customHeight="1">
      <c r="D2018" s="12" t="str">
        <f>IF(C2018&gt;0,(VLOOKUP(C2018,'Blnct AR'!$C$2:$D$2255,2,0))," ")</f>
        <v xml:space="preserve"> </v>
      </c>
      <c r="F2018" s="19"/>
      <c r="G2018" s="19"/>
      <c r="I2018" s="37"/>
    </row>
    <row r="2019" spans="4:9" s="14" customFormat="1" ht="15" customHeight="1">
      <c r="D2019" s="12" t="str">
        <f>IF(C2019&gt;0,(VLOOKUP(C2019,'Blnct AR'!$C$2:$D$2255,2,0))," ")</f>
        <v xml:space="preserve"> </v>
      </c>
      <c r="F2019" s="19"/>
      <c r="G2019" s="19"/>
      <c r="I2019" s="37"/>
    </row>
    <row r="2020" spans="4:9" s="14" customFormat="1" ht="15" customHeight="1">
      <c r="D2020" s="12" t="str">
        <f>IF(C2020&gt;0,(VLOOKUP(C2020,'Blnct AR'!$C$2:$D$2255,2,0))," ")</f>
        <v xml:space="preserve"> </v>
      </c>
      <c r="F2020" s="19"/>
      <c r="G2020" s="19"/>
      <c r="I2020" s="37"/>
    </row>
    <row r="2021" spans="4:9" s="14" customFormat="1" ht="15" customHeight="1">
      <c r="D2021" s="12" t="str">
        <f>IF(C2021&gt;0,(VLOOKUP(C2021,'Blnct AR'!$C$2:$D$2255,2,0))," ")</f>
        <v xml:space="preserve"> </v>
      </c>
      <c r="F2021" s="19"/>
      <c r="G2021" s="19"/>
      <c r="I2021" s="37"/>
    </row>
    <row r="2022" spans="4:9" s="14" customFormat="1" ht="15" customHeight="1">
      <c r="D2022" s="12" t="str">
        <f>IF(C2022&gt;0,(VLOOKUP(C2022,'Blnct AR'!$C$2:$D$2255,2,0))," ")</f>
        <v xml:space="preserve"> </v>
      </c>
      <c r="F2022" s="19"/>
      <c r="G2022" s="19"/>
      <c r="I2022" s="37"/>
    </row>
    <row r="2023" spans="4:9" s="14" customFormat="1" ht="15" customHeight="1">
      <c r="D2023" s="12" t="str">
        <f>IF(C2023&gt;0,(VLOOKUP(C2023,'Blnct AR'!$C$2:$D$2255,2,0))," ")</f>
        <v xml:space="preserve"> </v>
      </c>
      <c r="F2023" s="19"/>
      <c r="G2023" s="19"/>
      <c r="I2023" s="37"/>
    </row>
    <row r="2024" spans="4:9" s="14" customFormat="1" ht="15" customHeight="1">
      <c r="D2024" s="12" t="str">
        <f>IF(C2024&gt;0,(VLOOKUP(C2024,'Blnct AR'!$C$2:$D$2255,2,0))," ")</f>
        <v xml:space="preserve"> </v>
      </c>
      <c r="F2024" s="19"/>
      <c r="G2024" s="19"/>
      <c r="I2024" s="37"/>
    </row>
    <row r="2025" spans="4:9" s="14" customFormat="1" ht="15" customHeight="1">
      <c r="D2025" s="12" t="str">
        <f>IF(C2025&gt;0,(VLOOKUP(C2025,'Blnct AR'!$C$2:$D$2255,2,0))," ")</f>
        <v xml:space="preserve"> </v>
      </c>
      <c r="F2025" s="19"/>
      <c r="G2025" s="19"/>
      <c r="I2025" s="37"/>
    </row>
    <row r="2026" spans="4:9" s="14" customFormat="1" ht="15" customHeight="1">
      <c r="D2026" s="12" t="str">
        <f>IF(C2026&gt;0,(VLOOKUP(C2026,'Blnct AR'!$C$2:$D$2255,2,0))," ")</f>
        <v xml:space="preserve"> </v>
      </c>
      <c r="F2026" s="19"/>
      <c r="G2026" s="19"/>
      <c r="I2026" s="37"/>
    </row>
    <row r="2027" spans="4:9" s="14" customFormat="1" ht="15" customHeight="1">
      <c r="D2027" s="12" t="str">
        <f>IF(C2027&gt;0,(VLOOKUP(C2027,'Blnct AR'!$C$2:$D$2255,2,0))," ")</f>
        <v xml:space="preserve"> </v>
      </c>
      <c r="F2027" s="19"/>
      <c r="G2027" s="19"/>
      <c r="I2027" s="37"/>
    </row>
    <row r="2028" spans="4:9" s="14" customFormat="1" ht="15" customHeight="1">
      <c r="D2028" s="12" t="str">
        <f>IF(C2028&gt;0,(VLOOKUP(C2028,'Blnct AR'!$C$2:$D$2255,2,0))," ")</f>
        <v xml:space="preserve"> </v>
      </c>
      <c r="F2028" s="19"/>
      <c r="G2028" s="19"/>
      <c r="I2028" s="37"/>
    </row>
    <row r="2029" spans="4:9" s="14" customFormat="1" ht="15" customHeight="1">
      <c r="D2029" s="12" t="str">
        <f>IF(C2029&gt;0,(VLOOKUP(C2029,'Blnct AR'!$C$2:$D$2255,2,0))," ")</f>
        <v xml:space="preserve"> </v>
      </c>
      <c r="F2029" s="19"/>
      <c r="G2029" s="19"/>
      <c r="I2029" s="37"/>
    </row>
    <row r="2030" spans="4:9" s="14" customFormat="1" ht="15" customHeight="1">
      <c r="D2030" s="12" t="str">
        <f>IF(C2030&gt;0,(VLOOKUP(C2030,'Blnct AR'!$C$2:$D$2255,2,0))," ")</f>
        <v xml:space="preserve"> </v>
      </c>
      <c r="F2030" s="19"/>
      <c r="G2030" s="19"/>
      <c r="I2030" s="37"/>
    </row>
    <row r="2031" spans="4:9" s="14" customFormat="1" ht="15" customHeight="1">
      <c r="D2031" s="12" t="str">
        <f>IF(C2031&gt;0,(VLOOKUP(C2031,'Blnct AR'!$C$2:$D$2255,2,0))," ")</f>
        <v xml:space="preserve"> </v>
      </c>
      <c r="F2031" s="19"/>
      <c r="G2031" s="19"/>
      <c r="I2031" s="37"/>
    </row>
    <row r="2032" spans="4:9" s="14" customFormat="1" ht="15" customHeight="1">
      <c r="D2032" s="12" t="str">
        <f>IF(C2032&gt;0,(VLOOKUP(C2032,'Blnct AR'!$C$2:$D$2255,2,0))," ")</f>
        <v xml:space="preserve"> </v>
      </c>
      <c r="F2032" s="19"/>
      <c r="G2032" s="19"/>
      <c r="I2032" s="37"/>
    </row>
    <row r="2033" spans="4:9" s="14" customFormat="1" ht="15" customHeight="1">
      <c r="D2033" s="12" t="str">
        <f>IF(C2033&gt;0,(VLOOKUP(C2033,'Blnct AR'!$C$2:$D$2255,2,0))," ")</f>
        <v xml:space="preserve"> </v>
      </c>
      <c r="F2033" s="19"/>
      <c r="G2033" s="19"/>
      <c r="I2033" s="37"/>
    </row>
    <row r="2034" spans="4:9" s="14" customFormat="1" ht="15" customHeight="1">
      <c r="D2034" s="12" t="str">
        <f>IF(C2034&gt;0,(VLOOKUP(C2034,'Blnct AR'!$C$2:$D$2255,2,0))," ")</f>
        <v xml:space="preserve"> </v>
      </c>
      <c r="F2034" s="19"/>
      <c r="G2034" s="19"/>
      <c r="I2034" s="37"/>
    </row>
    <row r="2035" spans="4:9" s="14" customFormat="1" ht="15" customHeight="1">
      <c r="D2035" s="12" t="str">
        <f>IF(C2035&gt;0,(VLOOKUP(C2035,'Blnct AR'!$C$2:$D$2255,2,0))," ")</f>
        <v xml:space="preserve"> </v>
      </c>
      <c r="F2035" s="19"/>
      <c r="G2035" s="19"/>
      <c r="I2035" s="37"/>
    </row>
    <row r="2036" spans="4:9" s="14" customFormat="1" ht="15" customHeight="1">
      <c r="D2036" s="12" t="str">
        <f>IF(C2036&gt;0,(VLOOKUP(C2036,'Blnct AR'!$C$2:$D$2255,2,0))," ")</f>
        <v xml:space="preserve"> </v>
      </c>
      <c r="F2036" s="19"/>
      <c r="G2036" s="19"/>
      <c r="I2036" s="37"/>
    </row>
    <row r="2037" spans="4:9" s="14" customFormat="1" ht="15" customHeight="1">
      <c r="D2037" s="12" t="str">
        <f>IF(C2037&gt;0,(VLOOKUP(C2037,'Blnct AR'!$C$2:$D$2255,2,0))," ")</f>
        <v xml:space="preserve"> </v>
      </c>
      <c r="F2037" s="19"/>
      <c r="G2037" s="19"/>
      <c r="I2037" s="37"/>
    </row>
    <row r="2038" spans="4:9" s="14" customFormat="1" ht="15" customHeight="1">
      <c r="D2038" s="12" t="str">
        <f>IF(C2038&gt;0,(VLOOKUP(C2038,'Blnct AR'!$C$2:$D$2255,2,0))," ")</f>
        <v xml:space="preserve"> </v>
      </c>
      <c r="F2038" s="19"/>
      <c r="G2038" s="19"/>
      <c r="I2038" s="37"/>
    </row>
    <row r="2039" spans="4:9" s="14" customFormat="1" ht="15" customHeight="1">
      <c r="D2039" s="12" t="str">
        <f>IF(C2039&gt;0,(VLOOKUP(C2039,'Blnct AR'!$C$2:$D$2255,2,0))," ")</f>
        <v xml:space="preserve"> </v>
      </c>
      <c r="F2039" s="19"/>
      <c r="G2039" s="19"/>
      <c r="I2039" s="37"/>
    </row>
    <row r="2040" spans="4:9" s="14" customFormat="1" ht="15" customHeight="1">
      <c r="D2040" s="12" t="str">
        <f>IF(C2040&gt;0,(VLOOKUP(C2040,'Blnct AR'!$C$2:$D$2255,2,0))," ")</f>
        <v xml:space="preserve"> </v>
      </c>
      <c r="F2040" s="19"/>
      <c r="G2040" s="19"/>
      <c r="I2040" s="37"/>
    </row>
    <row r="2041" spans="4:9" s="14" customFormat="1" ht="15" customHeight="1">
      <c r="D2041" s="12" t="str">
        <f>IF(C2041&gt;0,(VLOOKUP(C2041,'Blnct AR'!$C$2:$D$2255,2,0))," ")</f>
        <v xml:space="preserve"> </v>
      </c>
      <c r="F2041" s="19"/>
      <c r="G2041" s="19"/>
      <c r="I2041" s="37"/>
    </row>
    <row r="2042" spans="4:9" s="14" customFormat="1" ht="15" customHeight="1">
      <c r="D2042" s="12" t="str">
        <f>IF(C2042&gt;0,(VLOOKUP(C2042,'Blnct AR'!$C$2:$D$2255,2,0))," ")</f>
        <v xml:space="preserve"> </v>
      </c>
      <c r="F2042" s="19"/>
      <c r="G2042" s="19"/>
      <c r="I2042" s="37"/>
    </row>
    <row r="2043" spans="4:9" s="14" customFormat="1" ht="15" customHeight="1">
      <c r="D2043" s="12" t="str">
        <f>IF(C2043&gt;0,(VLOOKUP(C2043,'Blnct AR'!$C$2:$D$2255,2,0))," ")</f>
        <v xml:space="preserve"> </v>
      </c>
      <c r="F2043" s="19"/>
      <c r="G2043" s="19"/>
      <c r="I2043" s="37"/>
    </row>
    <row r="2044" spans="4:9" s="14" customFormat="1" ht="15" customHeight="1">
      <c r="D2044" s="12" t="str">
        <f>IF(C2044&gt;0,(VLOOKUP(C2044,'Blnct AR'!$C$2:$D$2255,2,0))," ")</f>
        <v xml:space="preserve"> </v>
      </c>
      <c r="F2044" s="19"/>
      <c r="G2044" s="19"/>
      <c r="I2044" s="37"/>
    </row>
    <row r="2045" spans="4:9" s="14" customFormat="1" ht="15" customHeight="1">
      <c r="D2045" s="12" t="str">
        <f>IF(C2045&gt;0,(VLOOKUP(C2045,'Blnct AR'!$C$2:$D$2255,2,0))," ")</f>
        <v xml:space="preserve"> </v>
      </c>
      <c r="F2045" s="19"/>
      <c r="G2045" s="19"/>
      <c r="I2045" s="37"/>
    </row>
    <row r="2046" spans="4:9" s="14" customFormat="1" ht="15" customHeight="1">
      <c r="D2046" s="12" t="str">
        <f>IF(C2046&gt;0,(VLOOKUP(C2046,'Blnct AR'!$C$2:$D$2255,2,0))," ")</f>
        <v xml:space="preserve"> </v>
      </c>
      <c r="F2046" s="19"/>
      <c r="G2046" s="19"/>
      <c r="I2046" s="37"/>
    </row>
    <row r="2047" spans="4:9" s="14" customFormat="1" ht="15" customHeight="1">
      <c r="D2047" s="12" t="str">
        <f>IF(C2047&gt;0,(VLOOKUP(C2047,'Blnct AR'!$C$2:$D$2255,2,0))," ")</f>
        <v xml:space="preserve"> </v>
      </c>
      <c r="F2047" s="19"/>
      <c r="G2047" s="19"/>
      <c r="I2047" s="37"/>
    </row>
    <row r="2048" spans="4:9" s="14" customFormat="1" ht="15" customHeight="1">
      <c r="D2048" s="12" t="str">
        <f>IF(C2048&gt;0,(VLOOKUP(C2048,'Blnct AR'!$C$2:$D$2255,2,0))," ")</f>
        <v xml:space="preserve"> </v>
      </c>
      <c r="F2048" s="19"/>
      <c r="G2048" s="19"/>
      <c r="I2048" s="37"/>
    </row>
    <row r="2049" spans="4:9" s="14" customFormat="1" ht="15" customHeight="1">
      <c r="D2049" s="12" t="str">
        <f>IF(C2049&gt;0,(VLOOKUP(C2049,'Blnct AR'!$C$2:$D$2255,2,0))," ")</f>
        <v xml:space="preserve"> </v>
      </c>
      <c r="F2049" s="19"/>
      <c r="G2049" s="19"/>
      <c r="I2049" s="37"/>
    </row>
    <row r="2050" spans="4:9" s="14" customFormat="1" ht="15" customHeight="1">
      <c r="D2050" s="12" t="str">
        <f>IF(C2050&gt;0,(VLOOKUP(C2050,'Blnct AR'!$C$2:$D$2255,2,0))," ")</f>
        <v xml:space="preserve"> </v>
      </c>
      <c r="F2050" s="19"/>
      <c r="G2050" s="19"/>
      <c r="I2050" s="37"/>
    </row>
    <row r="2051" spans="4:9" s="14" customFormat="1" ht="15" customHeight="1">
      <c r="D2051" s="12" t="str">
        <f>IF(C2051&gt;0,(VLOOKUP(C2051,'Blnct AR'!$C$2:$D$2255,2,0))," ")</f>
        <v xml:space="preserve"> </v>
      </c>
      <c r="F2051" s="19"/>
      <c r="G2051" s="19"/>
      <c r="I2051" s="37"/>
    </row>
    <row r="2052" spans="4:9" s="14" customFormat="1" ht="15" customHeight="1">
      <c r="D2052" s="12" t="str">
        <f>IF(C2052&gt;0,(VLOOKUP(C2052,'Blnct AR'!$C$2:$D$2255,2,0))," ")</f>
        <v xml:space="preserve"> </v>
      </c>
      <c r="F2052" s="19"/>
      <c r="G2052" s="19"/>
      <c r="I2052" s="37"/>
    </row>
    <row r="2053" spans="4:9" s="14" customFormat="1" ht="15" customHeight="1">
      <c r="D2053" s="12" t="str">
        <f>IF(C2053&gt;0,(VLOOKUP(C2053,'Blnct AR'!$C$2:$D$2255,2,0))," ")</f>
        <v xml:space="preserve"> </v>
      </c>
      <c r="F2053" s="19"/>
      <c r="G2053" s="19"/>
      <c r="I2053" s="37"/>
    </row>
    <row r="2054" spans="4:9" s="14" customFormat="1" ht="15" customHeight="1">
      <c r="D2054" s="12" t="str">
        <f>IF(C2054&gt;0,(VLOOKUP(C2054,'Blnct AR'!$C$2:$D$2255,2,0))," ")</f>
        <v xml:space="preserve"> </v>
      </c>
      <c r="F2054" s="19"/>
      <c r="G2054" s="19"/>
      <c r="I2054" s="37"/>
    </row>
    <row r="2055" spans="4:9" s="14" customFormat="1" ht="15" customHeight="1">
      <c r="D2055" s="12" t="str">
        <f>IF(C2055&gt;0,(VLOOKUP(C2055,'Blnct AR'!$C$2:$D$2255,2,0))," ")</f>
        <v xml:space="preserve"> </v>
      </c>
      <c r="F2055" s="19"/>
      <c r="G2055" s="19"/>
      <c r="I2055" s="37"/>
    </row>
    <row r="2056" spans="4:9" s="14" customFormat="1" ht="15" customHeight="1">
      <c r="D2056" s="12" t="str">
        <f>IF(C2056&gt;0,(VLOOKUP(C2056,'Blnct AR'!$C$2:$D$2255,2,0))," ")</f>
        <v xml:space="preserve"> </v>
      </c>
      <c r="F2056" s="19"/>
      <c r="G2056" s="19"/>
      <c r="I2056" s="37"/>
    </row>
    <row r="2057" spans="4:9" s="14" customFormat="1" ht="15" customHeight="1">
      <c r="D2057" s="12" t="str">
        <f>IF(C2057&gt;0,(VLOOKUP(C2057,'Blnct AR'!$C$2:$D$2255,2,0))," ")</f>
        <v xml:space="preserve"> </v>
      </c>
      <c r="F2057" s="19"/>
      <c r="G2057" s="19"/>
      <c r="I2057" s="37"/>
    </row>
    <row r="2058" spans="4:9" s="14" customFormat="1" ht="15" customHeight="1">
      <c r="D2058" s="12" t="str">
        <f>IF(C2058&gt;0,(VLOOKUP(C2058,'Blnct AR'!$C$2:$D$2255,2,0))," ")</f>
        <v xml:space="preserve"> </v>
      </c>
      <c r="F2058" s="19"/>
      <c r="G2058" s="19"/>
      <c r="I2058" s="37"/>
    </row>
    <row r="2059" spans="4:9" s="14" customFormat="1" ht="15" customHeight="1">
      <c r="D2059" s="12" t="str">
        <f>IF(C2059&gt;0,(VLOOKUP(C2059,'Blnct AR'!$C$2:$D$2255,2,0))," ")</f>
        <v xml:space="preserve"> </v>
      </c>
      <c r="F2059" s="19"/>
      <c r="G2059" s="19"/>
      <c r="I2059" s="37"/>
    </row>
    <row r="2060" spans="4:9" s="14" customFormat="1" ht="15" customHeight="1">
      <c r="D2060" s="12" t="str">
        <f>IF(C2060&gt;0,(VLOOKUP(C2060,'Blnct AR'!$C$2:$D$2255,2,0))," ")</f>
        <v xml:space="preserve"> </v>
      </c>
      <c r="F2060" s="19"/>
      <c r="G2060" s="19"/>
      <c r="I2060" s="37"/>
    </row>
    <row r="2061" spans="4:9" s="14" customFormat="1" ht="15" customHeight="1">
      <c r="D2061" s="12" t="str">
        <f>IF(C2061&gt;0,(VLOOKUP(C2061,'Blnct AR'!$C$2:$D$2255,2,0))," ")</f>
        <v xml:space="preserve"> </v>
      </c>
      <c r="F2061" s="19"/>
      <c r="G2061" s="19"/>
      <c r="I2061" s="37"/>
    </row>
    <row r="2062" spans="4:9" s="14" customFormat="1" ht="15" customHeight="1">
      <c r="D2062" s="12" t="str">
        <f>IF(C2062&gt;0,(VLOOKUP(C2062,'Blnct AR'!$C$2:$D$2255,2,0))," ")</f>
        <v xml:space="preserve"> </v>
      </c>
      <c r="F2062" s="19"/>
      <c r="G2062" s="19"/>
      <c r="I2062" s="37"/>
    </row>
    <row r="2063" spans="4:9" s="14" customFormat="1" ht="15" customHeight="1">
      <c r="D2063" s="12" t="str">
        <f>IF(C2063&gt;0,(VLOOKUP(C2063,'Blnct AR'!$C$2:$D$2255,2,0))," ")</f>
        <v xml:space="preserve"> </v>
      </c>
      <c r="F2063" s="19"/>
      <c r="G2063" s="19"/>
      <c r="I2063" s="37"/>
    </row>
    <row r="2064" spans="4:9" s="14" customFormat="1" ht="15" customHeight="1">
      <c r="D2064" s="12" t="str">
        <f>IF(C2064&gt;0,(VLOOKUP(C2064,'Blnct AR'!$C$2:$D$2255,2,0))," ")</f>
        <v xml:space="preserve"> </v>
      </c>
      <c r="F2064" s="19"/>
      <c r="G2064" s="19"/>
      <c r="I2064" s="37"/>
    </row>
    <row r="2065" spans="4:9" s="14" customFormat="1" ht="15" customHeight="1">
      <c r="D2065" s="12" t="str">
        <f>IF(C2065&gt;0,(VLOOKUP(C2065,'Blnct AR'!$C$2:$D$2255,2,0))," ")</f>
        <v xml:space="preserve"> </v>
      </c>
      <c r="F2065" s="19"/>
      <c r="G2065" s="19"/>
      <c r="I2065" s="37"/>
    </row>
    <row r="2066" spans="4:9" s="14" customFormat="1" ht="15" customHeight="1">
      <c r="D2066" s="12" t="str">
        <f>IF(C2066&gt;0,(VLOOKUP(C2066,'Blnct AR'!$C$2:$D$2255,2,0))," ")</f>
        <v xml:space="preserve"> </v>
      </c>
      <c r="F2066" s="19"/>
      <c r="G2066" s="19"/>
      <c r="I2066" s="37"/>
    </row>
    <row r="2067" spans="4:9" s="14" customFormat="1" ht="15" customHeight="1">
      <c r="D2067" s="12" t="str">
        <f>IF(C2067&gt;0,(VLOOKUP(C2067,'Blnct AR'!$C$2:$D$2255,2,0))," ")</f>
        <v xml:space="preserve"> </v>
      </c>
      <c r="F2067" s="19"/>
      <c r="G2067" s="19"/>
      <c r="I2067" s="37"/>
    </row>
    <row r="2068" spans="4:9" s="14" customFormat="1" ht="15" customHeight="1">
      <c r="D2068" s="12" t="str">
        <f>IF(C2068&gt;0,(VLOOKUP(C2068,'Blnct AR'!$C$2:$D$2255,2,0))," ")</f>
        <v xml:space="preserve"> </v>
      </c>
      <c r="F2068" s="19"/>
      <c r="G2068" s="19"/>
      <c r="I2068" s="37"/>
    </row>
    <row r="2069" spans="4:9" s="14" customFormat="1" ht="15" customHeight="1">
      <c r="D2069" s="12" t="str">
        <f>IF(C2069&gt;0,(VLOOKUP(C2069,'Blnct AR'!$C$2:$D$2255,2,0))," ")</f>
        <v xml:space="preserve"> </v>
      </c>
      <c r="F2069" s="19"/>
      <c r="G2069" s="19"/>
      <c r="I2069" s="37"/>
    </row>
    <row r="2070" spans="4:9" s="14" customFormat="1" ht="15" customHeight="1">
      <c r="D2070" s="12" t="str">
        <f>IF(C2070&gt;0,(VLOOKUP(C2070,'Blnct AR'!$C$2:$D$2255,2,0))," ")</f>
        <v xml:space="preserve"> </v>
      </c>
      <c r="F2070" s="19"/>
      <c r="G2070" s="19"/>
      <c r="I2070" s="37"/>
    </row>
    <row r="2071" spans="4:9" s="14" customFormat="1" ht="15" customHeight="1">
      <c r="D2071" s="12" t="str">
        <f>IF(C2071&gt;0,(VLOOKUP(C2071,'Blnct AR'!$C$2:$D$2255,2,0))," ")</f>
        <v xml:space="preserve"> </v>
      </c>
      <c r="F2071" s="19"/>
      <c r="G2071" s="19"/>
      <c r="I2071" s="37"/>
    </row>
    <row r="2072" spans="4:9" s="14" customFormat="1" ht="15" customHeight="1">
      <c r="D2072" s="12" t="str">
        <f>IF(C2072&gt;0,(VLOOKUP(C2072,'Blnct AR'!$C$2:$D$2255,2,0))," ")</f>
        <v xml:space="preserve"> </v>
      </c>
      <c r="F2072" s="19"/>
      <c r="G2072" s="19"/>
      <c r="I2072" s="37"/>
    </row>
    <row r="2073" spans="4:9" s="14" customFormat="1" ht="15" customHeight="1">
      <c r="D2073" s="12" t="str">
        <f>IF(C2073&gt;0,(VLOOKUP(C2073,'Blnct AR'!$C$2:$D$2255,2,0))," ")</f>
        <v xml:space="preserve"> </v>
      </c>
      <c r="F2073" s="19"/>
      <c r="G2073" s="19"/>
      <c r="I2073" s="37"/>
    </row>
    <row r="2074" spans="4:9" s="14" customFormat="1" ht="15" customHeight="1">
      <c r="D2074" s="12" t="str">
        <f>IF(C2074&gt;0,(VLOOKUP(C2074,'Blnct AR'!$C$2:$D$2255,2,0))," ")</f>
        <v xml:space="preserve"> </v>
      </c>
      <c r="F2074" s="19"/>
      <c r="G2074" s="19"/>
      <c r="I2074" s="37"/>
    </row>
    <row r="2075" spans="4:9" s="14" customFormat="1" ht="15" customHeight="1">
      <c r="D2075" s="12" t="str">
        <f>IF(C2075&gt;0,(VLOOKUP(C2075,'Blnct AR'!$C$2:$D$2255,2,0))," ")</f>
        <v xml:space="preserve"> </v>
      </c>
      <c r="F2075" s="19"/>
      <c r="G2075" s="19"/>
      <c r="I2075" s="37"/>
    </row>
    <row r="2076" spans="4:9" s="14" customFormat="1" ht="15" customHeight="1">
      <c r="D2076" s="12" t="str">
        <f>IF(C2076&gt;0,(VLOOKUP(C2076,'Blnct AR'!$C$2:$D$2255,2,0))," ")</f>
        <v xml:space="preserve"> </v>
      </c>
      <c r="F2076" s="19"/>
      <c r="G2076" s="19"/>
      <c r="I2076" s="37"/>
    </row>
    <row r="2077" spans="4:9" s="14" customFormat="1" ht="15" customHeight="1">
      <c r="D2077" s="12" t="str">
        <f>IF(C2077&gt;0,(VLOOKUP(C2077,'Blnct AR'!$C$2:$D$2255,2,0))," ")</f>
        <v xml:space="preserve"> </v>
      </c>
      <c r="F2077" s="19"/>
      <c r="G2077" s="19"/>
      <c r="I2077" s="37"/>
    </row>
    <row r="2078" spans="4:9" s="14" customFormat="1" ht="15" customHeight="1">
      <c r="D2078" s="12" t="str">
        <f>IF(C2078&gt;0,(VLOOKUP(C2078,'Blnct AR'!$C$2:$D$2255,2,0))," ")</f>
        <v xml:space="preserve"> </v>
      </c>
      <c r="F2078" s="19"/>
      <c r="G2078" s="19"/>
      <c r="I2078" s="37"/>
    </row>
    <row r="2079" spans="4:9" s="14" customFormat="1" ht="15" customHeight="1">
      <c r="D2079" s="12" t="str">
        <f>IF(C2079&gt;0,(VLOOKUP(C2079,'Blnct AR'!$C$2:$D$2255,2,0))," ")</f>
        <v xml:space="preserve"> </v>
      </c>
      <c r="F2079" s="19"/>
      <c r="G2079" s="19"/>
      <c r="I2079" s="37"/>
    </row>
    <row r="2080" spans="4:9" s="14" customFormat="1" ht="15" customHeight="1">
      <c r="D2080" s="12" t="str">
        <f>IF(C2080&gt;0,(VLOOKUP(C2080,'Blnct AR'!$C$2:$D$2255,2,0))," ")</f>
        <v xml:space="preserve"> </v>
      </c>
      <c r="F2080" s="19"/>
      <c r="G2080" s="19"/>
      <c r="I2080" s="37"/>
    </row>
    <row r="2081" spans="4:9" s="14" customFormat="1" ht="15" customHeight="1">
      <c r="D2081" s="12" t="str">
        <f>IF(C2081&gt;0,(VLOOKUP(C2081,'Blnct AR'!$C$2:$D$2255,2,0))," ")</f>
        <v xml:space="preserve"> </v>
      </c>
      <c r="F2081" s="19"/>
      <c r="G2081" s="19"/>
      <c r="I2081" s="37"/>
    </row>
    <row r="2082" spans="4:9" s="14" customFormat="1" ht="15" customHeight="1">
      <c r="D2082" s="12" t="str">
        <f>IF(C2082&gt;0,(VLOOKUP(C2082,'Blnct AR'!$C$2:$D$2255,2,0))," ")</f>
        <v xml:space="preserve"> </v>
      </c>
      <c r="F2082" s="19"/>
      <c r="G2082" s="19"/>
      <c r="I2082" s="37"/>
    </row>
    <row r="2083" spans="4:9" s="14" customFormat="1" ht="15" customHeight="1">
      <c r="D2083" s="12" t="str">
        <f>IF(C2083&gt;0,(VLOOKUP(C2083,'Blnct AR'!$C$2:$D$2255,2,0))," ")</f>
        <v xml:space="preserve"> </v>
      </c>
      <c r="F2083" s="19"/>
      <c r="G2083" s="19"/>
      <c r="I2083" s="37"/>
    </row>
    <row r="2084" spans="4:9" s="14" customFormat="1" ht="15" customHeight="1">
      <c r="D2084" s="12" t="str">
        <f>IF(C2084&gt;0,(VLOOKUP(C2084,'Blnct AR'!$C$2:$D$2255,2,0))," ")</f>
        <v xml:space="preserve"> </v>
      </c>
      <c r="F2084" s="19"/>
      <c r="G2084" s="19"/>
      <c r="I2084" s="37"/>
    </row>
    <row r="2085" spans="4:9" s="14" customFormat="1" ht="15" customHeight="1">
      <c r="D2085" s="12" t="str">
        <f>IF(C2085&gt;0,(VLOOKUP(C2085,'Blnct AR'!$C$2:$D$2255,2,0))," ")</f>
        <v xml:space="preserve"> </v>
      </c>
      <c r="F2085" s="19"/>
      <c r="G2085" s="19"/>
      <c r="I2085" s="37"/>
    </row>
    <row r="2086" spans="4:9" s="14" customFormat="1" ht="15" customHeight="1">
      <c r="D2086" s="12" t="str">
        <f>IF(C2086&gt;0,(VLOOKUP(C2086,'Blnct AR'!$C$2:$D$2255,2,0))," ")</f>
        <v xml:space="preserve"> </v>
      </c>
      <c r="F2086" s="19"/>
      <c r="G2086" s="19"/>
      <c r="I2086" s="37"/>
    </row>
    <row r="2087" spans="4:9" s="14" customFormat="1" ht="15" customHeight="1">
      <c r="D2087" s="12" t="str">
        <f>IF(C2087&gt;0,(VLOOKUP(C2087,'Blnct AR'!$C$2:$D$2255,2,0))," ")</f>
        <v xml:space="preserve"> </v>
      </c>
      <c r="F2087" s="19"/>
      <c r="G2087" s="19"/>
      <c r="I2087" s="37"/>
    </row>
    <row r="2088" spans="4:9" s="14" customFormat="1" ht="15" customHeight="1">
      <c r="D2088" s="12" t="str">
        <f>IF(C2088&gt;0,(VLOOKUP(C2088,'Blnct AR'!$C$2:$D$2255,2,0))," ")</f>
        <v xml:space="preserve"> </v>
      </c>
      <c r="F2088" s="19"/>
      <c r="G2088" s="19"/>
      <c r="I2088" s="37"/>
    </row>
    <row r="2089" spans="4:9" s="14" customFormat="1" ht="15" customHeight="1">
      <c r="D2089" s="12" t="str">
        <f>IF(C2089&gt;0,(VLOOKUP(C2089,'Blnct AR'!$C$2:$D$2255,2,0))," ")</f>
        <v xml:space="preserve"> </v>
      </c>
      <c r="F2089" s="19"/>
      <c r="G2089" s="19"/>
      <c r="I2089" s="37"/>
    </row>
    <row r="2090" spans="4:9" s="14" customFormat="1" ht="15" customHeight="1">
      <c r="D2090" s="12" t="str">
        <f>IF(C2090&gt;0,(VLOOKUP(C2090,'Blnct AR'!$C$2:$D$2255,2,0))," ")</f>
        <v xml:space="preserve"> </v>
      </c>
      <c r="F2090" s="19"/>
      <c r="G2090" s="19"/>
      <c r="I2090" s="37"/>
    </row>
    <row r="2091" spans="4:9" s="14" customFormat="1" ht="15" customHeight="1">
      <c r="D2091" s="12" t="str">
        <f>IF(C2091&gt;0,(VLOOKUP(C2091,'Blnct AR'!$C$2:$D$2255,2,0))," ")</f>
        <v xml:space="preserve"> </v>
      </c>
      <c r="F2091" s="19"/>
      <c r="G2091" s="19"/>
      <c r="I2091" s="37"/>
    </row>
    <row r="2092" spans="4:9" s="14" customFormat="1" ht="15" customHeight="1">
      <c r="D2092" s="12" t="str">
        <f>IF(C2092&gt;0,(VLOOKUP(C2092,'Blnct AR'!$C$2:$D$2255,2,0))," ")</f>
        <v xml:space="preserve"> </v>
      </c>
      <c r="F2092" s="19"/>
      <c r="G2092" s="19"/>
      <c r="I2092" s="37"/>
    </row>
    <row r="2093" spans="4:9" s="14" customFormat="1" ht="15" customHeight="1">
      <c r="D2093" s="12" t="str">
        <f>IF(C2093&gt;0,(VLOOKUP(C2093,'Blnct AR'!$C$2:$D$2255,2,0))," ")</f>
        <v xml:space="preserve"> </v>
      </c>
      <c r="F2093" s="19"/>
      <c r="G2093" s="19"/>
      <c r="I2093" s="37"/>
    </row>
    <row r="2094" spans="4:9" s="14" customFormat="1" ht="15" customHeight="1">
      <c r="D2094" s="12" t="str">
        <f>IF(C2094&gt;0,(VLOOKUP(C2094,'Blnct AR'!$C$2:$D$2255,2,0))," ")</f>
        <v xml:space="preserve"> </v>
      </c>
      <c r="F2094" s="19"/>
      <c r="G2094" s="19"/>
      <c r="I2094" s="37"/>
    </row>
    <row r="2095" spans="4:9" s="14" customFormat="1" ht="15" customHeight="1">
      <c r="D2095" s="12" t="str">
        <f>IF(C2095&gt;0,(VLOOKUP(C2095,'Blnct AR'!$C$2:$D$2255,2,0))," ")</f>
        <v xml:space="preserve"> </v>
      </c>
      <c r="F2095" s="19"/>
      <c r="G2095" s="19"/>
      <c r="I2095" s="37"/>
    </row>
    <row r="2096" spans="4:9" s="14" customFormat="1" ht="15" customHeight="1">
      <c r="D2096" s="12" t="str">
        <f>IF(C2096&gt;0,(VLOOKUP(C2096,'Blnct AR'!$C$2:$D$2255,2,0))," ")</f>
        <v xml:space="preserve"> </v>
      </c>
      <c r="F2096" s="19"/>
      <c r="G2096" s="19"/>
      <c r="I2096" s="37"/>
    </row>
    <row r="2097" spans="4:9" s="14" customFormat="1" ht="15" customHeight="1">
      <c r="D2097" s="12" t="str">
        <f>IF(C2097&gt;0,(VLOOKUP(C2097,'Blnct AR'!$C$2:$D$2255,2,0))," ")</f>
        <v xml:space="preserve"> </v>
      </c>
      <c r="F2097" s="19"/>
      <c r="G2097" s="19"/>
      <c r="I2097" s="37"/>
    </row>
    <row r="2098" spans="4:9" s="14" customFormat="1" ht="15" customHeight="1">
      <c r="D2098" s="12" t="str">
        <f>IF(C2098&gt;0,(VLOOKUP(C2098,'Blnct AR'!$C$2:$D$2255,2,0))," ")</f>
        <v xml:space="preserve"> </v>
      </c>
      <c r="F2098" s="19"/>
      <c r="G2098" s="19"/>
      <c r="I2098" s="37"/>
    </row>
    <row r="2099" spans="4:9" s="14" customFormat="1" ht="15" customHeight="1">
      <c r="D2099" s="12" t="str">
        <f>IF(C2099&gt;0,(VLOOKUP(C2099,'Blnct AR'!$C$2:$D$2255,2,0))," ")</f>
        <v xml:space="preserve"> </v>
      </c>
      <c r="F2099" s="19"/>
      <c r="G2099" s="19"/>
      <c r="I2099" s="37"/>
    </row>
    <row r="2100" spans="4:9" s="14" customFormat="1" ht="15" customHeight="1">
      <c r="D2100" s="12" t="str">
        <f>IF(C2100&gt;0,(VLOOKUP(C2100,'Blnct AR'!$C$2:$D$2255,2,0))," ")</f>
        <v xml:space="preserve"> </v>
      </c>
      <c r="F2100" s="19"/>
      <c r="G2100" s="19"/>
      <c r="I2100" s="37"/>
    </row>
    <row r="2101" spans="4:9" s="14" customFormat="1" ht="15" customHeight="1">
      <c r="D2101" s="12" t="str">
        <f>IF(C2101&gt;0,(VLOOKUP(C2101,'Blnct AR'!$C$2:$D$2255,2,0))," ")</f>
        <v xml:space="preserve"> </v>
      </c>
      <c r="F2101" s="19"/>
      <c r="G2101" s="19"/>
      <c r="I2101" s="37"/>
    </row>
    <row r="2102" spans="4:9" s="14" customFormat="1" ht="15" customHeight="1">
      <c r="D2102" s="12" t="str">
        <f>IF(C2102&gt;0,(VLOOKUP(C2102,'Blnct AR'!$C$2:$D$2255,2,0))," ")</f>
        <v xml:space="preserve"> </v>
      </c>
      <c r="F2102" s="19"/>
      <c r="G2102" s="19"/>
      <c r="I2102" s="37"/>
    </row>
    <row r="2103" spans="4:9" s="14" customFormat="1" ht="15" customHeight="1">
      <c r="D2103" s="12" t="str">
        <f>IF(C2103&gt;0,(VLOOKUP(C2103,'Blnct AR'!$C$2:$D$2255,2,0))," ")</f>
        <v xml:space="preserve"> </v>
      </c>
      <c r="F2103" s="19"/>
      <c r="G2103" s="19"/>
      <c r="I2103" s="37"/>
    </row>
    <row r="2104" spans="4:9" s="14" customFormat="1" ht="15" customHeight="1">
      <c r="D2104" s="12" t="str">
        <f>IF(C2104&gt;0,(VLOOKUP(C2104,'Blnct AR'!$C$2:$D$2255,2,0))," ")</f>
        <v xml:space="preserve"> </v>
      </c>
      <c r="F2104" s="19"/>
      <c r="G2104" s="19"/>
      <c r="I2104" s="37"/>
    </row>
    <row r="2105" spans="4:9" s="14" customFormat="1" ht="15" customHeight="1">
      <c r="D2105" s="12" t="str">
        <f>IF(C2105&gt;0,(VLOOKUP(C2105,'Blnct AR'!$C$2:$D$2255,2,0))," ")</f>
        <v xml:space="preserve"> </v>
      </c>
      <c r="F2105" s="19"/>
      <c r="G2105" s="19"/>
      <c r="I2105" s="37"/>
    </row>
    <row r="2106" spans="4:9" s="14" customFormat="1" ht="15" customHeight="1">
      <c r="D2106" s="12" t="str">
        <f>IF(C2106&gt;0,(VLOOKUP(C2106,'Blnct AR'!$C$2:$D$2255,2,0))," ")</f>
        <v xml:space="preserve"> </v>
      </c>
      <c r="F2106" s="19"/>
      <c r="G2106" s="19"/>
      <c r="I2106" s="37"/>
    </row>
    <row r="2107" spans="4:9" s="14" customFormat="1" ht="15" customHeight="1">
      <c r="D2107" s="12" t="str">
        <f>IF(C2107&gt;0,(VLOOKUP(C2107,'Blnct AR'!$C$2:$D$2255,2,0))," ")</f>
        <v xml:space="preserve"> </v>
      </c>
      <c r="F2107" s="19"/>
      <c r="G2107" s="19"/>
      <c r="I2107" s="37"/>
    </row>
    <row r="2108" spans="4:9" s="14" customFormat="1" ht="15" customHeight="1">
      <c r="D2108" s="12" t="str">
        <f>IF(C2108&gt;0,(VLOOKUP(C2108,'Blnct AR'!$C$2:$D$2255,2,0))," ")</f>
        <v xml:space="preserve"> </v>
      </c>
      <c r="F2108" s="19"/>
      <c r="G2108" s="19"/>
      <c r="I2108" s="37"/>
    </row>
    <row r="2109" spans="4:9" s="14" customFormat="1" ht="15" customHeight="1">
      <c r="D2109" s="12" t="str">
        <f>IF(C2109&gt;0,(VLOOKUP(C2109,'Blnct AR'!$C$2:$D$2255,2,0))," ")</f>
        <v xml:space="preserve"> </v>
      </c>
      <c r="F2109" s="19"/>
      <c r="G2109" s="19"/>
      <c r="I2109" s="37"/>
    </row>
    <row r="2110" spans="4:9" s="14" customFormat="1" ht="15" customHeight="1">
      <c r="D2110" s="12" t="str">
        <f>IF(C2110&gt;0,(VLOOKUP(C2110,'Blnct AR'!$C$2:$D$2255,2,0))," ")</f>
        <v xml:space="preserve"> </v>
      </c>
      <c r="F2110" s="19"/>
      <c r="G2110" s="19"/>
      <c r="I2110" s="37"/>
    </row>
    <row r="2111" spans="4:9" s="14" customFormat="1" ht="15" customHeight="1">
      <c r="D2111" s="12" t="str">
        <f>IF(C2111&gt;0,(VLOOKUP(C2111,'Blnct AR'!$C$2:$D$2255,2,0))," ")</f>
        <v xml:space="preserve"> </v>
      </c>
      <c r="F2111" s="19"/>
      <c r="G2111" s="19"/>
      <c r="I2111" s="37"/>
    </row>
    <row r="2112" spans="4:9" s="14" customFormat="1" ht="15" customHeight="1">
      <c r="D2112" s="12" t="str">
        <f>IF(C2112&gt;0,(VLOOKUP(C2112,'Blnct AR'!$C$2:$D$2255,2,0))," ")</f>
        <v xml:space="preserve"> </v>
      </c>
      <c r="F2112" s="19"/>
      <c r="G2112" s="19"/>
      <c r="I2112" s="37"/>
    </row>
    <row r="2113" spans="4:9" s="14" customFormat="1" ht="15" customHeight="1">
      <c r="D2113" s="12" t="str">
        <f>IF(C2113&gt;0,(VLOOKUP(C2113,'Blnct AR'!$C$2:$D$2255,2,0))," ")</f>
        <v xml:space="preserve"> </v>
      </c>
      <c r="F2113" s="19"/>
      <c r="G2113" s="19"/>
      <c r="I2113" s="37"/>
    </row>
    <row r="2114" spans="4:9" s="14" customFormat="1" ht="15" customHeight="1">
      <c r="D2114" s="12" t="str">
        <f>IF(C2114&gt;0,(VLOOKUP(C2114,'Blnct AR'!$C$2:$D$2255,2,0))," ")</f>
        <v xml:space="preserve"> </v>
      </c>
      <c r="F2114" s="19"/>
      <c r="G2114" s="19"/>
      <c r="I2114" s="37"/>
    </row>
    <row r="2115" spans="4:9" s="14" customFormat="1" ht="15" customHeight="1">
      <c r="D2115" s="12" t="str">
        <f>IF(C2115&gt;0,(VLOOKUP(C2115,'Blnct AR'!$C$2:$D$2255,2,0))," ")</f>
        <v xml:space="preserve"> </v>
      </c>
      <c r="F2115" s="19"/>
      <c r="G2115" s="19"/>
      <c r="I2115" s="37"/>
    </row>
    <row r="2116" spans="4:9" s="14" customFormat="1" ht="15" customHeight="1">
      <c r="D2116" s="12" t="str">
        <f>IF(C2116&gt;0,(VLOOKUP(C2116,'Blnct AR'!$C$2:$D$2255,2,0))," ")</f>
        <v xml:space="preserve"> </v>
      </c>
      <c r="F2116" s="19"/>
      <c r="G2116" s="19"/>
      <c r="I2116" s="37"/>
    </row>
    <row r="2117" spans="4:9" s="14" customFormat="1" ht="15" customHeight="1">
      <c r="D2117" s="12" t="str">
        <f>IF(C2117&gt;0,(VLOOKUP(C2117,'Blnct AR'!$C$2:$D$2255,2,0))," ")</f>
        <v xml:space="preserve"> </v>
      </c>
      <c r="F2117" s="19"/>
      <c r="G2117" s="19"/>
      <c r="I2117" s="37"/>
    </row>
    <row r="2118" spans="4:9" s="14" customFormat="1" ht="15" customHeight="1">
      <c r="D2118" s="12" t="str">
        <f>IF(C2118&gt;0,(VLOOKUP(C2118,'Blnct AR'!$C$2:$D$2255,2,0))," ")</f>
        <v xml:space="preserve"> </v>
      </c>
      <c r="F2118" s="19"/>
      <c r="G2118" s="19"/>
      <c r="I2118" s="37"/>
    </row>
    <row r="2119" spans="4:9" s="14" customFormat="1" ht="15" customHeight="1">
      <c r="D2119" s="12" t="str">
        <f>IF(C2119&gt;0,(VLOOKUP(C2119,'Blnct AR'!$C$2:$D$2255,2,0))," ")</f>
        <v xml:space="preserve"> </v>
      </c>
      <c r="F2119" s="19"/>
      <c r="G2119" s="19"/>
      <c r="I2119" s="37"/>
    </row>
    <row r="2120" spans="4:9" s="14" customFormat="1" ht="15" customHeight="1">
      <c r="D2120" s="12" t="str">
        <f>IF(C2120&gt;0,(VLOOKUP(C2120,'Blnct AR'!$C$2:$D$2255,2,0))," ")</f>
        <v xml:space="preserve"> </v>
      </c>
      <c r="F2120" s="19"/>
      <c r="G2120" s="19"/>
      <c r="I2120" s="37"/>
    </row>
    <row r="2121" spans="4:9" s="14" customFormat="1" ht="15" customHeight="1">
      <c r="D2121" s="12" t="str">
        <f>IF(C2121&gt;0,(VLOOKUP(C2121,'Blnct AR'!$C$2:$D$2255,2,0))," ")</f>
        <v xml:space="preserve"> </v>
      </c>
      <c r="F2121" s="19"/>
      <c r="G2121" s="19"/>
      <c r="I2121" s="37"/>
    </row>
    <row r="2122" spans="4:9" s="14" customFormat="1" ht="15" customHeight="1">
      <c r="D2122" s="12" t="str">
        <f>IF(C2122&gt;0,(VLOOKUP(C2122,'Blnct AR'!$C$2:$D$2255,2,0))," ")</f>
        <v xml:space="preserve"> </v>
      </c>
      <c r="F2122" s="19"/>
      <c r="G2122" s="19"/>
      <c r="I2122" s="37"/>
    </row>
    <row r="2123" spans="4:9" s="14" customFormat="1" ht="15" customHeight="1">
      <c r="D2123" s="12" t="str">
        <f>IF(C2123&gt;0,(VLOOKUP(C2123,'Blnct AR'!$C$2:$D$2255,2,0))," ")</f>
        <v xml:space="preserve"> </v>
      </c>
      <c r="F2123" s="19"/>
      <c r="G2123" s="19"/>
      <c r="I2123" s="37"/>
    </row>
    <row r="2124" spans="4:9" s="14" customFormat="1" ht="15" customHeight="1">
      <c r="D2124" s="12" t="str">
        <f>IF(C2124&gt;0,(VLOOKUP(C2124,'Blnct AR'!$C$2:$D$2255,2,0))," ")</f>
        <v xml:space="preserve"> </v>
      </c>
      <c r="F2124" s="19"/>
      <c r="G2124" s="19"/>
      <c r="I2124" s="37"/>
    </row>
    <row r="2125" spans="4:9" s="14" customFormat="1" ht="15" customHeight="1">
      <c r="D2125" s="12" t="str">
        <f>IF(C2125&gt;0,(VLOOKUP(C2125,'Blnct AR'!$C$2:$D$2255,2,0))," ")</f>
        <v xml:space="preserve"> </v>
      </c>
      <c r="F2125" s="19"/>
      <c r="G2125" s="19"/>
      <c r="I2125" s="37"/>
    </row>
    <row r="2126" spans="4:9" s="14" customFormat="1" ht="15" customHeight="1">
      <c r="D2126" s="12" t="str">
        <f>IF(C2126&gt;0,(VLOOKUP(C2126,'Blnct AR'!$C$2:$D$2255,2,0))," ")</f>
        <v xml:space="preserve"> </v>
      </c>
      <c r="F2126" s="19"/>
      <c r="G2126" s="19"/>
      <c r="I2126" s="37"/>
    </row>
    <row r="2127" spans="4:9" s="14" customFormat="1" ht="15" customHeight="1">
      <c r="D2127" s="12" t="str">
        <f>IF(C2127&gt;0,(VLOOKUP(C2127,'Blnct AR'!$C$2:$D$2255,2,0))," ")</f>
        <v xml:space="preserve"> </v>
      </c>
      <c r="F2127" s="19"/>
      <c r="G2127" s="19"/>
      <c r="I2127" s="37"/>
    </row>
    <row r="2128" spans="4:9" s="14" customFormat="1" ht="15" customHeight="1">
      <c r="D2128" s="12" t="str">
        <f>IF(C2128&gt;0,(VLOOKUP(C2128,'Blnct AR'!$C$2:$D$2255,2,0))," ")</f>
        <v xml:space="preserve"> </v>
      </c>
      <c r="F2128" s="19"/>
      <c r="G2128" s="19"/>
      <c r="I2128" s="37"/>
    </row>
    <row r="2129" spans="4:9" s="14" customFormat="1" ht="15" customHeight="1">
      <c r="D2129" s="12" t="str">
        <f>IF(C2129&gt;0,(VLOOKUP(C2129,'Blnct AR'!$C$2:$D$2255,2,0))," ")</f>
        <v xml:space="preserve"> </v>
      </c>
      <c r="F2129" s="19"/>
      <c r="G2129" s="19"/>
      <c r="I2129" s="37"/>
    </row>
    <row r="2130" spans="4:9" s="14" customFormat="1" ht="15" customHeight="1">
      <c r="D2130" s="12" t="str">
        <f>IF(C2130&gt;0,(VLOOKUP(C2130,'Blnct AR'!$C$2:$D$2255,2,0))," ")</f>
        <v xml:space="preserve"> </v>
      </c>
      <c r="F2130" s="19"/>
      <c r="G2130" s="19"/>
      <c r="I2130" s="37"/>
    </row>
    <row r="2131" spans="4:9" s="14" customFormat="1" ht="15" customHeight="1">
      <c r="D2131" s="12" t="str">
        <f>IF(C2131&gt;0,(VLOOKUP(C2131,'Blnct AR'!$C$2:$D$2255,2,0))," ")</f>
        <v xml:space="preserve"> </v>
      </c>
      <c r="F2131" s="19"/>
      <c r="G2131" s="19"/>
      <c r="I2131" s="37"/>
    </row>
    <row r="2132" spans="4:9" s="14" customFormat="1" ht="15" customHeight="1">
      <c r="D2132" s="12" t="str">
        <f>IF(C2132&gt;0,(VLOOKUP(C2132,'Blnct AR'!$C$2:$D$2255,2,0))," ")</f>
        <v xml:space="preserve"> </v>
      </c>
      <c r="F2132" s="19"/>
      <c r="G2132" s="19"/>
      <c r="I2132" s="37"/>
    </row>
    <row r="2133" spans="4:9" s="14" customFormat="1" ht="15" customHeight="1">
      <c r="D2133" s="12" t="str">
        <f>IF(C2133&gt;0,(VLOOKUP(C2133,'Blnct AR'!$C$2:$D$2255,2,0))," ")</f>
        <v xml:space="preserve"> </v>
      </c>
      <c r="F2133" s="19"/>
      <c r="G2133" s="19"/>
      <c r="I2133" s="37"/>
    </row>
    <row r="2134" spans="4:9" s="14" customFormat="1" ht="15" customHeight="1">
      <c r="D2134" s="12" t="str">
        <f>IF(C2134&gt;0,(VLOOKUP(C2134,'Blnct AR'!$C$2:$D$2255,2,0))," ")</f>
        <v xml:space="preserve"> </v>
      </c>
      <c r="F2134" s="19"/>
      <c r="G2134" s="19"/>
      <c r="I2134" s="37"/>
    </row>
    <row r="2135" spans="4:9" s="14" customFormat="1" ht="15" customHeight="1">
      <c r="D2135" s="12" t="str">
        <f>IF(C2135&gt;0,(VLOOKUP(C2135,'Blnct AR'!$C$2:$D$2255,2,0))," ")</f>
        <v xml:space="preserve"> </v>
      </c>
      <c r="F2135" s="19"/>
      <c r="G2135" s="19"/>
      <c r="I2135" s="37"/>
    </row>
    <row r="2136" spans="4:9" s="14" customFormat="1" ht="15" customHeight="1">
      <c r="D2136" s="12" t="str">
        <f>IF(C2136&gt;0,(VLOOKUP(C2136,'Blnct AR'!$C$2:$D$2255,2,0))," ")</f>
        <v xml:space="preserve"> </v>
      </c>
      <c r="F2136" s="19"/>
      <c r="G2136" s="19"/>
      <c r="I2136" s="37"/>
    </row>
    <row r="2137" spans="4:9" s="14" customFormat="1" ht="15" customHeight="1">
      <c r="D2137" s="12" t="str">
        <f>IF(C2137&gt;0,(VLOOKUP(C2137,'Blnct AR'!$C$2:$D$2255,2,0))," ")</f>
        <v xml:space="preserve"> </v>
      </c>
      <c r="F2137" s="19"/>
      <c r="G2137" s="19"/>
      <c r="I2137" s="37"/>
    </row>
    <row r="2138" spans="4:9" s="14" customFormat="1" ht="15" customHeight="1">
      <c r="D2138" s="12" t="str">
        <f>IF(C2138&gt;0,(VLOOKUP(C2138,'Blnct AR'!$C$2:$D$2255,2,0))," ")</f>
        <v xml:space="preserve"> </v>
      </c>
      <c r="F2138" s="19"/>
      <c r="G2138" s="19"/>
      <c r="I2138" s="37"/>
    </row>
    <row r="2139" spans="4:9" s="14" customFormat="1" ht="15" customHeight="1">
      <c r="D2139" s="12" t="str">
        <f>IF(C2139&gt;0,(VLOOKUP(C2139,'Blnct AR'!$C$2:$D$2255,2,0))," ")</f>
        <v xml:space="preserve"> </v>
      </c>
      <c r="F2139" s="19"/>
      <c r="G2139" s="19"/>
      <c r="I2139" s="37"/>
    </row>
    <row r="2140" spans="4:9" s="14" customFormat="1" ht="15" customHeight="1">
      <c r="D2140" s="12" t="str">
        <f>IF(C2140&gt;0,(VLOOKUP(C2140,'Blnct AR'!$C$2:$D$2255,2,0))," ")</f>
        <v xml:space="preserve"> </v>
      </c>
      <c r="F2140" s="19"/>
      <c r="G2140" s="19"/>
      <c r="I2140" s="37"/>
    </row>
    <row r="2141" spans="4:9" s="14" customFormat="1" ht="15" customHeight="1">
      <c r="D2141" s="12" t="str">
        <f>IF(C2141&gt;0,(VLOOKUP(C2141,'Blnct AR'!$C$2:$D$2255,2,0))," ")</f>
        <v xml:space="preserve"> </v>
      </c>
      <c r="F2141" s="19"/>
      <c r="G2141" s="19"/>
      <c r="I2141" s="37"/>
    </row>
    <row r="2142" spans="4:9" s="14" customFormat="1" ht="15" customHeight="1">
      <c r="D2142" s="12" t="str">
        <f>IF(C2142&gt;0,(VLOOKUP(C2142,'Blnct AR'!$C$2:$D$2255,2,0))," ")</f>
        <v xml:space="preserve"> </v>
      </c>
      <c r="F2142" s="19"/>
      <c r="G2142" s="19"/>
      <c r="I2142" s="37"/>
    </row>
    <row r="2143" spans="4:9" s="14" customFormat="1" ht="15" customHeight="1">
      <c r="D2143" s="12" t="str">
        <f>IF(C2143&gt;0,(VLOOKUP(C2143,'Blnct AR'!$C$2:$D$2255,2,0))," ")</f>
        <v xml:space="preserve"> </v>
      </c>
      <c r="F2143" s="19"/>
      <c r="G2143" s="19"/>
      <c r="I2143" s="37"/>
    </row>
    <row r="2144" spans="4:9" s="14" customFormat="1" ht="15" customHeight="1">
      <c r="D2144" s="12" t="str">
        <f>IF(C2144&gt;0,(VLOOKUP(C2144,'Blnct AR'!$C$2:$D$2255,2,0))," ")</f>
        <v xml:space="preserve"> </v>
      </c>
      <c r="F2144" s="19"/>
      <c r="G2144" s="19"/>
      <c r="I2144" s="37"/>
    </row>
    <row r="2145" spans="4:9" s="14" customFormat="1" ht="15" customHeight="1">
      <c r="D2145" s="12" t="str">
        <f>IF(C2145&gt;0,(VLOOKUP(C2145,'Blnct AR'!$C$2:$D$2255,2,0))," ")</f>
        <v xml:space="preserve"> </v>
      </c>
      <c r="F2145" s="19"/>
      <c r="G2145" s="19"/>
      <c r="I2145" s="37"/>
    </row>
    <row r="2146" spans="4:9" s="14" customFormat="1" ht="15" customHeight="1">
      <c r="D2146" s="12" t="str">
        <f>IF(C2146&gt;0,(VLOOKUP(C2146,'Blnct AR'!$C$2:$D$2255,2,0))," ")</f>
        <v xml:space="preserve"> </v>
      </c>
      <c r="F2146" s="19"/>
      <c r="G2146" s="19"/>
      <c r="I2146" s="37"/>
    </row>
    <row r="2147" spans="4:9" s="14" customFormat="1" ht="15" customHeight="1">
      <c r="D2147" s="12" t="str">
        <f>IF(C2147&gt;0,(VLOOKUP(C2147,'Blnct AR'!$C$2:$D$2255,2,0))," ")</f>
        <v xml:space="preserve"> </v>
      </c>
      <c r="F2147" s="19"/>
      <c r="G2147" s="19"/>
      <c r="I2147" s="37"/>
    </row>
    <row r="2148" spans="4:9" s="14" customFormat="1" ht="15" customHeight="1">
      <c r="D2148" s="12" t="str">
        <f>IF(C2148&gt;0,(VLOOKUP(C2148,'Blnct AR'!$C$2:$D$2255,2,0))," ")</f>
        <v xml:space="preserve"> </v>
      </c>
      <c r="F2148" s="19"/>
      <c r="G2148" s="19"/>
      <c r="I2148" s="37"/>
    </row>
    <row r="2149" spans="4:9" s="14" customFormat="1" ht="15" customHeight="1">
      <c r="D2149" s="12" t="str">
        <f>IF(C2149&gt;0,(VLOOKUP(C2149,'Blnct AR'!$C$2:$D$2255,2,0))," ")</f>
        <v xml:space="preserve"> </v>
      </c>
      <c r="F2149" s="19"/>
      <c r="G2149" s="19"/>
      <c r="I2149" s="37"/>
    </row>
    <row r="2150" spans="4:9" s="14" customFormat="1" ht="15" customHeight="1">
      <c r="D2150" s="12" t="str">
        <f>IF(C2150&gt;0,(VLOOKUP(C2150,'Blnct AR'!$C$2:$D$2255,2,0))," ")</f>
        <v xml:space="preserve"> </v>
      </c>
      <c r="F2150" s="19"/>
      <c r="G2150" s="19"/>
      <c r="I2150" s="37"/>
    </row>
    <row r="2151" spans="4:9" s="14" customFormat="1" ht="15" customHeight="1">
      <c r="D2151" s="12" t="str">
        <f>IF(C2151&gt;0,(VLOOKUP(C2151,'Blnct AR'!$C$2:$D$2255,2,0))," ")</f>
        <v xml:space="preserve"> </v>
      </c>
      <c r="F2151" s="19"/>
      <c r="G2151" s="19"/>
      <c r="I2151" s="37"/>
    </row>
    <row r="2152" spans="4:9" s="14" customFormat="1" ht="15" customHeight="1">
      <c r="D2152" s="12" t="str">
        <f>IF(C2152&gt;0,(VLOOKUP(C2152,'Blnct AR'!$C$2:$D$2255,2,0))," ")</f>
        <v xml:space="preserve"> </v>
      </c>
      <c r="F2152" s="19"/>
      <c r="G2152" s="19"/>
      <c r="I2152" s="37"/>
    </row>
    <row r="2153" spans="4:9" s="14" customFormat="1" ht="15" customHeight="1">
      <c r="D2153" s="12" t="str">
        <f>IF(C2153&gt;0,(VLOOKUP(C2153,'Blnct AR'!$C$2:$D$2255,2,0))," ")</f>
        <v xml:space="preserve"> </v>
      </c>
      <c r="F2153" s="19"/>
      <c r="G2153" s="19"/>
      <c r="I2153" s="37"/>
    </row>
    <row r="2154" spans="4:9" s="14" customFormat="1" ht="15" customHeight="1">
      <c r="D2154" s="12" t="str">
        <f>IF(C2154&gt;0,(VLOOKUP(C2154,'Blnct AR'!$C$2:$D$2255,2,0))," ")</f>
        <v xml:space="preserve"> </v>
      </c>
      <c r="F2154" s="19"/>
      <c r="G2154" s="19"/>
      <c r="I2154" s="37"/>
    </row>
    <row r="2155" spans="4:9" s="14" customFormat="1" ht="15" customHeight="1">
      <c r="D2155" s="12" t="str">
        <f>IF(C2155&gt;0,(VLOOKUP(C2155,'Blnct AR'!$C$2:$D$2255,2,0))," ")</f>
        <v xml:space="preserve"> </v>
      </c>
      <c r="F2155" s="19"/>
      <c r="G2155" s="19"/>
      <c r="I2155" s="37"/>
    </row>
    <row r="2156" spans="4:9" s="14" customFormat="1" ht="15" customHeight="1">
      <c r="D2156" s="12" t="str">
        <f>IF(C2156&gt;0,(VLOOKUP(C2156,'Blnct AR'!$C$2:$D$2255,2,0))," ")</f>
        <v xml:space="preserve"> </v>
      </c>
      <c r="F2156" s="19"/>
      <c r="G2156" s="19"/>
      <c r="I2156" s="37"/>
    </row>
    <row r="2157" spans="4:9" s="14" customFormat="1" ht="15" customHeight="1">
      <c r="D2157" s="12" t="str">
        <f>IF(C2157&gt;0,(VLOOKUP(C2157,'Blnct AR'!$C$2:$D$2255,2,0))," ")</f>
        <v xml:space="preserve"> </v>
      </c>
      <c r="F2157" s="19"/>
      <c r="G2157" s="19"/>
      <c r="I2157" s="37"/>
    </row>
    <row r="2158" spans="4:9" s="14" customFormat="1" ht="15" customHeight="1">
      <c r="D2158" s="12" t="str">
        <f>IF(C2158&gt;0,(VLOOKUP(C2158,'Blnct AR'!$C$2:$D$2255,2,0))," ")</f>
        <v xml:space="preserve"> </v>
      </c>
      <c r="F2158" s="19"/>
      <c r="G2158" s="19"/>
      <c r="I2158" s="37"/>
    </row>
    <row r="2159" spans="4:9" s="14" customFormat="1" ht="15" customHeight="1">
      <c r="D2159" s="12" t="str">
        <f>IF(C2159&gt;0,(VLOOKUP(C2159,'Blnct AR'!$C$2:$D$2255,2,0))," ")</f>
        <v xml:space="preserve"> </v>
      </c>
      <c r="F2159" s="19"/>
      <c r="G2159" s="19"/>
      <c r="I2159" s="37"/>
    </row>
    <row r="2160" spans="4:9" s="14" customFormat="1" ht="15" customHeight="1">
      <c r="D2160" s="12" t="str">
        <f>IF(C2160&gt;0,(VLOOKUP(C2160,'Blnct AR'!$C$2:$D$2255,2,0))," ")</f>
        <v xml:space="preserve"> </v>
      </c>
      <c r="F2160" s="19"/>
      <c r="G2160" s="19"/>
      <c r="I2160" s="37"/>
    </row>
    <row r="2161" spans="4:9" s="14" customFormat="1" ht="15" customHeight="1">
      <c r="D2161" s="12" t="str">
        <f>IF(C2161&gt;0,(VLOOKUP(C2161,'Blnct AR'!$C$2:$D$2255,2,0))," ")</f>
        <v xml:space="preserve"> </v>
      </c>
      <c r="F2161" s="19"/>
      <c r="G2161" s="19"/>
      <c r="I2161" s="37"/>
    </row>
    <row r="2162" spans="4:9" s="14" customFormat="1" ht="15" customHeight="1">
      <c r="D2162" s="12" t="str">
        <f>IF(C2162&gt;0,(VLOOKUP(C2162,'Blnct AR'!$C$2:$D$2255,2,0))," ")</f>
        <v xml:space="preserve"> </v>
      </c>
      <c r="F2162" s="19"/>
      <c r="G2162" s="19"/>
      <c r="I2162" s="37"/>
    </row>
    <row r="2163" spans="4:9" s="14" customFormat="1" ht="15" customHeight="1">
      <c r="D2163" s="12" t="str">
        <f>IF(C2163&gt;0,(VLOOKUP(C2163,'Blnct AR'!$C$2:$D$2255,2,0))," ")</f>
        <v xml:space="preserve"> </v>
      </c>
      <c r="F2163" s="19"/>
      <c r="G2163" s="19"/>
      <c r="I2163" s="37"/>
    </row>
    <row r="2164" spans="4:9" s="14" customFormat="1" ht="15" customHeight="1">
      <c r="D2164" s="12" t="str">
        <f>IF(C2164&gt;0,(VLOOKUP(C2164,'Blnct AR'!$C$2:$D$2255,2,0))," ")</f>
        <v xml:space="preserve"> </v>
      </c>
      <c r="F2164" s="19"/>
      <c r="G2164" s="19"/>
      <c r="I2164" s="37"/>
    </row>
    <row r="2165" spans="4:9" s="14" customFormat="1" ht="15" customHeight="1">
      <c r="D2165" s="12" t="str">
        <f>IF(C2165&gt;0,(VLOOKUP(C2165,'Blnct AR'!$C$2:$D$2255,2,0))," ")</f>
        <v xml:space="preserve"> </v>
      </c>
      <c r="F2165" s="19"/>
      <c r="G2165" s="19"/>
      <c r="I2165" s="37"/>
    </row>
    <row r="2166" spans="4:9" s="14" customFormat="1" ht="15" customHeight="1">
      <c r="D2166" s="12" t="str">
        <f>IF(C2166&gt;0,(VLOOKUP(C2166,'Blnct AR'!$C$2:$D$2255,2,0))," ")</f>
        <v xml:space="preserve"> </v>
      </c>
      <c r="F2166" s="19"/>
      <c r="G2166" s="19"/>
      <c r="I2166" s="37"/>
    </row>
    <row r="2167" spans="4:9" s="14" customFormat="1" ht="15" customHeight="1">
      <c r="D2167" s="12" t="str">
        <f>IF(C2167&gt;0,(VLOOKUP(C2167,'Blnct AR'!$C$2:$D$2255,2,0))," ")</f>
        <v xml:space="preserve"> </v>
      </c>
      <c r="F2167" s="19"/>
      <c r="G2167" s="19"/>
      <c r="I2167" s="37"/>
    </row>
    <row r="2168" spans="4:9" s="14" customFormat="1" ht="15" customHeight="1">
      <c r="D2168" s="12" t="str">
        <f>IF(C2168&gt;0,(VLOOKUP(C2168,'Blnct AR'!$C$2:$D$2255,2,0))," ")</f>
        <v xml:space="preserve"> </v>
      </c>
      <c r="F2168" s="19"/>
      <c r="G2168" s="19"/>
      <c r="I2168" s="37"/>
    </row>
    <row r="2169" spans="4:9" s="14" customFormat="1" ht="15" customHeight="1">
      <c r="D2169" s="12" t="str">
        <f>IF(C2169&gt;0,(VLOOKUP(C2169,'Blnct AR'!$C$2:$D$2255,2,0))," ")</f>
        <v xml:space="preserve"> </v>
      </c>
      <c r="F2169" s="19"/>
      <c r="G2169" s="19"/>
      <c r="I2169" s="37"/>
    </row>
    <row r="2170" spans="4:9" s="14" customFormat="1" ht="15" customHeight="1">
      <c r="D2170" s="12" t="str">
        <f>IF(C2170&gt;0,(VLOOKUP(C2170,'Blnct AR'!$C$2:$D$2255,2,0))," ")</f>
        <v xml:space="preserve"> </v>
      </c>
      <c r="F2170" s="19"/>
      <c r="G2170" s="19"/>
      <c r="I2170" s="37"/>
    </row>
    <row r="2171" spans="4:9" s="14" customFormat="1" ht="15" customHeight="1">
      <c r="D2171" s="12" t="str">
        <f>IF(C2171&gt;0,(VLOOKUP(C2171,'Blnct AR'!$C$2:$D$2255,2,0))," ")</f>
        <v xml:space="preserve"> </v>
      </c>
      <c r="F2171" s="19"/>
      <c r="G2171" s="19"/>
      <c r="I2171" s="37"/>
    </row>
    <row r="2172" spans="4:9" s="14" customFormat="1" ht="15" customHeight="1">
      <c r="D2172" s="12" t="str">
        <f>IF(C2172&gt;0,(VLOOKUP(C2172,'Blnct AR'!$C$2:$D$2255,2,0))," ")</f>
        <v xml:space="preserve"> </v>
      </c>
      <c r="F2172" s="19"/>
      <c r="G2172" s="19"/>
      <c r="I2172" s="37"/>
    </row>
    <row r="2173" spans="4:9" s="14" customFormat="1" ht="15" customHeight="1">
      <c r="D2173" s="12" t="str">
        <f>IF(C2173&gt;0,(VLOOKUP(C2173,'Blnct AR'!$C$2:$D$2255,2,0))," ")</f>
        <v xml:space="preserve"> </v>
      </c>
      <c r="F2173" s="19"/>
      <c r="G2173" s="19"/>
      <c r="I2173" s="37"/>
    </row>
    <row r="2174" spans="4:9" s="14" customFormat="1" ht="15" customHeight="1">
      <c r="D2174" s="12" t="str">
        <f>IF(C2174&gt;0,(VLOOKUP(C2174,'Blnct AR'!$C$2:$D$2255,2,0))," ")</f>
        <v xml:space="preserve"> </v>
      </c>
      <c r="F2174" s="19"/>
      <c r="G2174" s="19"/>
      <c r="I2174" s="37"/>
    </row>
    <row r="2175" spans="4:9" s="14" customFormat="1" ht="15" customHeight="1">
      <c r="D2175" s="12" t="str">
        <f>IF(C2175&gt;0,(VLOOKUP(C2175,'Blnct AR'!$C$2:$D$2255,2,0))," ")</f>
        <v xml:space="preserve"> </v>
      </c>
      <c r="F2175" s="19"/>
      <c r="G2175" s="19"/>
      <c r="I2175" s="37"/>
    </row>
    <row r="2176" spans="4:9" s="14" customFormat="1" ht="15" customHeight="1">
      <c r="D2176" s="12" t="str">
        <f>IF(C2176&gt;0,(VLOOKUP(C2176,'Blnct AR'!$C$2:$D$2255,2,0))," ")</f>
        <v xml:space="preserve"> </v>
      </c>
      <c r="F2176" s="19"/>
      <c r="G2176" s="19"/>
      <c r="I2176" s="37"/>
    </row>
    <row r="2177" spans="4:9" s="14" customFormat="1" ht="15" customHeight="1">
      <c r="D2177" s="12" t="str">
        <f>IF(C2177&gt;0,(VLOOKUP(C2177,'Blnct AR'!$C$2:$D$2255,2,0))," ")</f>
        <v xml:space="preserve"> </v>
      </c>
      <c r="F2177" s="19"/>
      <c r="G2177" s="19"/>
      <c r="I2177" s="37"/>
    </row>
    <row r="2178" spans="4:9" s="14" customFormat="1" ht="15" customHeight="1">
      <c r="D2178" s="12" t="str">
        <f>IF(C2178&gt;0,(VLOOKUP(C2178,'Blnct AR'!$C$2:$D$2255,2,0))," ")</f>
        <v xml:space="preserve"> </v>
      </c>
      <c r="F2178" s="19"/>
      <c r="G2178" s="19"/>
      <c r="I2178" s="37"/>
    </row>
    <row r="2179" spans="4:9" s="14" customFormat="1" ht="15" customHeight="1">
      <c r="D2179" s="12" t="str">
        <f>IF(C2179&gt;0,(VLOOKUP(C2179,'Blnct AR'!$C$2:$D$2255,2,0))," ")</f>
        <v xml:space="preserve"> </v>
      </c>
      <c r="F2179" s="19"/>
      <c r="G2179" s="19"/>
      <c r="I2179" s="37"/>
    </row>
    <row r="2180" spans="4:9" s="14" customFormat="1" ht="15" customHeight="1">
      <c r="D2180" s="12" t="str">
        <f>IF(C2180&gt;0,(VLOOKUP(C2180,'Blnct AR'!$C$2:$D$2255,2,0))," ")</f>
        <v xml:space="preserve"> </v>
      </c>
      <c r="F2180" s="19"/>
      <c r="G2180" s="19"/>
      <c r="I2180" s="37"/>
    </row>
    <row r="2181" spans="4:9" s="14" customFormat="1" ht="15" customHeight="1">
      <c r="D2181" s="12" t="str">
        <f>IF(C2181&gt;0,(VLOOKUP(C2181,'Blnct AR'!$C$2:$D$2255,2,0))," ")</f>
        <v xml:space="preserve"> </v>
      </c>
      <c r="F2181" s="19"/>
      <c r="G2181" s="19"/>
      <c r="I2181" s="37"/>
    </row>
    <row r="2182" spans="4:9" s="14" customFormat="1" ht="15" customHeight="1">
      <c r="D2182" s="12" t="str">
        <f>IF(C2182&gt;0,(VLOOKUP(C2182,'Blnct AR'!$C$2:$D$2255,2,0))," ")</f>
        <v xml:space="preserve"> </v>
      </c>
      <c r="F2182" s="19"/>
      <c r="G2182" s="19"/>
      <c r="I2182" s="37"/>
    </row>
    <row r="2183" spans="4:9" s="14" customFormat="1" ht="15" customHeight="1">
      <c r="D2183" s="12" t="str">
        <f>IF(C2183&gt;0,(VLOOKUP(C2183,'Blnct AR'!$C$2:$D$2255,2,0))," ")</f>
        <v xml:space="preserve"> </v>
      </c>
      <c r="F2183" s="19"/>
      <c r="G2183" s="19"/>
      <c r="I2183" s="37"/>
    </row>
    <row r="2184" spans="4:9" s="14" customFormat="1" ht="15" customHeight="1">
      <c r="D2184" s="12" t="str">
        <f>IF(C2184&gt;0,(VLOOKUP(C2184,'Blnct AR'!$C$2:$D$2255,2,0))," ")</f>
        <v xml:space="preserve"> </v>
      </c>
      <c r="F2184" s="19"/>
      <c r="G2184" s="19"/>
      <c r="I2184" s="37"/>
    </row>
    <row r="2185" spans="4:9" s="14" customFormat="1" ht="15" customHeight="1">
      <c r="D2185" s="12" t="str">
        <f>IF(C2185&gt;0,(VLOOKUP(C2185,'Blnct AR'!$C$2:$D$2255,2,0))," ")</f>
        <v xml:space="preserve"> </v>
      </c>
      <c r="F2185" s="19"/>
      <c r="G2185" s="19"/>
      <c r="I2185" s="37"/>
    </row>
    <row r="2186" spans="4:9" s="14" customFormat="1" ht="15" customHeight="1">
      <c r="D2186" s="12" t="str">
        <f>IF(C2186&gt;0,(VLOOKUP(C2186,'Blnct AR'!$C$2:$D$2255,2,0))," ")</f>
        <v xml:space="preserve"> </v>
      </c>
      <c r="F2186" s="19"/>
      <c r="G2186" s="19"/>
      <c r="I2186" s="37"/>
    </row>
    <row r="2187" spans="4:9" s="14" customFormat="1" ht="15" customHeight="1">
      <c r="D2187" s="12" t="str">
        <f>IF(C2187&gt;0,(VLOOKUP(C2187,'Blnct AR'!$C$2:$D$2255,2,0))," ")</f>
        <v xml:space="preserve"> </v>
      </c>
      <c r="F2187" s="19"/>
      <c r="G2187" s="19"/>
      <c r="I2187" s="37"/>
    </row>
    <row r="2188" spans="4:9" s="14" customFormat="1" ht="15" customHeight="1">
      <c r="D2188" s="12" t="str">
        <f>IF(C2188&gt;0,(VLOOKUP(C2188,'Blnct AR'!$C$2:$D$2255,2,0))," ")</f>
        <v xml:space="preserve"> </v>
      </c>
      <c r="F2188" s="19"/>
      <c r="G2188" s="19"/>
      <c r="I2188" s="37"/>
    </row>
    <row r="2189" spans="4:9" s="14" customFormat="1" ht="15" customHeight="1">
      <c r="D2189" s="12" t="str">
        <f>IF(C2189&gt;0,(VLOOKUP(C2189,'Blnct AR'!$C$2:$D$2255,2,0))," ")</f>
        <v xml:space="preserve"> </v>
      </c>
      <c r="F2189" s="19"/>
      <c r="G2189" s="19"/>
      <c r="I2189" s="37"/>
    </row>
    <row r="2190" spans="4:9" s="14" customFormat="1" ht="15" customHeight="1">
      <c r="D2190" s="12" t="str">
        <f>IF(C2190&gt;0,(VLOOKUP(C2190,'Blnct AR'!$C$2:$D$2255,2,0))," ")</f>
        <v xml:space="preserve"> </v>
      </c>
      <c r="F2190" s="19"/>
      <c r="G2190" s="19"/>
      <c r="I2190" s="37"/>
    </row>
    <row r="2191" spans="4:9" s="14" customFormat="1" ht="15" customHeight="1">
      <c r="D2191" s="12" t="str">
        <f>IF(C2191&gt;0,(VLOOKUP(C2191,'Blnct AR'!$C$2:$D$2255,2,0))," ")</f>
        <v xml:space="preserve"> </v>
      </c>
      <c r="F2191" s="19"/>
      <c r="G2191" s="19"/>
      <c r="I2191" s="37"/>
    </row>
    <row r="2192" spans="4:9" s="14" customFormat="1" ht="15" customHeight="1">
      <c r="D2192" s="12" t="str">
        <f>IF(C2192&gt;0,(VLOOKUP(C2192,'Blnct AR'!$C$2:$D$2255,2,0))," ")</f>
        <v xml:space="preserve"> </v>
      </c>
      <c r="F2192" s="19"/>
      <c r="G2192" s="19"/>
      <c r="I2192" s="37"/>
    </row>
    <row r="2193" spans="4:9" s="14" customFormat="1" ht="15" customHeight="1">
      <c r="D2193" s="12" t="str">
        <f>IF(C2193&gt;0,(VLOOKUP(C2193,'Blnct AR'!$C$2:$D$2255,2,0))," ")</f>
        <v xml:space="preserve"> </v>
      </c>
      <c r="F2193" s="19"/>
      <c r="G2193" s="19"/>
      <c r="I2193" s="37"/>
    </row>
    <row r="2194" spans="4:9" s="14" customFormat="1" ht="15" customHeight="1">
      <c r="D2194" s="12" t="str">
        <f>IF(C2194&gt;0,(VLOOKUP(C2194,'Blnct AR'!$C$2:$D$2255,2,0))," ")</f>
        <v xml:space="preserve"> </v>
      </c>
      <c r="F2194" s="19"/>
      <c r="G2194" s="19"/>
      <c r="I2194" s="37"/>
    </row>
    <row r="2195" spans="4:9" s="14" customFormat="1" ht="15" customHeight="1">
      <c r="D2195" s="12" t="str">
        <f>IF(C2195&gt;0,(VLOOKUP(C2195,'Blnct AR'!$C$2:$D$2255,2,0))," ")</f>
        <v xml:space="preserve"> </v>
      </c>
      <c r="F2195" s="19"/>
      <c r="G2195" s="19"/>
      <c r="I2195" s="37"/>
    </row>
    <row r="2196" spans="4:9" s="14" customFormat="1" ht="15" customHeight="1">
      <c r="D2196" s="12" t="str">
        <f>IF(C2196&gt;0,(VLOOKUP(C2196,'Blnct AR'!$C$2:$D$2255,2,0))," ")</f>
        <v xml:space="preserve"> </v>
      </c>
      <c r="F2196" s="19"/>
      <c r="G2196" s="19"/>
      <c r="I2196" s="37"/>
    </row>
    <row r="2197" spans="4:9" s="14" customFormat="1" ht="15" customHeight="1">
      <c r="D2197" s="12" t="str">
        <f>IF(C2197&gt;0,(VLOOKUP(C2197,'Blnct AR'!$C$2:$D$2255,2,0))," ")</f>
        <v xml:space="preserve"> </v>
      </c>
      <c r="F2197" s="19"/>
      <c r="G2197" s="19"/>
      <c r="I2197" s="37"/>
    </row>
    <row r="2198" spans="4:9" s="14" customFormat="1" ht="15" customHeight="1">
      <c r="D2198" s="12" t="str">
        <f>IF(C2198&gt;0,(VLOOKUP(C2198,'Blnct AR'!$C$2:$D$2255,2,0))," ")</f>
        <v xml:space="preserve"> </v>
      </c>
      <c r="F2198" s="19"/>
      <c r="G2198" s="19"/>
      <c r="I2198" s="37"/>
    </row>
    <row r="2199" spans="4:9" s="14" customFormat="1" ht="15" customHeight="1">
      <c r="D2199" s="12" t="str">
        <f>IF(C2199&gt;0,(VLOOKUP(C2199,'Blnct AR'!$C$2:$D$2255,2,0))," ")</f>
        <v xml:space="preserve"> </v>
      </c>
      <c r="F2199" s="19"/>
      <c r="G2199" s="19"/>
      <c r="I2199" s="37"/>
    </row>
    <row r="2200" spans="4:9" s="14" customFormat="1" ht="15" customHeight="1">
      <c r="D2200" s="12" t="str">
        <f>IF(C2200&gt;0,(VLOOKUP(C2200,'Blnct AR'!$C$2:$D$2255,2,0))," ")</f>
        <v xml:space="preserve"> </v>
      </c>
      <c r="F2200" s="19"/>
      <c r="G2200" s="19"/>
      <c r="I2200" s="37"/>
    </row>
    <row r="2201" spans="4:9" s="14" customFormat="1" ht="15" customHeight="1">
      <c r="D2201" s="12" t="str">
        <f>IF(C2201&gt;0,(VLOOKUP(C2201,'Blnct AR'!$C$2:$D$2255,2,0))," ")</f>
        <v xml:space="preserve"> </v>
      </c>
      <c r="F2201" s="19"/>
      <c r="G2201" s="19"/>
      <c r="I2201" s="37"/>
    </row>
    <row r="2202" spans="4:9" s="14" customFormat="1" ht="15" customHeight="1">
      <c r="D2202" s="12" t="str">
        <f>IF(C2202&gt;0,(VLOOKUP(C2202,'Blnct AR'!$C$2:$D$2255,2,0))," ")</f>
        <v xml:space="preserve"> </v>
      </c>
      <c r="F2202" s="19"/>
      <c r="G2202" s="19"/>
      <c r="I2202" s="37"/>
    </row>
    <row r="2203" spans="4:9" s="14" customFormat="1" ht="15" customHeight="1">
      <c r="D2203" s="12" t="str">
        <f>IF(C2203&gt;0,(VLOOKUP(C2203,'Blnct AR'!$C$2:$D$2255,2,0))," ")</f>
        <v xml:space="preserve"> </v>
      </c>
      <c r="F2203" s="19"/>
      <c r="G2203" s="19"/>
      <c r="I2203" s="37"/>
    </row>
    <row r="2204" spans="4:9" s="14" customFormat="1" ht="15" customHeight="1">
      <c r="D2204" s="12" t="str">
        <f>IF(C2204&gt;0,(VLOOKUP(C2204,'Blnct AR'!$C$2:$D$2255,2,0))," ")</f>
        <v xml:space="preserve"> </v>
      </c>
      <c r="F2204" s="19"/>
      <c r="G2204" s="19"/>
      <c r="I2204" s="37"/>
    </row>
    <row r="2205" spans="4:9" s="14" customFormat="1" ht="15" customHeight="1">
      <c r="D2205" s="12" t="str">
        <f>IF(C2205&gt;0,(VLOOKUP(C2205,'Blnct AR'!$C$2:$D$2255,2,0))," ")</f>
        <v xml:space="preserve"> </v>
      </c>
      <c r="F2205" s="19"/>
      <c r="G2205" s="19"/>
      <c r="I2205" s="37"/>
    </row>
    <row r="2206" spans="4:9" s="14" customFormat="1" ht="15" customHeight="1">
      <c r="D2206" s="12" t="str">
        <f>IF(C2206&gt;0,(VLOOKUP(C2206,'Blnct AR'!$C$2:$D$2255,2,0))," ")</f>
        <v xml:space="preserve"> </v>
      </c>
      <c r="F2206" s="19"/>
      <c r="G2206" s="19"/>
      <c r="I2206" s="37"/>
    </row>
    <row r="2207" spans="4:9" s="14" customFormat="1" ht="15" customHeight="1">
      <c r="D2207" s="12" t="str">
        <f>IF(C2207&gt;0,(VLOOKUP(C2207,'Blnct AR'!$C$2:$D$2255,2,0))," ")</f>
        <v xml:space="preserve"> </v>
      </c>
      <c r="F2207" s="19"/>
      <c r="G2207" s="19"/>
      <c r="I2207" s="37"/>
    </row>
    <row r="2208" spans="4:9" s="14" customFormat="1" ht="15" customHeight="1">
      <c r="D2208" s="12" t="str">
        <f>IF(C2208&gt;0,(VLOOKUP(C2208,'Blnct AR'!$C$2:$D$2255,2,0))," ")</f>
        <v xml:space="preserve"> </v>
      </c>
      <c r="F2208" s="19"/>
      <c r="G2208" s="19"/>
      <c r="I2208" s="37"/>
    </row>
    <row r="2209" spans="4:9" s="14" customFormat="1" ht="15" customHeight="1">
      <c r="D2209" s="12" t="str">
        <f>IF(C2209&gt;0,(VLOOKUP(C2209,'Blnct AR'!$C$2:$D$2255,2,0))," ")</f>
        <v xml:space="preserve"> </v>
      </c>
      <c r="F2209" s="19"/>
      <c r="G2209" s="19"/>
      <c r="I2209" s="37"/>
    </row>
    <row r="2210" spans="4:9" s="14" customFormat="1" ht="15" customHeight="1">
      <c r="D2210" s="12" t="str">
        <f>IF(C2210&gt;0,(VLOOKUP(C2210,'Blnct AR'!$C$2:$D$2255,2,0))," ")</f>
        <v xml:space="preserve"> </v>
      </c>
      <c r="F2210" s="19"/>
      <c r="G2210" s="19"/>
      <c r="I2210" s="37"/>
    </row>
    <row r="2211" spans="4:9" s="14" customFormat="1" ht="15" customHeight="1">
      <c r="D2211" s="12" t="str">
        <f>IF(C2211&gt;0,(VLOOKUP(C2211,'Blnct AR'!$C$2:$D$2255,2,0))," ")</f>
        <v xml:space="preserve"> </v>
      </c>
      <c r="F2211" s="19"/>
      <c r="G2211" s="19"/>
      <c r="I2211" s="37"/>
    </row>
    <row r="2212" spans="4:9" s="14" customFormat="1" ht="15" customHeight="1">
      <c r="D2212" s="12" t="str">
        <f>IF(C2212&gt;0,(VLOOKUP(C2212,'Blnct AR'!$C$2:$D$2255,2,0))," ")</f>
        <v xml:space="preserve"> </v>
      </c>
      <c r="F2212" s="19"/>
      <c r="G2212" s="19"/>
      <c r="I2212" s="37"/>
    </row>
    <row r="2213" spans="4:9" s="14" customFormat="1" ht="15" customHeight="1">
      <c r="D2213" s="12" t="str">
        <f>IF(C2213&gt;0,(VLOOKUP(C2213,'Blnct AR'!$C$2:$D$2255,2,0))," ")</f>
        <v xml:space="preserve"> </v>
      </c>
      <c r="F2213" s="19"/>
      <c r="G2213" s="19"/>
      <c r="I2213" s="37"/>
    </row>
    <row r="2214" spans="4:9" s="14" customFormat="1" ht="15" customHeight="1">
      <c r="D2214" s="12" t="str">
        <f>IF(C2214&gt;0,(VLOOKUP(C2214,'Blnct AR'!$C$2:$D$2255,2,0))," ")</f>
        <v xml:space="preserve"> </v>
      </c>
      <c r="F2214" s="19"/>
      <c r="G2214" s="19"/>
      <c r="I2214" s="37"/>
    </row>
    <row r="2215" spans="4:9" s="14" customFormat="1" ht="15" customHeight="1">
      <c r="D2215" s="12" t="str">
        <f>IF(C2215&gt;0,(VLOOKUP(C2215,'Blnct AR'!$C$2:$D$2255,2,0))," ")</f>
        <v xml:space="preserve"> </v>
      </c>
      <c r="F2215" s="19"/>
      <c r="G2215" s="19"/>
      <c r="I2215" s="37"/>
    </row>
    <row r="2216" spans="4:9" s="14" customFormat="1" ht="15" customHeight="1">
      <c r="D2216" s="12" t="str">
        <f>IF(C2216&gt;0,(VLOOKUP(C2216,'Blnct AR'!$C$2:$D$2255,2,0))," ")</f>
        <v xml:space="preserve"> </v>
      </c>
      <c r="F2216" s="19"/>
      <c r="G2216" s="19"/>
      <c r="I2216" s="37"/>
    </row>
    <row r="2217" spans="4:9" s="14" customFormat="1" ht="15" customHeight="1">
      <c r="D2217" s="12" t="str">
        <f>IF(C2217&gt;0,(VLOOKUP(C2217,'Blnct AR'!$C$2:$D$2255,2,0))," ")</f>
        <v xml:space="preserve"> </v>
      </c>
      <c r="F2217" s="19"/>
      <c r="G2217" s="19"/>
      <c r="I2217" s="37"/>
    </row>
    <row r="2218" spans="4:9" s="14" customFormat="1" ht="15" customHeight="1">
      <c r="D2218" s="12" t="str">
        <f>IF(C2218&gt;0,(VLOOKUP(C2218,'Blnct AR'!$C$2:$D$2255,2,0))," ")</f>
        <v xml:space="preserve"> </v>
      </c>
      <c r="F2218" s="19"/>
      <c r="G2218" s="19"/>
      <c r="I2218" s="37"/>
    </row>
    <row r="2219" spans="4:9" s="14" customFormat="1" ht="15" customHeight="1">
      <c r="D2219" s="12" t="str">
        <f>IF(C2219&gt;0,(VLOOKUP(C2219,'Blnct AR'!$C$2:$D$2255,2,0))," ")</f>
        <v xml:space="preserve"> </v>
      </c>
      <c r="F2219" s="19"/>
      <c r="G2219" s="19"/>
      <c r="I2219" s="37"/>
    </row>
    <row r="2220" spans="4:9" s="14" customFormat="1" ht="15" customHeight="1">
      <c r="D2220" s="12" t="str">
        <f>IF(C2220&gt;0,(VLOOKUP(C2220,'Blnct AR'!$C$2:$D$2255,2,0))," ")</f>
        <v xml:space="preserve"> </v>
      </c>
      <c r="F2220" s="19"/>
      <c r="G2220" s="19"/>
      <c r="I2220" s="37"/>
    </row>
    <row r="2221" spans="4:9" s="14" customFormat="1" ht="15" customHeight="1">
      <c r="D2221" s="12" t="str">
        <f>IF(C2221&gt;0,(VLOOKUP(C2221,'Blnct AR'!$C$2:$D$2255,2,0))," ")</f>
        <v xml:space="preserve"> </v>
      </c>
      <c r="F2221" s="19"/>
      <c r="G2221" s="19"/>
      <c r="I2221" s="37"/>
    </row>
    <row r="2222" spans="4:9" s="14" customFormat="1" ht="15" customHeight="1">
      <c r="D2222" s="12" t="str">
        <f>IF(C2222&gt;0,(VLOOKUP(C2222,'Blnct AR'!$C$2:$D$2255,2,0))," ")</f>
        <v xml:space="preserve"> </v>
      </c>
      <c r="F2222" s="19"/>
      <c r="G2222" s="19"/>
      <c r="I2222" s="37"/>
    </row>
    <row r="2223" spans="4:9" s="14" customFormat="1" ht="15" customHeight="1">
      <c r="D2223" s="12" t="str">
        <f>IF(C2223&gt;0,(VLOOKUP(C2223,'Blnct AR'!$C$2:$D$2255,2,0))," ")</f>
        <v xml:space="preserve"> </v>
      </c>
      <c r="F2223" s="19"/>
      <c r="G2223" s="19"/>
      <c r="I2223" s="37"/>
    </row>
    <row r="2224" spans="4:9" s="14" customFormat="1" ht="15" customHeight="1">
      <c r="D2224" s="12" t="str">
        <f>IF(C2224&gt;0,(VLOOKUP(C2224,'Blnct AR'!$C$2:$D$2255,2,0))," ")</f>
        <v xml:space="preserve"> </v>
      </c>
      <c r="F2224" s="19"/>
      <c r="G2224" s="19"/>
      <c r="I2224" s="37"/>
    </row>
    <row r="2225" spans="4:9" s="14" customFormat="1" ht="15" customHeight="1">
      <c r="D2225" s="12" t="str">
        <f>IF(C2225&gt;0,(VLOOKUP(C2225,'Blnct AR'!$C$2:$D$2255,2,0))," ")</f>
        <v xml:space="preserve"> </v>
      </c>
      <c r="F2225" s="19"/>
      <c r="G2225" s="19"/>
      <c r="I2225" s="37"/>
    </row>
    <row r="2226" spans="4:9" s="14" customFormat="1" ht="15" customHeight="1">
      <c r="D2226" s="12" t="str">
        <f>IF(C2226&gt;0,(VLOOKUP(C2226,'Blnct AR'!$C$2:$D$2255,2,0))," ")</f>
        <v xml:space="preserve"> </v>
      </c>
      <c r="F2226" s="19"/>
      <c r="G2226" s="19"/>
      <c r="I2226" s="37"/>
    </row>
    <row r="2227" spans="4:9" s="14" customFormat="1" ht="15" customHeight="1">
      <c r="D2227" s="12" t="str">
        <f>IF(C2227&gt;0,(VLOOKUP(C2227,'Blnct AR'!$C$2:$D$2255,2,0))," ")</f>
        <v xml:space="preserve"> </v>
      </c>
      <c r="F2227" s="19"/>
      <c r="G2227" s="19"/>
      <c r="I2227" s="37"/>
    </row>
    <row r="2228" spans="4:9" s="14" customFormat="1" ht="15" customHeight="1">
      <c r="D2228" s="12" t="str">
        <f>IF(C2228&gt;0,(VLOOKUP(C2228,'Blnct AR'!$C$2:$D$2255,2,0))," ")</f>
        <v xml:space="preserve"> </v>
      </c>
      <c r="F2228" s="19"/>
      <c r="G2228" s="19"/>
      <c r="I2228" s="37"/>
    </row>
    <row r="2229" spans="4:9" s="14" customFormat="1" ht="15" customHeight="1">
      <c r="D2229" s="12" t="str">
        <f>IF(C2229&gt;0,(VLOOKUP(C2229,'Blnct AR'!$C$2:$D$2255,2,0))," ")</f>
        <v xml:space="preserve"> </v>
      </c>
      <c r="F2229" s="19"/>
      <c r="G2229" s="19"/>
      <c r="I2229" s="37"/>
    </row>
    <row r="2230" spans="4:9" s="14" customFormat="1" ht="15" customHeight="1">
      <c r="D2230" s="12" t="str">
        <f>IF(C2230&gt;0,(VLOOKUP(C2230,'Blnct AR'!$C$2:$D$2255,2,0))," ")</f>
        <v xml:space="preserve"> </v>
      </c>
      <c r="F2230" s="19"/>
      <c r="G2230" s="19"/>
      <c r="I2230" s="37"/>
    </row>
    <row r="2231" spans="4:9" s="14" customFormat="1" ht="15" customHeight="1">
      <c r="D2231" s="12" t="str">
        <f>IF(C2231&gt;0,(VLOOKUP(C2231,'Blnct AR'!$C$2:$D$2255,2,0))," ")</f>
        <v xml:space="preserve"> </v>
      </c>
      <c r="F2231" s="19"/>
      <c r="G2231" s="19"/>
      <c r="I2231" s="37"/>
    </row>
    <row r="2232" spans="4:9" s="14" customFormat="1" ht="15" customHeight="1">
      <c r="D2232" s="12" t="str">
        <f>IF(C2232&gt;0,(VLOOKUP(C2232,'Blnct AR'!$C$2:$D$2255,2,0))," ")</f>
        <v xml:space="preserve"> </v>
      </c>
      <c r="F2232" s="19"/>
      <c r="G2232" s="19"/>
      <c r="I2232" s="37"/>
    </row>
    <row r="2233" spans="4:9" s="14" customFormat="1" ht="15" customHeight="1">
      <c r="D2233" s="12" t="str">
        <f>IF(C2233&gt;0,(VLOOKUP(C2233,'Blnct AR'!$C$2:$D$2255,2,0))," ")</f>
        <v xml:space="preserve"> </v>
      </c>
      <c r="F2233" s="19"/>
      <c r="G2233" s="19"/>
      <c r="I2233" s="37"/>
    </row>
    <row r="2234" spans="4:9" s="14" customFormat="1" ht="15" customHeight="1">
      <c r="D2234" s="12" t="str">
        <f>IF(C2234&gt;0,(VLOOKUP(C2234,'Blnct AR'!$C$2:$D$2255,2,0))," ")</f>
        <v xml:space="preserve"> </v>
      </c>
      <c r="F2234" s="19"/>
      <c r="G2234" s="19"/>
      <c r="I2234" s="37"/>
    </row>
    <row r="2235" spans="4:9" s="14" customFormat="1" ht="15" customHeight="1">
      <c r="D2235" s="12" t="str">
        <f>IF(C2235&gt;0,(VLOOKUP(C2235,'Blnct AR'!$C$2:$D$2255,2,0))," ")</f>
        <v xml:space="preserve"> </v>
      </c>
      <c r="F2235" s="19"/>
      <c r="G2235" s="19"/>
      <c r="I2235" s="37"/>
    </row>
    <row r="2236" spans="4:9" s="14" customFormat="1" ht="15" customHeight="1">
      <c r="D2236" s="12" t="str">
        <f>IF(C2236&gt;0,(VLOOKUP(C2236,'Blnct AR'!$C$2:$D$2255,2,0))," ")</f>
        <v xml:space="preserve"> </v>
      </c>
      <c r="F2236" s="19"/>
      <c r="G2236" s="19"/>
      <c r="I2236" s="37"/>
    </row>
    <row r="2237" spans="4:9" s="14" customFormat="1" ht="15" customHeight="1">
      <c r="D2237" s="12" t="str">
        <f>IF(C2237&gt;0,(VLOOKUP(C2237,'Blnct AR'!$C$2:$D$2255,2,0))," ")</f>
        <v xml:space="preserve"> </v>
      </c>
      <c r="F2237" s="19"/>
      <c r="G2237" s="19"/>
      <c r="I2237" s="37"/>
    </row>
    <row r="2238" spans="4:9" s="14" customFormat="1" ht="15" customHeight="1">
      <c r="D2238" s="12" t="str">
        <f>IF(C2238&gt;0,(VLOOKUP(C2238,'Blnct AR'!$C$2:$D$2255,2,0))," ")</f>
        <v xml:space="preserve"> </v>
      </c>
      <c r="F2238" s="19"/>
      <c r="G2238" s="19"/>
      <c r="I2238" s="37"/>
    </row>
    <row r="2239" spans="4:9" s="14" customFormat="1" ht="15" customHeight="1">
      <c r="D2239" s="12" t="str">
        <f>IF(C2239&gt;0,(VLOOKUP(C2239,'Blnct AR'!$C$2:$D$2255,2,0))," ")</f>
        <v xml:space="preserve"> </v>
      </c>
      <c r="F2239" s="19"/>
      <c r="G2239" s="19"/>
      <c r="I2239" s="37"/>
    </row>
    <row r="2240" spans="4:9" s="14" customFormat="1" ht="15" customHeight="1">
      <c r="D2240" s="12" t="str">
        <f>IF(C2240&gt;0,(VLOOKUP(C2240,'Blnct AR'!$C$2:$D$2255,2,0))," ")</f>
        <v xml:space="preserve"> </v>
      </c>
      <c r="F2240" s="19"/>
      <c r="G2240" s="19"/>
      <c r="I2240" s="37"/>
    </row>
    <row r="2241" spans="4:9" s="14" customFormat="1" ht="15" customHeight="1">
      <c r="D2241" s="12" t="str">
        <f>IF(C2241&gt;0,(VLOOKUP(C2241,'Blnct AR'!$C$2:$D$2255,2,0))," ")</f>
        <v xml:space="preserve"> </v>
      </c>
      <c r="F2241" s="19"/>
      <c r="G2241" s="19"/>
      <c r="I2241" s="37"/>
    </row>
    <row r="2242" spans="4:9" s="14" customFormat="1" ht="15" customHeight="1">
      <c r="D2242" s="12" t="str">
        <f>IF(C2242&gt;0,(VLOOKUP(C2242,'Blnct AR'!$C$2:$D$2255,2,0))," ")</f>
        <v xml:space="preserve"> </v>
      </c>
      <c r="F2242" s="19"/>
      <c r="G2242" s="19"/>
      <c r="I2242" s="37"/>
    </row>
    <row r="2243" spans="4:9" s="14" customFormat="1" ht="15" customHeight="1">
      <c r="D2243" s="12" t="str">
        <f>IF(C2243&gt;0,(VLOOKUP(C2243,'Blnct AR'!$C$2:$D$2255,2,0))," ")</f>
        <v xml:space="preserve"> </v>
      </c>
      <c r="F2243" s="19"/>
      <c r="G2243" s="19"/>
      <c r="I2243" s="37"/>
    </row>
    <row r="2244" spans="4:9" s="14" customFormat="1" ht="15" customHeight="1">
      <c r="D2244" s="12" t="str">
        <f>IF(C2244&gt;0,(VLOOKUP(C2244,'Blnct AR'!$C$2:$D$2255,2,0))," ")</f>
        <v xml:space="preserve"> </v>
      </c>
      <c r="F2244" s="19"/>
      <c r="G2244" s="19"/>
      <c r="I2244" s="37"/>
    </row>
    <row r="2245" spans="4:9" s="14" customFormat="1" ht="15" customHeight="1">
      <c r="D2245" s="12" t="str">
        <f>IF(C2245&gt;0,(VLOOKUP(C2245,'Blnct AR'!$C$2:$D$2255,2,0))," ")</f>
        <v xml:space="preserve"> </v>
      </c>
      <c r="F2245" s="19"/>
      <c r="G2245" s="19"/>
      <c r="I2245" s="37"/>
    </row>
    <row r="2246" spans="4:9" s="14" customFormat="1" ht="15" customHeight="1">
      <c r="D2246" s="12" t="str">
        <f>IF(C2246&gt;0,(VLOOKUP(C2246,'Blnct AR'!$C$2:$D$2255,2,0))," ")</f>
        <v xml:space="preserve"> </v>
      </c>
      <c r="F2246" s="19"/>
      <c r="G2246" s="19"/>
      <c r="I2246" s="37"/>
    </row>
    <row r="2247" spans="4:9" s="14" customFormat="1" ht="15" customHeight="1">
      <c r="D2247" s="12" t="str">
        <f>IF(C2247&gt;0,(VLOOKUP(C2247,'Blnct AR'!$C$2:$D$2255,2,0))," ")</f>
        <v xml:space="preserve"> </v>
      </c>
      <c r="F2247" s="19"/>
      <c r="G2247" s="19"/>
      <c r="I2247" s="37"/>
    </row>
    <row r="2248" spans="4:9" s="14" customFormat="1" ht="15" customHeight="1">
      <c r="D2248" s="12" t="str">
        <f>IF(C2248&gt;0,(VLOOKUP(C2248,'Blnct AR'!$C$2:$D$2255,2,0))," ")</f>
        <v xml:space="preserve"> </v>
      </c>
      <c r="F2248" s="19"/>
      <c r="G2248" s="19"/>
      <c r="I2248" s="37"/>
    </row>
    <row r="2249" spans="4:9" s="14" customFormat="1" ht="15" customHeight="1">
      <c r="D2249" s="12" t="str">
        <f>IF(C2249&gt;0,(VLOOKUP(C2249,'Blnct AR'!$C$2:$D$2255,2,0))," ")</f>
        <v xml:space="preserve"> </v>
      </c>
      <c r="F2249" s="19"/>
      <c r="G2249" s="19"/>
      <c r="I2249" s="37"/>
    </row>
    <row r="2250" spans="4:9" s="14" customFormat="1" ht="15" customHeight="1">
      <c r="D2250" s="12" t="str">
        <f>IF(C2250&gt;0,(VLOOKUP(C2250,'Blnct AR'!$C$2:$D$2255,2,0))," ")</f>
        <v xml:space="preserve"> </v>
      </c>
      <c r="F2250" s="19"/>
      <c r="G2250" s="19"/>
      <c r="I2250" s="37"/>
    </row>
    <row r="2251" spans="4:9" s="14" customFormat="1" ht="15" customHeight="1">
      <c r="D2251" s="12" t="str">
        <f>IF(C2251&gt;0,(VLOOKUP(C2251,'Blnct AR'!$C$2:$D$2255,2,0))," ")</f>
        <v xml:space="preserve"> </v>
      </c>
      <c r="F2251" s="19"/>
      <c r="G2251" s="19"/>
      <c r="I2251" s="37"/>
    </row>
    <row r="2252" spans="4:9" s="14" customFormat="1" ht="15" customHeight="1">
      <c r="D2252" s="12" t="str">
        <f>IF(C2252&gt;0,(VLOOKUP(C2252,'Blnct AR'!$C$2:$D$2255,2,0))," ")</f>
        <v xml:space="preserve"> </v>
      </c>
      <c r="F2252" s="19"/>
      <c r="G2252" s="19"/>
      <c r="I2252" s="37"/>
    </row>
    <row r="2253" spans="4:9" s="14" customFormat="1" ht="15" customHeight="1">
      <c r="D2253" s="12" t="str">
        <f>IF(C2253&gt;0,(VLOOKUP(C2253,'Blnct AR'!$C$2:$D$2255,2,0))," ")</f>
        <v xml:space="preserve"> </v>
      </c>
      <c r="F2253" s="19"/>
      <c r="G2253" s="19"/>
      <c r="I2253" s="37"/>
    </row>
    <row r="2254" spans="4:9" s="14" customFormat="1" ht="15" customHeight="1">
      <c r="D2254" s="12" t="str">
        <f>IF(C2254&gt;0,(VLOOKUP(C2254,'Blnct AR'!$C$2:$D$2255,2,0))," ")</f>
        <v xml:space="preserve"> </v>
      </c>
      <c r="F2254" s="19"/>
      <c r="G2254" s="19"/>
      <c r="I2254" s="37"/>
    </row>
    <row r="2255" spans="4:9" s="14" customFormat="1" ht="15" customHeight="1">
      <c r="D2255" s="12" t="str">
        <f>IF(C2255&gt;0,(VLOOKUP(C2255,'Blnct AR'!$C$2:$D$2255,2,0))," ")</f>
        <v xml:space="preserve"> </v>
      </c>
      <c r="F2255" s="19"/>
      <c r="G2255" s="19"/>
      <c r="I2255" s="37"/>
    </row>
    <row r="2256" spans="4:9" s="14" customFormat="1" ht="15" customHeight="1">
      <c r="D2256" s="12" t="str">
        <f>IF(C2256&gt;0,(VLOOKUP(C2256,'Blnct AR'!$C$2:$D$2255,2,0))," ")</f>
        <v xml:space="preserve"> </v>
      </c>
      <c r="F2256" s="19"/>
      <c r="G2256" s="19"/>
      <c r="I2256" s="37"/>
    </row>
    <row r="2257" spans="4:9" s="14" customFormat="1" ht="15" customHeight="1">
      <c r="D2257" s="12" t="str">
        <f>IF(C2257&gt;0,(VLOOKUP(C2257,'Blnct AR'!$C$2:$D$2255,2,0))," ")</f>
        <v xml:space="preserve"> </v>
      </c>
      <c r="F2257" s="19"/>
      <c r="G2257" s="19"/>
      <c r="I2257" s="37"/>
    </row>
    <row r="2258" spans="4:9" s="14" customFormat="1" ht="15" customHeight="1">
      <c r="D2258" s="12" t="str">
        <f>IF(C2258&gt;0,(VLOOKUP(C2258,'Blnct AR'!$C$2:$D$2255,2,0))," ")</f>
        <v xml:space="preserve"> </v>
      </c>
      <c r="F2258" s="19"/>
      <c r="G2258" s="19"/>
      <c r="I2258" s="37"/>
    </row>
    <row r="2259" spans="4:9" s="14" customFormat="1" ht="15" customHeight="1">
      <c r="D2259" s="12" t="str">
        <f>IF(C2259&gt;0,(VLOOKUP(C2259,'Blnct AR'!$C$2:$D$2255,2,0))," ")</f>
        <v xml:space="preserve"> </v>
      </c>
      <c r="F2259" s="19"/>
      <c r="G2259" s="19"/>
      <c r="I2259" s="37"/>
    </row>
    <row r="2260" spans="4:9" s="14" customFormat="1" ht="15" customHeight="1">
      <c r="D2260" s="12" t="str">
        <f>IF(C2260&gt;0,(VLOOKUP(C2260,'Blnct AR'!$C$2:$D$2255,2,0))," ")</f>
        <v xml:space="preserve"> </v>
      </c>
      <c r="F2260" s="19"/>
      <c r="G2260" s="19"/>
      <c r="I2260" s="37"/>
    </row>
    <row r="2261" spans="4:9" s="14" customFormat="1" ht="15" customHeight="1">
      <c r="D2261" s="12" t="str">
        <f>IF(C2261&gt;0,(VLOOKUP(C2261,'Blnct AR'!$C$2:$D$2255,2,0))," ")</f>
        <v xml:space="preserve"> </v>
      </c>
      <c r="F2261" s="19"/>
      <c r="G2261" s="19"/>
      <c r="I2261" s="37"/>
    </row>
    <row r="2262" spans="4:9" s="14" customFormat="1" ht="15" customHeight="1">
      <c r="D2262" s="12" t="str">
        <f>IF(C2262&gt;0,(VLOOKUP(C2262,'Blnct AR'!$C$2:$D$2255,2,0))," ")</f>
        <v xml:space="preserve"> </v>
      </c>
      <c r="F2262" s="19"/>
      <c r="G2262" s="19"/>
      <c r="I2262" s="37"/>
    </row>
    <row r="2263" spans="4:9" s="14" customFormat="1" ht="15" customHeight="1">
      <c r="D2263" s="12" t="str">
        <f>IF(C2263&gt;0,(VLOOKUP(C2263,'Blnct AR'!$C$2:$D$2255,2,0))," ")</f>
        <v xml:space="preserve"> </v>
      </c>
      <c r="F2263" s="19"/>
      <c r="G2263" s="19"/>
      <c r="I2263" s="37"/>
    </row>
    <row r="2264" spans="4:9" s="14" customFormat="1" ht="15" customHeight="1">
      <c r="D2264" s="12" t="str">
        <f>IF(C2264&gt;0,(VLOOKUP(C2264,'Blnct AR'!$C$2:$D$2255,2,0))," ")</f>
        <v xml:space="preserve"> </v>
      </c>
      <c r="F2264" s="19"/>
      <c r="G2264" s="19"/>
      <c r="I2264" s="37"/>
    </row>
    <row r="2265" spans="4:9" s="14" customFormat="1" ht="15" customHeight="1">
      <c r="D2265" s="12" t="str">
        <f>IF(C2265&gt;0,(VLOOKUP(C2265,'Blnct AR'!$C$2:$D$2255,2,0))," ")</f>
        <v xml:space="preserve"> </v>
      </c>
      <c r="F2265" s="19"/>
      <c r="G2265" s="19"/>
      <c r="I2265" s="37"/>
    </row>
    <row r="2266" spans="4:9" s="14" customFormat="1" ht="15" customHeight="1">
      <c r="D2266" s="12" t="str">
        <f>IF(C2266&gt;0,(VLOOKUP(C2266,'Blnct AR'!$C$2:$D$2255,2,0))," ")</f>
        <v xml:space="preserve"> </v>
      </c>
      <c r="F2266" s="19"/>
      <c r="G2266" s="19"/>
      <c r="I2266" s="37"/>
    </row>
    <row r="2267" spans="4:9" s="14" customFormat="1" ht="15" customHeight="1">
      <c r="D2267" s="12" t="str">
        <f>IF(C2267&gt;0,(VLOOKUP(C2267,'Blnct AR'!$C$2:$D$2255,2,0))," ")</f>
        <v xml:space="preserve"> </v>
      </c>
      <c r="F2267" s="19"/>
      <c r="G2267" s="19"/>
      <c r="I2267" s="37"/>
    </row>
    <row r="2268" spans="4:9" s="14" customFormat="1" ht="15" customHeight="1">
      <c r="D2268" s="12" t="str">
        <f>IF(C2268&gt;0,(VLOOKUP(C2268,'Blnct AR'!$C$2:$D$2255,2,0))," ")</f>
        <v xml:space="preserve"> </v>
      </c>
      <c r="F2268" s="19"/>
      <c r="G2268" s="19"/>
      <c r="I2268" s="37"/>
    </row>
    <row r="2269" spans="4:9" s="14" customFormat="1" ht="15" customHeight="1">
      <c r="D2269" s="12" t="str">
        <f>IF(C2269&gt;0,(VLOOKUP(C2269,'Blnct AR'!$C$2:$D$2255,2,0))," ")</f>
        <v xml:space="preserve"> </v>
      </c>
      <c r="F2269" s="19"/>
      <c r="G2269" s="19"/>
      <c r="I2269" s="37"/>
    </row>
    <row r="2270" spans="4:9" s="14" customFormat="1" ht="15" customHeight="1">
      <c r="D2270" s="12" t="str">
        <f>IF(C2270&gt;0,(VLOOKUP(C2270,'Blnct AR'!$C$2:$D$2255,2,0))," ")</f>
        <v xml:space="preserve"> </v>
      </c>
      <c r="F2270" s="19"/>
      <c r="G2270" s="19"/>
      <c r="I2270" s="37"/>
    </row>
    <row r="2271" spans="4:9" s="14" customFormat="1" ht="15" customHeight="1">
      <c r="D2271" s="12" t="str">
        <f>IF(C2271&gt;0,(VLOOKUP(C2271,'Blnct AR'!$C$2:$D$2255,2,0))," ")</f>
        <v xml:space="preserve"> </v>
      </c>
      <c r="F2271" s="19"/>
      <c r="G2271" s="19"/>
      <c r="I2271" s="37"/>
    </row>
    <row r="2272" spans="4:9" s="14" customFormat="1" ht="15" customHeight="1">
      <c r="D2272" s="12" t="str">
        <f>IF(C2272&gt;0,(VLOOKUP(C2272,'Blnct AR'!$C$2:$D$2255,2,0))," ")</f>
        <v xml:space="preserve"> </v>
      </c>
      <c r="F2272" s="19"/>
      <c r="G2272" s="19"/>
      <c r="I2272" s="37"/>
    </row>
    <row r="2273" spans="4:9" s="14" customFormat="1" ht="15" customHeight="1">
      <c r="D2273" s="12" t="str">
        <f>IF(C2273&gt;0,(VLOOKUP(C2273,'Blnct AR'!$C$2:$D$2255,2,0))," ")</f>
        <v xml:space="preserve"> </v>
      </c>
      <c r="F2273" s="19"/>
      <c r="G2273" s="19"/>
      <c r="I2273" s="37"/>
    </row>
    <row r="2274" spans="4:9" s="14" customFormat="1" ht="15" customHeight="1">
      <c r="D2274" s="12" t="str">
        <f>IF(C2274&gt;0,(VLOOKUP(C2274,'Blnct AR'!$C$2:$D$2255,2,0))," ")</f>
        <v xml:space="preserve"> </v>
      </c>
      <c r="F2274" s="19"/>
      <c r="G2274" s="19"/>
      <c r="I2274" s="37"/>
    </row>
    <row r="2275" spans="4:9" s="14" customFormat="1" ht="15" customHeight="1">
      <c r="D2275" s="12" t="str">
        <f>IF(C2275&gt;0,(VLOOKUP(C2275,'Blnct AR'!$C$2:$D$2255,2,0))," ")</f>
        <v xml:space="preserve"> </v>
      </c>
      <c r="F2275" s="19"/>
      <c r="G2275" s="19"/>
      <c r="I2275" s="37"/>
    </row>
    <row r="2276" spans="4:9" s="14" customFormat="1" ht="15" customHeight="1">
      <c r="D2276" s="12" t="str">
        <f>IF(C2276&gt;0,(VLOOKUP(C2276,'Blnct AR'!$C$2:$D$2255,2,0))," ")</f>
        <v xml:space="preserve"> </v>
      </c>
      <c r="F2276" s="19"/>
      <c r="G2276" s="19"/>
      <c r="I2276" s="37"/>
    </row>
    <row r="2277" spans="4:9" s="14" customFormat="1" ht="15" customHeight="1">
      <c r="D2277" s="12" t="str">
        <f>IF(C2277&gt;0,(VLOOKUP(C2277,'Blnct AR'!$C$2:$D$2255,2,0))," ")</f>
        <v xml:space="preserve"> </v>
      </c>
      <c r="F2277" s="19"/>
      <c r="G2277" s="19"/>
      <c r="I2277" s="37"/>
    </row>
    <row r="2278" spans="4:9" s="14" customFormat="1" ht="15" customHeight="1">
      <c r="D2278" s="12" t="str">
        <f>IF(C2278&gt;0,(VLOOKUP(C2278,'Blnct AR'!$C$2:$D$2255,2,0))," ")</f>
        <v xml:space="preserve"> </v>
      </c>
      <c r="F2278" s="19"/>
      <c r="G2278" s="19"/>
      <c r="I2278" s="37"/>
    </row>
    <row r="2279" spans="4:9" s="14" customFormat="1" ht="15" customHeight="1">
      <c r="D2279" s="12" t="str">
        <f>IF(C2279&gt;0,(VLOOKUP(C2279,'Blnct AR'!$C$2:$D$2255,2,0))," ")</f>
        <v xml:space="preserve"> </v>
      </c>
      <c r="F2279" s="19"/>
      <c r="G2279" s="19"/>
      <c r="I2279" s="37"/>
    </row>
    <row r="2280" spans="4:9" s="14" customFormat="1" ht="15" customHeight="1">
      <c r="D2280" s="12" t="str">
        <f>IF(C2280&gt;0,(VLOOKUP(C2280,'Blnct AR'!$C$2:$D$2255,2,0))," ")</f>
        <v xml:space="preserve"> </v>
      </c>
      <c r="F2280" s="19"/>
      <c r="G2280" s="19"/>
      <c r="I2280" s="37"/>
    </row>
    <row r="2281" spans="4:9" s="14" customFormat="1" ht="15" customHeight="1">
      <c r="D2281" s="12" t="str">
        <f>IF(C2281&gt;0,(VLOOKUP(C2281,'Blnct AR'!$C$2:$D$2255,2,0))," ")</f>
        <v xml:space="preserve"> </v>
      </c>
      <c r="F2281" s="19"/>
      <c r="G2281" s="19"/>
      <c r="I2281" s="37"/>
    </row>
    <row r="2282" spans="4:9" s="14" customFormat="1" ht="15" customHeight="1">
      <c r="D2282" s="12" t="str">
        <f>IF(C2282&gt;0,(VLOOKUP(C2282,'Blnct AR'!$C$2:$D$2255,2,0))," ")</f>
        <v xml:space="preserve"> </v>
      </c>
      <c r="F2282" s="19"/>
      <c r="G2282" s="19"/>
      <c r="I2282" s="37"/>
    </row>
    <row r="2283" spans="4:9" s="14" customFormat="1" ht="15" customHeight="1">
      <c r="D2283" s="12" t="str">
        <f>IF(C2283&gt;0,(VLOOKUP(C2283,'Blnct AR'!$C$2:$D$2255,2,0))," ")</f>
        <v xml:space="preserve"> </v>
      </c>
      <c r="F2283" s="19"/>
      <c r="G2283" s="19"/>
      <c r="I2283" s="37"/>
    </row>
    <row r="2284" spans="4:9" s="14" customFormat="1" ht="15" customHeight="1">
      <c r="D2284" s="12" t="str">
        <f>IF(C2284&gt;0,(VLOOKUP(C2284,'Blnct AR'!$C$2:$D$2255,2,0))," ")</f>
        <v xml:space="preserve"> </v>
      </c>
      <c r="F2284" s="19"/>
      <c r="G2284" s="19"/>
      <c r="I2284" s="37"/>
    </row>
    <row r="2285" spans="4:9" s="14" customFormat="1" ht="15" customHeight="1">
      <c r="D2285" s="12" t="str">
        <f>IF(C2285&gt;0,(VLOOKUP(C2285,'Blnct AR'!$C$2:$D$2255,2,0))," ")</f>
        <v xml:space="preserve"> </v>
      </c>
      <c r="F2285" s="19"/>
      <c r="G2285" s="19"/>
      <c r="I2285" s="37"/>
    </row>
    <row r="2286" spans="4:9" s="14" customFormat="1" ht="15" customHeight="1">
      <c r="D2286" s="12" t="str">
        <f>IF(C2286&gt;0,(VLOOKUP(C2286,'Blnct AR'!$C$2:$D$2255,2,0))," ")</f>
        <v xml:space="preserve"> </v>
      </c>
      <c r="F2286" s="19"/>
      <c r="G2286" s="19"/>
      <c r="I2286" s="37"/>
    </row>
    <row r="2287" spans="4:9" s="14" customFormat="1" ht="15" customHeight="1">
      <c r="D2287" s="12" t="str">
        <f>IF(C2287&gt;0,(VLOOKUP(C2287,'Blnct AR'!$C$2:$D$2255,2,0))," ")</f>
        <v xml:space="preserve"> </v>
      </c>
      <c r="F2287" s="19"/>
      <c r="G2287" s="19"/>
      <c r="I2287" s="37"/>
    </row>
    <row r="2288" spans="4:9" s="14" customFormat="1" ht="15" customHeight="1">
      <c r="D2288" s="12" t="str">
        <f>IF(C2288&gt;0,(VLOOKUP(C2288,'Blnct AR'!$C$2:$D$2255,2,0))," ")</f>
        <v xml:space="preserve"> </v>
      </c>
      <c r="F2288" s="19"/>
      <c r="G2288" s="19"/>
      <c r="I2288" s="37"/>
    </row>
    <row r="2289" spans="4:9" s="14" customFormat="1" ht="15" customHeight="1">
      <c r="D2289" s="12" t="str">
        <f>IF(C2289&gt;0,(VLOOKUP(C2289,'Blnct AR'!$C$2:$D$2255,2,0))," ")</f>
        <v xml:space="preserve"> </v>
      </c>
      <c r="F2289" s="19"/>
      <c r="G2289" s="19"/>
      <c r="I2289" s="37"/>
    </row>
    <row r="2290" spans="4:9" s="14" customFormat="1" ht="15" customHeight="1">
      <c r="D2290" s="12" t="str">
        <f>IF(C2290&gt;0,(VLOOKUP(C2290,'Blnct AR'!$C$2:$D$2255,2,0))," ")</f>
        <v xml:space="preserve"> </v>
      </c>
      <c r="F2290" s="19"/>
      <c r="G2290" s="19"/>
      <c r="I2290" s="37"/>
    </row>
    <row r="2291" spans="4:9" s="14" customFormat="1" ht="15" customHeight="1">
      <c r="D2291" s="12" t="str">
        <f>IF(C2291&gt;0,(VLOOKUP(C2291,'Blnct AR'!$C$2:$D$2255,2,0))," ")</f>
        <v xml:space="preserve"> </v>
      </c>
      <c r="F2291" s="19"/>
      <c r="G2291" s="19"/>
      <c r="I2291" s="37"/>
    </row>
    <row r="2292" spans="4:9" s="14" customFormat="1" ht="15" customHeight="1">
      <c r="D2292" s="12" t="str">
        <f>IF(C2292&gt;0,(VLOOKUP(C2292,'Blnct AR'!$C$2:$D$2255,2,0))," ")</f>
        <v xml:space="preserve"> </v>
      </c>
      <c r="F2292" s="19"/>
      <c r="G2292" s="19"/>
      <c r="I2292" s="37"/>
    </row>
    <row r="2293" spans="4:9" s="14" customFormat="1" ht="15" customHeight="1">
      <c r="D2293" s="12" t="str">
        <f>IF(C2293&gt;0,(VLOOKUP(C2293,'Blnct AR'!$C$2:$D$2255,2,0))," ")</f>
        <v xml:space="preserve"> </v>
      </c>
      <c r="F2293" s="19"/>
      <c r="G2293" s="19"/>
      <c r="I2293" s="37"/>
    </row>
    <row r="2294" spans="4:9" s="14" customFormat="1" ht="15" customHeight="1">
      <c r="D2294" s="12" t="str">
        <f>IF(C2294&gt;0,(VLOOKUP(C2294,'Blnct AR'!$C$2:$D$2255,2,0))," ")</f>
        <v xml:space="preserve"> </v>
      </c>
      <c r="F2294" s="19"/>
      <c r="G2294" s="19"/>
      <c r="I2294" s="37"/>
    </row>
    <row r="2295" spans="4:9" s="14" customFormat="1" ht="15" customHeight="1">
      <c r="D2295" s="12" t="str">
        <f>IF(C2295&gt;0,(VLOOKUP(C2295,'Blnct AR'!$C$2:$D$2255,2,0))," ")</f>
        <v xml:space="preserve"> </v>
      </c>
      <c r="F2295" s="19"/>
      <c r="G2295" s="19"/>
      <c r="I2295" s="37"/>
    </row>
    <row r="2296" spans="4:9" s="14" customFormat="1" ht="15" customHeight="1">
      <c r="D2296" s="12" t="str">
        <f>IF(C2296&gt;0,(VLOOKUP(C2296,'Blnct AR'!$C$2:$D$2255,2,0))," ")</f>
        <v xml:space="preserve"> </v>
      </c>
      <c r="F2296" s="19"/>
      <c r="G2296" s="19"/>
      <c r="I2296" s="37"/>
    </row>
    <row r="2297" spans="4:9" s="14" customFormat="1" ht="15" customHeight="1">
      <c r="D2297" s="12" t="str">
        <f>IF(C2297&gt;0,(VLOOKUP(C2297,'Blnct AR'!$C$2:$D$2255,2,0))," ")</f>
        <v xml:space="preserve"> </v>
      </c>
      <c r="F2297" s="19"/>
      <c r="G2297" s="19"/>
      <c r="I2297" s="37"/>
    </row>
    <row r="2298" spans="4:9" s="14" customFormat="1" ht="15" customHeight="1">
      <c r="D2298" s="12" t="str">
        <f>IF(C2298&gt;0,(VLOOKUP(C2298,'Blnct AR'!$C$2:$D$2255,2,0))," ")</f>
        <v xml:space="preserve"> </v>
      </c>
      <c r="F2298" s="19"/>
      <c r="G2298" s="19"/>
      <c r="I2298" s="37"/>
    </row>
    <row r="2299" spans="4:9" s="14" customFormat="1" ht="15" customHeight="1">
      <c r="D2299" s="12" t="str">
        <f>IF(C2299&gt;0,(VLOOKUP(C2299,'Blnct AR'!$C$2:$D$2255,2,0))," ")</f>
        <v xml:space="preserve"> </v>
      </c>
      <c r="F2299" s="19"/>
      <c r="G2299" s="19"/>
      <c r="I2299" s="37"/>
    </row>
    <row r="2300" spans="4:9" s="14" customFormat="1" ht="15" customHeight="1">
      <c r="D2300" s="12" t="str">
        <f>IF(C2300&gt;0,(VLOOKUP(C2300,'Blnct AR'!$C$2:$D$2255,2,0))," ")</f>
        <v xml:space="preserve"> </v>
      </c>
      <c r="F2300" s="19"/>
      <c r="G2300" s="19"/>
      <c r="I2300" s="37"/>
    </row>
    <row r="2301" spans="4:9" s="14" customFormat="1" ht="15" customHeight="1">
      <c r="D2301" s="12" t="str">
        <f>IF(C2301&gt;0,(VLOOKUP(C2301,'Blnct AR'!$C$2:$D$2255,2,0))," ")</f>
        <v xml:space="preserve"> </v>
      </c>
      <c r="F2301" s="19"/>
      <c r="G2301" s="19"/>
      <c r="I2301" s="37"/>
    </row>
    <row r="2302" spans="4:9" s="14" customFormat="1" ht="15" customHeight="1">
      <c r="D2302" s="12" t="str">
        <f>IF(C2302&gt;0,(VLOOKUP(C2302,'Blnct AR'!$C$2:$D$2255,2,0))," ")</f>
        <v xml:space="preserve"> </v>
      </c>
      <c r="F2302" s="19"/>
      <c r="G2302" s="19"/>
      <c r="I2302" s="37"/>
    </row>
    <row r="2303" spans="4:9" s="14" customFormat="1" ht="15" customHeight="1">
      <c r="D2303" s="12" t="str">
        <f>IF(C2303&gt;0,(VLOOKUP(C2303,'Blnct AR'!$C$2:$D$2255,2,0))," ")</f>
        <v xml:space="preserve"> </v>
      </c>
      <c r="F2303" s="19"/>
      <c r="G2303" s="19"/>
      <c r="I2303" s="37"/>
    </row>
    <row r="2304" spans="4:9" s="14" customFormat="1" ht="15" customHeight="1">
      <c r="D2304" s="12" t="str">
        <f>IF(C2304&gt;0,(VLOOKUP(C2304,'Blnct AR'!$C$2:$D$2255,2,0))," ")</f>
        <v xml:space="preserve"> </v>
      </c>
      <c r="F2304" s="19"/>
      <c r="G2304" s="19"/>
      <c r="I2304" s="37"/>
    </row>
    <row r="2305" spans="4:9" s="14" customFormat="1" ht="15" customHeight="1">
      <c r="D2305" s="12" t="str">
        <f>IF(C2305&gt;0,(VLOOKUP(C2305,'Blnct AR'!$C$2:$D$2255,2,0))," ")</f>
        <v xml:space="preserve"> </v>
      </c>
      <c r="F2305" s="19"/>
      <c r="G2305" s="19"/>
      <c r="I2305" s="37"/>
    </row>
    <row r="2306" spans="4:9" s="14" customFormat="1" ht="15" customHeight="1">
      <c r="D2306" s="12" t="str">
        <f>IF(C2306&gt;0,(VLOOKUP(C2306,'Blnct AR'!$C$2:$D$2255,2,0))," ")</f>
        <v xml:space="preserve"> </v>
      </c>
      <c r="F2306" s="19"/>
      <c r="G2306" s="19"/>
      <c r="I2306" s="37"/>
    </row>
    <row r="2307" spans="4:9" s="14" customFormat="1" ht="15" customHeight="1">
      <c r="D2307" s="12" t="str">
        <f>IF(C2307&gt;0,(VLOOKUP(C2307,'Blnct AR'!$C$2:$D$2255,2,0))," ")</f>
        <v xml:space="preserve"> </v>
      </c>
      <c r="F2307" s="19"/>
      <c r="G2307" s="19"/>
      <c r="I2307" s="37"/>
    </row>
    <row r="2308" spans="4:9" s="14" customFormat="1" ht="15" customHeight="1">
      <c r="D2308" s="12" t="str">
        <f>IF(C2308&gt;0,(VLOOKUP(C2308,'Blnct AR'!$C$2:$D$2255,2,0))," ")</f>
        <v xml:space="preserve"> </v>
      </c>
      <c r="F2308" s="19"/>
      <c r="G2308" s="19"/>
      <c r="I2308" s="37"/>
    </row>
    <row r="2309" spans="4:9" s="14" customFormat="1" ht="15" customHeight="1">
      <c r="D2309" s="12" t="str">
        <f>IF(C2309&gt;0,(VLOOKUP(C2309,'Blnct AR'!$C$2:$D$2255,2,0))," ")</f>
        <v xml:space="preserve"> </v>
      </c>
      <c r="F2309" s="19"/>
      <c r="G2309" s="19"/>
      <c r="I2309" s="37"/>
    </row>
    <row r="2310" spans="4:9" s="14" customFormat="1" ht="15" customHeight="1">
      <c r="D2310" s="12" t="str">
        <f>IF(C2310&gt;0,(VLOOKUP(C2310,'Blnct AR'!$C$2:$D$2255,2,0))," ")</f>
        <v xml:space="preserve"> </v>
      </c>
      <c r="F2310" s="19"/>
      <c r="G2310" s="19"/>
      <c r="I2310" s="37"/>
    </row>
    <row r="2311" spans="4:9" s="14" customFormat="1" ht="15" customHeight="1">
      <c r="D2311" s="12" t="str">
        <f>IF(C2311&gt;0,(VLOOKUP(C2311,'Blnct AR'!$C$2:$D$2255,2,0))," ")</f>
        <v xml:space="preserve"> </v>
      </c>
      <c r="F2311" s="19"/>
      <c r="G2311" s="19"/>
      <c r="I2311" s="37"/>
    </row>
    <row r="2312" spans="4:9" s="14" customFormat="1" ht="15" customHeight="1">
      <c r="D2312" s="12" t="str">
        <f>IF(C2312&gt;0,(VLOOKUP(C2312,'Blnct AR'!$C$2:$D$2255,2,0))," ")</f>
        <v xml:space="preserve"> </v>
      </c>
      <c r="F2312" s="19"/>
      <c r="G2312" s="19"/>
      <c r="I2312" s="37"/>
    </row>
    <row r="2313" spans="4:9" s="14" customFormat="1" ht="15" customHeight="1">
      <c r="D2313" s="12" t="str">
        <f>IF(C2313&gt;0,(VLOOKUP(C2313,'Blnct AR'!$C$2:$D$2255,2,0))," ")</f>
        <v xml:space="preserve"> </v>
      </c>
      <c r="F2313" s="19"/>
      <c r="G2313" s="19"/>
      <c r="I2313" s="37"/>
    </row>
    <row r="2314" spans="4:9" s="14" customFormat="1" ht="15" customHeight="1">
      <c r="D2314" s="12" t="str">
        <f>IF(C2314&gt;0,(VLOOKUP(C2314,'Blnct AR'!$C$2:$D$2255,2,0))," ")</f>
        <v xml:space="preserve"> </v>
      </c>
      <c r="F2314" s="19"/>
      <c r="G2314" s="19"/>
      <c r="I2314" s="37"/>
    </row>
    <row r="2315" spans="4:9" s="14" customFormat="1" ht="15" customHeight="1">
      <c r="D2315" s="12" t="str">
        <f>IF(C2315&gt;0,(VLOOKUP(C2315,'Blnct AR'!$C$2:$D$2255,2,0))," ")</f>
        <v xml:space="preserve"> </v>
      </c>
      <c r="F2315" s="19"/>
      <c r="G2315" s="19"/>
      <c r="I2315" s="37"/>
    </row>
    <row r="2316" spans="4:9" s="14" customFormat="1" ht="15" customHeight="1">
      <c r="D2316" s="12" t="str">
        <f>IF(C2316&gt;0,(VLOOKUP(C2316,'Blnct AR'!$C$2:$D$2255,2,0))," ")</f>
        <v xml:space="preserve"> </v>
      </c>
      <c r="F2316" s="19"/>
      <c r="G2316" s="19"/>
      <c r="I2316" s="37"/>
    </row>
    <row r="2317" spans="4:9" s="14" customFormat="1" ht="15" customHeight="1">
      <c r="D2317" s="12" t="str">
        <f>IF(C2317&gt;0,(VLOOKUP(C2317,'Blnct AR'!$C$2:$D$2255,2,0))," ")</f>
        <v xml:space="preserve"> </v>
      </c>
      <c r="F2317" s="19"/>
      <c r="G2317" s="19"/>
      <c r="I2317" s="37"/>
    </row>
    <row r="2318" spans="4:9" s="14" customFormat="1" ht="15" customHeight="1">
      <c r="D2318" s="12" t="str">
        <f>IF(C2318&gt;0,(VLOOKUP(C2318,'Blnct AR'!$C$2:$D$2255,2,0))," ")</f>
        <v xml:space="preserve"> </v>
      </c>
      <c r="F2318" s="19"/>
      <c r="G2318" s="19"/>
      <c r="I2318" s="37"/>
    </row>
    <row r="2319" spans="4:9" s="14" customFormat="1" ht="15" customHeight="1">
      <c r="D2319" s="12" t="str">
        <f>IF(C2319&gt;0,(VLOOKUP(C2319,'Blnct AR'!$C$2:$D$2255,2,0))," ")</f>
        <v xml:space="preserve"> </v>
      </c>
      <c r="F2319" s="19"/>
      <c r="G2319" s="19"/>
      <c r="I2319" s="37"/>
    </row>
    <row r="2320" spans="4:9" s="14" customFormat="1" ht="15" customHeight="1">
      <c r="D2320" s="12" t="str">
        <f>IF(C2320&gt;0,(VLOOKUP(C2320,'Blnct AR'!$C$2:$D$2255,2,0))," ")</f>
        <v xml:space="preserve"> </v>
      </c>
      <c r="F2320" s="19"/>
      <c r="G2320" s="19"/>
      <c r="I2320" s="37"/>
    </row>
    <row r="2321" spans="4:9" s="14" customFormat="1" ht="15" customHeight="1">
      <c r="D2321" s="12" t="str">
        <f>IF(C2321&gt;0,(VLOOKUP(C2321,'Blnct AR'!$C$2:$D$2255,2,0))," ")</f>
        <v xml:space="preserve"> </v>
      </c>
      <c r="F2321" s="19"/>
      <c r="G2321" s="19"/>
      <c r="I2321" s="37"/>
    </row>
    <row r="2322" spans="4:9" s="14" customFormat="1" ht="15" customHeight="1">
      <c r="D2322" s="12" t="str">
        <f>IF(C2322&gt;0,(VLOOKUP(C2322,'Blnct AR'!$C$2:$D$2255,2,0))," ")</f>
        <v xml:space="preserve"> </v>
      </c>
      <c r="F2322" s="19"/>
      <c r="G2322" s="19"/>
      <c r="I2322" s="37"/>
    </row>
    <row r="2323" spans="4:9" s="14" customFormat="1" ht="15" customHeight="1">
      <c r="D2323" s="12" t="str">
        <f>IF(C2323&gt;0,(VLOOKUP(C2323,'Blnct AR'!$C$2:$D$2255,2,0))," ")</f>
        <v xml:space="preserve"> </v>
      </c>
      <c r="F2323" s="19"/>
      <c r="G2323" s="19"/>
      <c r="I2323" s="37"/>
    </row>
    <row r="2324" spans="4:9" s="14" customFormat="1" ht="15" customHeight="1">
      <c r="D2324" s="12" t="str">
        <f>IF(C2324&gt;0,(VLOOKUP(C2324,'Blnct AR'!$C$2:$D$2255,2,0))," ")</f>
        <v xml:space="preserve"> </v>
      </c>
      <c r="F2324" s="19"/>
      <c r="G2324" s="19"/>
      <c r="I2324" s="37"/>
    </row>
    <row r="2325" spans="4:9" s="14" customFormat="1" ht="15" customHeight="1">
      <c r="D2325" s="12" t="str">
        <f>IF(C2325&gt;0,(VLOOKUP(C2325,'Blnct AR'!$C$2:$D$2255,2,0))," ")</f>
        <v xml:space="preserve"> </v>
      </c>
      <c r="F2325" s="19"/>
      <c r="G2325" s="19"/>
      <c r="I2325" s="37"/>
    </row>
    <row r="2326" spans="4:9" s="14" customFormat="1" ht="15" customHeight="1">
      <c r="D2326" s="12" t="str">
        <f>IF(C2326&gt;0,(VLOOKUP(C2326,'Blnct AR'!$C$2:$D$2255,2,0))," ")</f>
        <v xml:space="preserve"> </v>
      </c>
      <c r="F2326" s="19"/>
      <c r="G2326" s="19"/>
      <c r="I2326" s="37"/>
    </row>
    <row r="2327" spans="4:9" s="14" customFormat="1" ht="15" customHeight="1">
      <c r="D2327" s="12" t="str">
        <f>IF(C2327&gt;0,(VLOOKUP(C2327,'Blnct AR'!$C$2:$D$2255,2,0))," ")</f>
        <v xml:space="preserve"> </v>
      </c>
      <c r="F2327" s="19"/>
      <c r="G2327" s="19"/>
      <c r="I2327" s="37"/>
    </row>
    <row r="2328" spans="4:9" s="14" customFormat="1" ht="15" customHeight="1">
      <c r="D2328" s="12" t="str">
        <f>IF(C2328&gt;0,(VLOOKUP(C2328,'Blnct AR'!$C$2:$D$2255,2,0))," ")</f>
        <v xml:space="preserve"> </v>
      </c>
      <c r="F2328" s="19"/>
      <c r="G2328" s="19"/>
      <c r="I2328" s="37"/>
    </row>
    <row r="2329" spans="4:9" s="14" customFormat="1" ht="15" customHeight="1">
      <c r="D2329" s="12" t="str">
        <f>IF(C2329&gt;0,(VLOOKUP(C2329,'Blnct AR'!$C$2:$D$2255,2,0))," ")</f>
        <v xml:space="preserve"> </v>
      </c>
      <c r="F2329" s="19"/>
      <c r="G2329" s="19"/>
      <c r="I2329" s="37"/>
    </row>
    <row r="2330" spans="4:9" s="14" customFormat="1" ht="15" customHeight="1">
      <c r="D2330" s="12" t="str">
        <f>IF(C2330&gt;0,(VLOOKUP(C2330,'Blnct AR'!$C$2:$D$2255,2,0))," ")</f>
        <v xml:space="preserve"> </v>
      </c>
      <c r="F2330" s="19"/>
      <c r="G2330" s="19"/>
      <c r="I2330" s="37"/>
    </row>
    <row r="2331" spans="4:9" s="14" customFormat="1" ht="15" customHeight="1">
      <c r="D2331" s="12" t="str">
        <f>IF(C2331&gt;0,(VLOOKUP(C2331,'Blnct AR'!$C$2:$D$2255,2,0))," ")</f>
        <v xml:space="preserve"> </v>
      </c>
      <c r="F2331" s="19"/>
      <c r="G2331" s="19"/>
      <c r="I2331" s="37"/>
    </row>
    <row r="2332" spans="4:9" s="14" customFormat="1" ht="15" customHeight="1">
      <c r="D2332" s="12" t="str">
        <f>IF(C2332&gt;0,(VLOOKUP(C2332,'Blnct AR'!$C$2:$D$2255,2,0))," ")</f>
        <v xml:space="preserve"> </v>
      </c>
      <c r="F2332" s="19"/>
      <c r="G2332" s="19"/>
      <c r="I2332" s="37"/>
    </row>
    <row r="2333" spans="4:9" s="14" customFormat="1" ht="15" customHeight="1">
      <c r="D2333" s="12" t="str">
        <f>IF(C2333&gt;0,(VLOOKUP(C2333,'Blnct AR'!$C$2:$D$2255,2,0))," ")</f>
        <v xml:space="preserve"> </v>
      </c>
      <c r="F2333" s="19"/>
      <c r="G2333" s="19"/>
      <c r="I2333" s="37"/>
    </row>
    <row r="2334" spans="4:9" s="14" customFormat="1" ht="15" customHeight="1">
      <c r="D2334" s="12" t="str">
        <f>IF(C2334&gt;0,(VLOOKUP(C2334,'Blnct AR'!$C$2:$D$2255,2,0))," ")</f>
        <v xml:space="preserve"> </v>
      </c>
      <c r="F2334" s="19"/>
      <c r="G2334" s="19"/>
      <c r="I2334" s="37"/>
    </row>
    <row r="2335" spans="4:9" s="14" customFormat="1" ht="15" customHeight="1">
      <c r="D2335" s="12" t="str">
        <f>IF(C2335&gt;0,(VLOOKUP(C2335,'Blnct AR'!$C$2:$D$2255,2,0))," ")</f>
        <v xml:space="preserve"> </v>
      </c>
      <c r="F2335" s="19"/>
      <c r="G2335" s="19"/>
      <c r="I2335" s="37"/>
    </row>
    <row r="2336" spans="4:9" s="14" customFormat="1" ht="15" customHeight="1">
      <c r="D2336" s="12" t="str">
        <f>IF(C2336&gt;0,(VLOOKUP(C2336,'Blnct AR'!$C$2:$D$2255,2,0))," ")</f>
        <v xml:space="preserve"> </v>
      </c>
      <c r="F2336" s="19"/>
      <c r="G2336" s="19"/>
      <c r="I2336" s="37"/>
    </row>
    <row r="2337" spans="4:9" s="14" customFormat="1" ht="15" customHeight="1">
      <c r="D2337" s="12" t="str">
        <f>IF(C2337&gt;0,(VLOOKUP(C2337,'Blnct AR'!$C$2:$D$2255,2,0))," ")</f>
        <v xml:space="preserve"> </v>
      </c>
      <c r="F2337" s="19"/>
      <c r="G2337" s="19"/>
      <c r="I2337" s="37"/>
    </row>
    <row r="2338" spans="4:9" s="14" customFormat="1" ht="15" customHeight="1">
      <c r="D2338" s="12" t="str">
        <f>IF(C2338&gt;0,(VLOOKUP(C2338,'Blnct AR'!$C$2:$D$2255,2,0))," ")</f>
        <v xml:space="preserve"> </v>
      </c>
      <c r="F2338" s="19"/>
      <c r="G2338" s="19"/>
      <c r="I2338" s="37"/>
    </row>
    <row r="2339" spans="4:9" s="14" customFormat="1" ht="15" customHeight="1">
      <c r="D2339" s="12" t="str">
        <f>IF(C2339&gt;0,(VLOOKUP(C2339,'Blnct AR'!$C$2:$D$2255,2,0))," ")</f>
        <v xml:space="preserve"> </v>
      </c>
      <c r="F2339" s="19"/>
      <c r="G2339" s="19"/>
      <c r="I2339" s="37"/>
    </row>
    <row r="2340" spans="4:9" s="14" customFormat="1" ht="15" customHeight="1">
      <c r="D2340" s="12" t="str">
        <f>IF(C2340&gt;0,(VLOOKUP(C2340,'Blnct AR'!$C$2:$D$2255,2,0))," ")</f>
        <v xml:space="preserve"> </v>
      </c>
      <c r="F2340" s="19"/>
      <c r="G2340" s="19"/>
      <c r="I2340" s="37"/>
    </row>
    <row r="2341" spans="4:9" s="14" customFormat="1" ht="15" customHeight="1">
      <c r="D2341" s="12" t="str">
        <f>IF(C2341&gt;0,(VLOOKUP(C2341,'Blnct AR'!$C$2:$D$2255,2,0))," ")</f>
        <v xml:space="preserve"> </v>
      </c>
      <c r="F2341" s="19"/>
      <c r="G2341" s="19"/>
      <c r="I2341" s="37"/>
    </row>
    <row r="2342" spans="4:9" s="14" customFormat="1" ht="15" customHeight="1">
      <c r="D2342" s="12" t="str">
        <f>IF(C2342&gt;0,(VLOOKUP(C2342,'Blnct AR'!$C$2:$D$2255,2,0))," ")</f>
        <v xml:space="preserve"> </v>
      </c>
      <c r="F2342" s="19"/>
      <c r="G2342" s="19"/>
      <c r="I2342" s="37"/>
    </row>
    <row r="2343" spans="4:9" s="14" customFormat="1" ht="15" customHeight="1">
      <c r="D2343" s="12" t="str">
        <f>IF(C2343&gt;0,(VLOOKUP(C2343,'Blnct AR'!$C$2:$D$2255,2,0))," ")</f>
        <v xml:space="preserve"> </v>
      </c>
      <c r="F2343" s="19"/>
      <c r="G2343" s="19"/>
      <c r="I2343" s="37"/>
    </row>
    <row r="2344" spans="4:9" s="14" customFormat="1" ht="15" customHeight="1">
      <c r="D2344" s="12" t="str">
        <f>IF(C2344&gt;0,(VLOOKUP(C2344,'Blnct AR'!$C$2:$D$2255,2,0))," ")</f>
        <v xml:space="preserve"> </v>
      </c>
      <c r="F2344" s="19"/>
      <c r="G2344" s="19"/>
      <c r="I2344" s="37"/>
    </row>
    <row r="2345" spans="4:9" s="14" customFormat="1" ht="15" customHeight="1">
      <c r="D2345" s="12" t="str">
        <f>IF(C2345&gt;0,(VLOOKUP(C2345,'Blnct AR'!$C$2:$D$2255,2,0))," ")</f>
        <v xml:space="preserve"> </v>
      </c>
      <c r="F2345" s="19"/>
      <c r="G2345" s="19"/>
      <c r="I2345" s="37"/>
    </row>
    <row r="2346" spans="4:9" s="14" customFormat="1" ht="15" customHeight="1">
      <c r="D2346" s="12" t="str">
        <f>IF(C2346&gt;0,(VLOOKUP(C2346,'Blnct AR'!$C$2:$D$2255,2,0))," ")</f>
        <v xml:space="preserve"> </v>
      </c>
      <c r="F2346" s="19"/>
      <c r="G2346" s="19"/>
      <c r="I2346" s="37"/>
    </row>
    <row r="2347" spans="4:9" s="14" customFormat="1" ht="15" customHeight="1">
      <c r="D2347" s="12" t="str">
        <f>IF(C2347&gt;0,(VLOOKUP(C2347,'Blnct AR'!$C$2:$D$2255,2,0))," ")</f>
        <v xml:space="preserve"> </v>
      </c>
      <c r="F2347" s="19"/>
      <c r="G2347" s="19"/>
      <c r="I2347" s="37"/>
    </row>
    <row r="2348" spans="4:9" s="14" customFormat="1" ht="15" customHeight="1">
      <c r="D2348" s="12" t="str">
        <f>IF(C2348&gt;0,(VLOOKUP(C2348,'Blnct AR'!$C$2:$D$2255,2,0))," ")</f>
        <v xml:space="preserve"> </v>
      </c>
      <c r="F2348" s="19"/>
      <c r="G2348" s="19"/>
      <c r="I2348" s="37"/>
    </row>
    <row r="2349" spans="4:9" s="14" customFormat="1" ht="15" customHeight="1">
      <c r="D2349" s="12" t="str">
        <f>IF(C2349&gt;0,(VLOOKUP(C2349,'Blnct AR'!$C$2:$D$2255,2,0))," ")</f>
        <v xml:space="preserve"> </v>
      </c>
      <c r="F2349" s="19"/>
      <c r="G2349" s="19"/>
      <c r="I2349" s="37"/>
    </row>
    <row r="2350" spans="4:9" s="14" customFormat="1" ht="15" customHeight="1">
      <c r="D2350" s="12" t="str">
        <f>IF(C2350&gt;0,(VLOOKUP(C2350,'Blnct AR'!$C$2:$D$2255,2,0))," ")</f>
        <v xml:space="preserve"> </v>
      </c>
      <c r="F2350" s="19"/>
      <c r="G2350" s="19"/>
      <c r="I2350" s="37"/>
    </row>
    <row r="2351" spans="4:9" s="14" customFormat="1" ht="15" customHeight="1">
      <c r="D2351" s="12" t="str">
        <f>IF(C2351&gt;0,(VLOOKUP(C2351,'Blnct AR'!$C$2:$D$2255,2,0))," ")</f>
        <v xml:space="preserve"> </v>
      </c>
      <c r="F2351" s="19"/>
      <c r="G2351" s="19"/>
      <c r="I2351" s="37"/>
    </row>
    <row r="2352" spans="4:9" s="14" customFormat="1" ht="15" customHeight="1">
      <c r="D2352" s="12" t="str">
        <f>IF(C2352&gt;0,(VLOOKUP(C2352,'Blnct AR'!$C$2:$D$2255,2,0))," ")</f>
        <v xml:space="preserve"> </v>
      </c>
      <c r="F2352" s="19"/>
      <c r="G2352" s="19"/>
      <c r="I2352" s="37"/>
    </row>
    <row r="2353" spans="4:9" s="14" customFormat="1" ht="15" customHeight="1">
      <c r="D2353" s="12" t="str">
        <f>IF(C2353&gt;0,(VLOOKUP(C2353,'Blnct AR'!$C$2:$D$2255,2,0))," ")</f>
        <v xml:space="preserve"> </v>
      </c>
      <c r="F2353" s="19"/>
      <c r="G2353" s="19"/>
      <c r="I2353" s="37"/>
    </row>
    <row r="2354" spans="4:9" s="14" customFormat="1" ht="15" customHeight="1">
      <c r="D2354" s="12" t="str">
        <f>IF(C2354&gt;0,(VLOOKUP(C2354,'Blnct AR'!$C$2:$D$2255,2,0))," ")</f>
        <v xml:space="preserve"> </v>
      </c>
      <c r="F2354" s="19"/>
      <c r="G2354" s="19"/>
      <c r="I2354" s="37"/>
    </row>
    <row r="2355" spans="4:9" s="14" customFormat="1" ht="15" customHeight="1">
      <c r="D2355" s="12" t="str">
        <f>IF(C2355&gt;0,(VLOOKUP(C2355,'Blnct AR'!$C$2:$D$2255,2,0))," ")</f>
        <v xml:space="preserve"> </v>
      </c>
      <c r="F2355" s="19"/>
      <c r="G2355" s="19"/>
      <c r="I2355" s="37"/>
    </row>
    <row r="2356" spans="4:9" s="14" customFormat="1" ht="15" customHeight="1">
      <c r="D2356" s="12" t="str">
        <f>IF(C2356&gt;0,(VLOOKUP(C2356,'Blnct AR'!$C$2:$D$2255,2,0))," ")</f>
        <v xml:space="preserve"> </v>
      </c>
      <c r="F2356" s="19"/>
      <c r="G2356" s="19"/>
      <c r="I2356" s="37"/>
    </row>
    <row r="2357" spans="4:9" s="14" customFormat="1" ht="15" customHeight="1">
      <c r="D2357" s="12" t="str">
        <f>IF(C2357&gt;0,(VLOOKUP(C2357,'Blnct AR'!$C$2:$D$2255,2,0))," ")</f>
        <v xml:space="preserve"> </v>
      </c>
      <c r="F2357" s="19"/>
      <c r="G2357" s="19"/>
      <c r="I2357" s="37"/>
    </row>
    <row r="2358" spans="4:9" s="14" customFormat="1" ht="15" customHeight="1">
      <c r="D2358" s="12" t="str">
        <f>IF(C2358&gt;0,(VLOOKUP(C2358,'Blnct AR'!$C$2:$D$2255,2,0))," ")</f>
        <v xml:space="preserve"> </v>
      </c>
      <c r="F2358" s="19"/>
      <c r="G2358" s="19"/>
      <c r="I2358" s="37"/>
    </row>
    <row r="2359" spans="4:9" s="14" customFormat="1" ht="15" customHeight="1">
      <c r="D2359" s="12" t="str">
        <f>IF(C2359&gt;0,(VLOOKUP(C2359,'Blnct AR'!$C$2:$D$2255,2,0))," ")</f>
        <v xml:space="preserve"> </v>
      </c>
      <c r="F2359" s="19"/>
      <c r="G2359" s="19"/>
      <c r="I2359" s="37"/>
    </row>
    <row r="2360" spans="4:9" s="14" customFormat="1" ht="15" customHeight="1">
      <c r="D2360" s="12" t="str">
        <f>IF(C2360&gt;0,(VLOOKUP(C2360,'Blnct AR'!$C$2:$D$2255,2,0))," ")</f>
        <v xml:space="preserve"> </v>
      </c>
      <c r="F2360" s="19"/>
      <c r="G2360" s="19"/>
      <c r="I2360" s="37"/>
    </row>
    <row r="2361" spans="4:9" s="14" customFormat="1" ht="15" customHeight="1">
      <c r="D2361" s="12" t="str">
        <f>IF(C2361&gt;0,(VLOOKUP(C2361,'Blnct AR'!$C$2:$D$2255,2,0))," ")</f>
        <v xml:space="preserve"> </v>
      </c>
      <c r="F2361" s="19"/>
      <c r="G2361" s="19"/>
      <c r="I2361" s="37"/>
    </row>
    <row r="2362" spans="4:9" s="14" customFormat="1" ht="15" customHeight="1">
      <c r="D2362" s="12" t="str">
        <f>IF(C2362&gt;0,(VLOOKUP(C2362,'Blnct AR'!$C$2:$D$2255,2,0))," ")</f>
        <v xml:space="preserve"> </v>
      </c>
      <c r="F2362" s="19"/>
      <c r="G2362" s="19"/>
      <c r="I2362" s="37"/>
    </row>
    <row r="2363" spans="4:9" s="14" customFormat="1" ht="15" customHeight="1">
      <c r="D2363" s="12" t="str">
        <f>IF(C2363&gt;0,(VLOOKUP(C2363,'Blnct AR'!$C$2:$D$2255,2,0))," ")</f>
        <v xml:space="preserve"> </v>
      </c>
      <c r="F2363" s="19"/>
      <c r="G2363" s="19"/>
      <c r="I2363" s="37"/>
    </row>
    <row r="2364" spans="4:9" s="14" customFormat="1" ht="15" customHeight="1">
      <c r="D2364" s="12" t="str">
        <f>IF(C2364&gt;0,(VLOOKUP(C2364,'Blnct AR'!$C$2:$D$2255,2,0))," ")</f>
        <v xml:space="preserve"> </v>
      </c>
      <c r="F2364" s="19"/>
      <c r="G2364" s="19"/>
      <c r="I2364" s="37"/>
    </row>
    <row r="2365" spans="4:9" s="14" customFormat="1" ht="15" customHeight="1">
      <c r="D2365" s="12" t="str">
        <f>IF(C2365&gt;0,(VLOOKUP(C2365,'Blnct AR'!$C$2:$D$2255,2,0))," ")</f>
        <v xml:space="preserve"> </v>
      </c>
      <c r="F2365" s="19"/>
      <c r="G2365" s="19"/>
      <c r="I2365" s="37"/>
    </row>
    <row r="2366" spans="4:9" s="14" customFormat="1" ht="15" customHeight="1">
      <c r="D2366" s="12" t="str">
        <f>IF(C2366&gt;0,(VLOOKUP(C2366,'Blnct AR'!$C$2:$D$2255,2,0))," ")</f>
        <v xml:space="preserve"> </v>
      </c>
      <c r="F2366" s="19"/>
      <c r="G2366" s="19"/>
      <c r="I2366" s="37"/>
    </row>
    <row r="2367" spans="4:9" s="14" customFormat="1" ht="15" customHeight="1">
      <c r="D2367" s="12" t="str">
        <f>IF(C2367&gt;0,(VLOOKUP(C2367,'Blnct AR'!$C$2:$D$2255,2,0))," ")</f>
        <v xml:space="preserve"> </v>
      </c>
      <c r="F2367" s="19"/>
      <c r="G2367" s="19"/>
      <c r="I2367" s="37"/>
    </row>
    <row r="2368" spans="4:9" s="14" customFormat="1" ht="15" customHeight="1">
      <c r="D2368" s="12" t="str">
        <f>IF(C2368&gt;0,(VLOOKUP(C2368,'Blnct AR'!$C$2:$D$2255,2,0))," ")</f>
        <v xml:space="preserve"> </v>
      </c>
      <c r="F2368" s="19"/>
      <c r="G2368" s="19"/>
      <c r="I2368" s="37"/>
    </row>
    <row r="2369" spans="4:9" s="14" customFormat="1" ht="15" customHeight="1">
      <c r="D2369" s="12" t="str">
        <f>IF(C2369&gt;0,(VLOOKUP(C2369,'Blnct AR'!$C$2:$D$2255,2,0))," ")</f>
        <v xml:space="preserve"> </v>
      </c>
      <c r="F2369" s="19"/>
      <c r="G2369" s="19"/>
      <c r="I2369" s="37"/>
    </row>
    <row r="2370" spans="4:9" s="14" customFormat="1" ht="15" customHeight="1">
      <c r="D2370" s="12" t="str">
        <f>IF(C2370&gt;0,(VLOOKUP(C2370,'Blnct AR'!$C$2:$D$2255,2,0))," ")</f>
        <v xml:space="preserve"> </v>
      </c>
      <c r="F2370" s="19"/>
      <c r="G2370" s="19"/>
      <c r="I2370" s="37"/>
    </row>
    <row r="2371" spans="4:9" s="14" customFormat="1" ht="15" customHeight="1">
      <c r="D2371" s="12" t="str">
        <f>IF(C2371&gt;0,(VLOOKUP(C2371,'Blnct AR'!$C$2:$D$2255,2,0))," ")</f>
        <v xml:space="preserve"> </v>
      </c>
      <c r="F2371" s="19"/>
      <c r="G2371" s="19"/>
      <c r="I2371" s="37"/>
    </row>
    <row r="2372" spans="4:9" s="14" customFormat="1" ht="15" customHeight="1">
      <c r="D2372" s="12" t="str">
        <f>IF(C2372&gt;0,(VLOOKUP(C2372,'Blnct AR'!$C$2:$D$2255,2,0))," ")</f>
        <v xml:space="preserve"> </v>
      </c>
      <c r="F2372" s="19"/>
      <c r="G2372" s="19"/>
      <c r="I2372" s="37"/>
    </row>
    <row r="2373" spans="4:9" s="14" customFormat="1" ht="15" customHeight="1">
      <c r="D2373" s="12" t="str">
        <f>IF(C2373&gt;0,(VLOOKUP(C2373,'Blnct AR'!$C$2:$D$2255,2,0))," ")</f>
        <v xml:space="preserve"> </v>
      </c>
      <c r="F2373" s="19"/>
      <c r="G2373" s="19"/>
      <c r="I2373" s="37"/>
    </row>
    <row r="2374" spans="4:9" s="14" customFormat="1" ht="15" customHeight="1">
      <c r="D2374" s="12" t="str">
        <f>IF(C2374&gt;0,(VLOOKUP(C2374,'Blnct AR'!$C$2:$D$2255,2,0))," ")</f>
        <v xml:space="preserve"> </v>
      </c>
      <c r="F2374" s="19"/>
      <c r="G2374" s="19"/>
      <c r="I2374" s="37"/>
    </row>
    <row r="2375" spans="4:9" s="14" customFormat="1" ht="15" customHeight="1">
      <c r="D2375" s="12" t="str">
        <f>IF(C2375&gt;0,(VLOOKUP(C2375,'Blnct AR'!$C$2:$D$2255,2,0))," ")</f>
        <v xml:space="preserve"> </v>
      </c>
      <c r="F2375" s="19"/>
      <c r="G2375" s="19"/>
      <c r="I2375" s="37"/>
    </row>
    <row r="2376" spans="4:9" s="14" customFormat="1" ht="15" customHeight="1">
      <c r="D2376" s="12" t="str">
        <f>IF(C2376&gt;0,(VLOOKUP(C2376,'Blnct AR'!$C$2:$D$2255,2,0))," ")</f>
        <v xml:space="preserve"> </v>
      </c>
      <c r="F2376" s="19"/>
      <c r="G2376" s="19"/>
      <c r="I2376" s="37"/>
    </row>
    <row r="2377" spans="4:9" s="14" customFormat="1" ht="15" customHeight="1">
      <c r="D2377" s="12" t="str">
        <f>IF(C2377&gt;0,(VLOOKUP(C2377,'Blnct AR'!$C$2:$D$2255,2,0))," ")</f>
        <v xml:space="preserve"> </v>
      </c>
      <c r="F2377" s="19"/>
      <c r="G2377" s="19"/>
      <c r="I2377" s="37"/>
    </row>
    <row r="2378" spans="4:9" s="14" customFormat="1" ht="15" customHeight="1">
      <c r="D2378" s="12" t="str">
        <f>IF(C2378&gt;0,(VLOOKUP(C2378,'Blnct AR'!$C$2:$D$2255,2,0))," ")</f>
        <v xml:space="preserve"> </v>
      </c>
      <c r="F2378" s="19"/>
      <c r="G2378" s="19"/>
      <c r="I2378" s="37"/>
    </row>
    <row r="2379" spans="4:9" s="14" customFormat="1" ht="15" customHeight="1">
      <c r="D2379" s="12" t="str">
        <f>IF(C2379&gt;0,(VLOOKUP(C2379,'Blnct AR'!$C$2:$D$2255,2,0))," ")</f>
        <v xml:space="preserve"> </v>
      </c>
      <c r="F2379" s="19"/>
      <c r="G2379" s="19"/>
      <c r="I2379" s="37"/>
    </row>
    <row r="2380" spans="4:9" s="14" customFormat="1" ht="15" customHeight="1">
      <c r="D2380" s="12" t="str">
        <f>IF(C2380&gt;0,(VLOOKUP(C2380,'Blnct AR'!$C$2:$D$2255,2,0))," ")</f>
        <v xml:space="preserve"> </v>
      </c>
      <c r="F2380" s="19"/>
      <c r="G2380" s="19"/>
      <c r="I2380" s="37"/>
    </row>
    <row r="2381" spans="4:9" s="14" customFormat="1" ht="15" customHeight="1">
      <c r="D2381" s="12" t="str">
        <f>IF(C2381&gt;0,(VLOOKUP(C2381,'Blnct AR'!$C$2:$D$2255,2,0))," ")</f>
        <v xml:space="preserve"> </v>
      </c>
      <c r="F2381" s="19"/>
      <c r="G2381" s="19"/>
      <c r="I2381" s="37"/>
    </row>
    <row r="2382" spans="4:9" s="14" customFormat="1" ht="15" customHeight="1">
      <c r="D2382" s="12" t="str">
        <f>IF(C2382&gt;0,(VLOOKUP(C2382,'Blnct AR'!$C$2:$D$2255,2,0))," ")</f>
        <v xml:space="preserve"> </v>
      </c>
      <c r="F2382" s="19"/>
      <c r="G2382" s="19"/>
      <c r="I2382" s="37"/>
    </row>
    <row r="2383" spans="4:9" s="14" customFormat="1" ht="15" customHeight="1">
      <c r="D2383" s="12" t="str">
        <f>IF(C2383&gt;0,(VLOOKUP(C2383,'Blnct AR'!$C$2:$D$2255,2,0))," ")</f>
        <v xml:space="preserve"> </v>
      </c>
      <c r="F2383" s="19"/>
      <c r="G2383" s="19"/>
      <c r="I2383" s="37"/>
    </row>
    <row r="2384" spans="4:9" s="14" customFormat="1" ht="15" customHeight="1">
      <c r="D2384" s="12" t="str">
        <f>IF(C2384&gt;0,(VLOOKUP(C2384,'Blnct AR'!$C$2:$D$2255,2,0))," ")</f>
        <v xml:space="preserve"> </v>
      </c>
      <c r="F2384" s="19"/>
      <c r="G2384" s="19"/>
      <c r="I2384" s="37"/>
    </row>
    <row r="2385" spans="4:9" s="14" customFormat="1" ht="15" customHeight="1">
      <c r="D2385" s="12" t="str">
        <f>IF(C2385&gt;0,(VLOOKUP(C2385,'Blnct AR'!$C$2:$D$2255,2,0))," ")</f>
        <v xml:space="preserve"> </v>
      </c>
      <c r="F2385" s="19"/>
      <c r="G2385" s="19"/>
      <c r="I2385" s="37"/>
    </row>
    <row r="2386" spans="4:9" s="14" customFormat="1" ht="15" customHeight="1">
      <c r="D2386" s="12" t="str">
        <f>IF(C2386&gt;0,(VLOOKUP(C2386,'Blnct AR'!$C$2:$D$2255,2,0))," ")</f>
        <v xml:space="preserve"> </v>
      </c>
      <c r="F2386" s="19"/>
      <c r="G2386" s="19"/>
      <c r="I2386" s="37"/>
    </row>
    <row r="2387" spans="4:9" s="14" customFormat="1" ht="15" customHeight="1">
      <c r="D2387" s="12" t="str">
        <f>IF(C2387&gt;0,(VLOOKUP(C2387,'Blnct AR'!$C$2:$D$2255,2,0))," ")</f>
        <v xml:space="preserve"> </v>
      </c>
      <c r="F2387" s="19"/>
      <c r="G2387" s="19"/>
      <c r="I2387" s="37"/>
    </row>
    <row r="2388" spans="4:9" s="14" customFormat="1" ht="15" customHeight="1">
      <c r="D2388" s="12" t="str">
        <f>IF(C2388&gt;0,(VLOOKUP(C2388,'Blnct AR'!$C$2:$D$2255,2,0))," ")</f>
        <v xml:space="preserve"> </v>
      </c>
      <c r="F2388" s="19"/>
      <c r="G2388" s="19"/>
      <c r="I2388" s="37"/>
    </row>
    <row r="2389" spans="4:9" s="14" customFormat="1" ht="15" customHeight="1">
      <c r="D2389" s="12" t="str">
        <f>IF(C2389&gt;0,(VLOOKUP(C2389,'Blnct AR'!$C$2:$D$2255,2,0))," ")</f>
        <v xml:space="preserve"> </v>
      </c>
      <c r="F2389" s="19"/>
      <c r="G2389" s="19"/>
      <c r="I2389" s="37"/>
    </row>
    <row r="2390" spans="4:9" s="14" customFormat="1" ht="15" customHeight="1">
      <c r="D2390" s="12" t="str">
        <f>IF(C2390&gt;0,(VLOOKUP(C2390,'Blnct AR'!$C$2:$D$2255,2,0))," ")</f>
        <v xml:space="preserve"> </v>
      </c>
      <c r="F2390" s="19"/>
      <c r="G2390" s="19"/>
      <c r="I2390" s="37"/>
    </row>
    <row r="2391" spans="4:9" s="14" customFormat="1" ht="15" customHeight="1">
      <c r="D2391" s="12" t="str">
        <f>IF(C2391&gt;0,(VLOOKUP(C2391,'Blnct AR'!$C$2:$D$2255,2,0))," ")</f>
        <v xml:space="preserve"> </v>
      </c>
      <c r="F2391" s="19"/>
      <c r="G2391" s="19"/>
      <c r="I2391" s="37"/>
    </row>
    <row r="2392" spans="4:9" s="14" customFormat="1" ht="15" customHeight="1">
      <c r="D2392" s="12" t="str">
        <f>IF(C2392&gt;0,(VLOOKUP(C2392,'Blnct AR'!$C$2:$D$2255,2,0))," ")</f>
        <v xml:space="preserve"> </v>
      </c>
      <c r="F2392" s="19"/>
      <c r="G2392" s="19"/>
      <c r="I2392" s="37"/>
    </row>
    <row r="2393" spans="4:9" s="14" customFormat="1" ht="15" customHeight="1">
      <c r="D2393" s="12" t="str">
        <f>IF(C2393&gt;0,(VLOOKUP(C2393,'Blnct AR'!$C$2:$D$2255,2,0))," ")</f>
        <v xml:space="preserve"> </v>
      </c>
      <c r="F2393" s="19"/>
      <c r="G2393" s="19"/>
      <c r="I2393" s="37"/>
    </row>
    <row r="2394" spans="4:9" s="14" customFormat="1" ht="15" customHeight="1">
      <c r="D2394" s="12" t="str">
        <f>IF(C2394&gt;0,(VLOOKUP(C2394,'Blnct AR'!$C$2:$D$2255,2,0))," ")</f>
        <v xml:space="preserve"> </v>
      </c>
      <c r="F2394" s="19"/>
      <c r="G2394" s="19"/>
      <c r="I2394" s="37"/>
    </row>
    <row r="2395" spans="4:9" s="14" customFormat="1" ht="15" customHeight="1">
      <c r="D2395" s="12" t="str">
        <f>IF(C2395&gt;0,(VLOOKUP(C2395,'Blnct AR'!$C$2:$D$2255,2,0))," ")</f>
        <v xml:space="preserve"> </v>
      </c>
      <c r="F2395" s="19"/>
      <c r="G2395" s="19"/>
      <c r="I2395" s="37"/>
    </row>
    <row r="2396" spans="4:9" s="14" customFormat="1" ht="15" customHeight="1">
      <c r="D2396" s="12" t="str">
        <f>IF(C2396&gt;0,(VLOOKUP(C2396,'Blnct AR'!$C$2:$D$2255,2,0))," ")</f>
        <v xml:space="preserve"> </v>
      </c>
      <c r="F2396" s="19"/>
      <c r="G2396" s="19"/>
      <c r="I2396" s="37"/>
    </row>
    <row r="2397" spans="4:9" s="14" customFormat="1" ht="15" customHeight="1">
      <c r="D2397" s="12" t="str">
        <f>IF(C2397&gt;0,(VLOOKUP(C2397,'Blnct AR'!$C$2:$D$2255,2,0))," ")</f>
        <v xml:space="preserve"> </v>
      </c>
      <c r="F2397" s="19"/>
      <c r="G2397" s="19"/>
      <c r="I2397" s="37"/>
    </row>
    <row r="2398" spans="4:9" s="14" customFormat="1" ht="15" customHeight="1">
      <c r="D2398" s="12" t="str">
        <f>IF(C2398&gt;0,(VLOOKUP(C2398,'Blnct AR'!$C$2:$D$2255,2,0))," ")</f>
        <v xml:space="preserve"> </v>
      </c>
      <c r="F2398" s="19"/>
      <c r="G2398" s="19"/>
      <c r="I2398" s="37"/>
    </row>
    <row r="2399" spans="4:9" s="14" customFormat="1" ht="15" customHeight="1">
      <c r="D2399" s="12" t="str">
        <f>IF(C2399&gt;0,(VLOOKUP(C2399,'Blnct AR'!$C$2:$D$2255,2,0))," ")</f>
        <v xml:space="preserve"> </v>
      </c>
      <c r="F2399" s="19"/>
      <c r="G2399" s="19"/>
      <c r="I2399" s="37"/>
    </row>
    <row r="2400" spans="4:9" s="14" customFormat="1" ht="15" customHeight="1">
      <c r="D2400" s="12" t="str">
        <f>IF(C2400&gt;0,(VLOOKUP(C2400,'Blnct AR'!$C$2:$D$2255,2,0))," ")</f>
        <v xml:space="preserve"> </v>
      </c>
      <c r="F2400" s="19"/>
      <c r="G2400" s="19"/>
      <c r="I2400" s="37"/>
    </row>
    <row r="2401" spans="4:9" s="14" customFormat="1" ht="15" customHeight="1">
      <c r="D2401" s="12" t="str">
        <f>IF(C2401&gt;0,(VLOOKUP(C2401,'Blnct AR'!$C$2:$D$2255,2,0))," ")</f>
        <v xml:space="preserve"> </v>
      </c>
      <c r="F2401" s="19"/>
      <c r="G2401" s="19"/>
      <c r="I2401" s="37"/>
    </row>
    <row r="2402" spans="4:9" s="14" customFormat="1" ht="15" customHeight="1">
      <c r="D2402" s="12" t="str">
        <f>IF(C2402&gt;0,(VLOOKUP(C2402,'Blnct AR'!$C$2:$D$2255,2,0))," ")</f>
        <v xml:space="preserve"> </v>
      </c>
      <c r="F2402" s="19"/>
      <c r="G2402" s="19"/>
      <c r="I2402" s="37"/>
    </row>
    <row r="2403" spans="4:9" s="14" customFormat="1" ht="15" customHeight="1">
      <c r="D2403" s="12" t="str">
        <f>IF(C2403&gt;0,(VLOOKUP(C2403,'Blnct AR'!$C$2:$D$2255,2,0))," ")</f>
        <v xml:space="preserve"> </v>
      </c>
      <c r="F2403" s="19"/>
      <c r="G2403" s="19"/>
      <c r="I2403" s="37"/>
    </row>
    <row r="2404" spans="4:9" s="14" customFormat="1" ht="15" customHeight="1">
      <c r="D2404" s="12" t="str">
        <f>IF(C2404&gt;0,(VLOOKUP(C2404,'Blnct AR'!$C$2:$D$2255,2,0))," ")</f>
        <v xml:space="preserve"> </v>
      </c>
      <c r="F2404" s="19"/>
      <c r="G2404" s="19"/>
      <c r="I2404" s="37"/>
    </row>
    <row r="2405" spans="4:9" s="14" customFormat="1" ht="15" customHeight="1">
      <c r="D2405" s="12" t="str">
        <f>IF(C2405&gt;0,(VLOOKUP(C2405,'Blnct AR'!$C$2:$D$2255,2,0))," ")</f>
        <v xml:space="preserve"> </v>
      </c>
      <c r="F2405" s="19"/>
      <c r="G2405" s="19"/>
      <c r="I2405" s="37"/>
    </row>
    <row r="2406" spans="4:9" s="14" customFormat="1" ht="15" customHeight="1">
      <c r="D2406" s="12" t="str">
        <f>IF(C2406&gt;0,(VLOOKUP(C2406,'Blnct AR'!$C$2:$D$2255,2,0))," ")</f>
        <v xml:space="preserve"> </v>
      </c>
      <c r="F2406" s="19"/>
      <c r="G2406" s="19"/>
      <c r="I2406" s="37"/>
    </row>
    <row r="2407" spans="4:9" s="14" customFormat="1" ht="15" customHeight="1">
      <c r="D2407" s="12" t="str">
        <f>IF(C2407&gt;0,(VLOOKUP(C2407,'Blnct AR'!$C$2:$D$2255,2,0))," ")</f>
        <v xml:space="preserve"> </v>
      </c>
      <c r="F2407" s="19"/>
      <c r="G2407" s="19"/>
      <c r="I2407" s="37"/>
    </row>
    <row r="2408" spans="4:9" s="14" customFormat="1" ht="15" customHeight="1">
      <c r="D2408" s="12" t="str">
        <f>IF(C2408&gt;0,(VLOOKUP(C2408,'Blnct AR'!$C$2:$D$2255,2,0))," ")</f>
        <v xml:space="preserve"> </v>
      </c>
      <c r="F2408" s="19"/>
      <c r="G2408" s="19"/>
      <c r="I2408" s="37"/>
    </row>
    <row r="2409" spans="4:9" s="14" customFormat="1" ht="15" customHeight="1">
      <c r="D2409" s="12" t="str">
        <f>IF(C2409&gt;0,(VLOOKUP(C2409,'Blnct AR'!$C$2:$D$2255,2,0))," ")</f>
        <v xml:space="preserve"> </v>
      </c>
      <c r="F2409" s="19"/>
      <c r="G2409" s="19"/>
      <c r="I2409" s="37"/>
    </row>
    <row r="2410" spans="4:9" s="14" customFormat="1" ht="15" customHeight="1">
      <c r="D2410" s="12" t="str">
        <f>IF(C2410&gt;0,(VLOOKUP(C2410,'Blnct AR'!$C$2:$D$2255,2,0))," ")</f>
        <v xml:space="preserve"> </v>
      </c>
      <c r="F2410" s="19"/>
      <c r="G2410" s="19"/>
      <c r="I2410" s="37"/>
    </row>
    <row r="2411" spans="4:9" s="14" customFormat="1" ht="15" customHeight="1">
      <c r="D2411" s="12" t="str">
        <f>IF(C2411&gt;0,(VLOOKUP(C2411,'Blnct AR'!$C$2:$D$2255,2,0))," ")</f>
        <v xml:space="preserve"> </v>
      </c>
      <c r="F2411" s="19"/>
      <c r="G2411" s="19"/>
      <c r="I2411" s="37"/>
    </row>
    <row r="2412" spans="4:9" s="14" customFormat="1" ht="15" customHeight="1">
      <c r="D2412" s="12" t="str">
        <f>IF(C2412&gt;0,(VLOOKUP(C2412,'Blnct AR'!$C$2:$D$2255,2,0))," ")</f>
        <v xml:space="preserve"> </v>
      </c>
      <c r="F2412" s="19"/>
      <c r="G2412" s="19"/>
      <c r="I2412" s="37"/>
    </row>
    <row r="2413" spans="4:9" s="14" customFormat="1" ht="15" customHeight="1">
      <c r="D2413" s="12" t="str">
        <f>IF(C2413&gt;0,(VLOOKUP(C2413,'Blnct AR'!$C$2:$D$2255,2,0))," ")</f>
        <v xml:space="preserve"> </v>
      </c>
      <c r="F2413" s="19"/>
      <c r="G2413" s="19"/>
      <c r="I2413" s="37"/>
    </row>
    <row r="2414" spans="4:9" s="14" customFormat="1" ht="15" customHeight="1">
      <c r="D2414" s="12" t="str">
        <f>IF(C2414&gt;0,(VLOOKUP(C2414,'Blnct AR'!$C$2:$D$2255,2,0))," ")</f>
        <v xml:space="preserve"> </v>
      </c>
      <c r="F2414" s="19"/>
      <c r="G2414" s="19"/>
      <c r="I2414" s="37"/>
    </row>
    <row r="2415" spans="4:9" s="14" customFormat="1" ht="15" customHeight="1">
      <c r="D2415" s="12" t="str">
        <f>IF(C2415&gt;0,(VLOOKUP(C2415,'Blnct AR'!$C$2:$D$2255,2,0))," ")</f>
        <v xml:space="preserve"> </v>
      </c>
      <c r="F2415" s="19"/>
      <c r="G2415" s="19"/>
      <c r="I2415" s="37"/>
    </row>
    <row r="2416" spans="4:9" s="14" customFormat="1" ht="15" customHeight="1">
      <c r="D2416" s="12" t="str">
        <f>IF(C2416&gt;0,(VLOOKUP(C2416,'Blnct AR'!$C$2:$D$2255,2,0))," ")</f>
        <v xml:space="preserve"> </v>
      </c>
      <c r="F2416" s="19"/>
      <c r="G2416" s="19"/>
      <c r="I2416" s="37"/>
    </row>
    <row r="2417" spans="4:9" s="14" customFormat="1" ht="15" customHeight="1">
      <c r="D2417" s="12" t="str">
        <f>IF(C2417&gt;0,(VLOOKUP(C2417,'Blnct AR'!$C$2:$D$2255,2,0))," ")</f>
        <v xml:space="preserve"> </v>
      </c>
      <c r="F2417" s="19"/>
      <c r="G2417" s="19"/>
      <c r="I2417" s="37"/>
    </row>
    <row r="2418" spans="4:9" s="14" customFormat="1" ht="15" customHeight="1">
      <c r="D2418" s="12" t="str">
        <f>IF(C2418&gt;0,(VLOOKUP(C2418,'Blnct AR'!$C$2:$D$2255,2,0))," ")</f>
        <v xml:space="preserve"> </v>
      </c>
      <c r="F2418" s="19"/>
      <c r="G2418" s="19"/>
      <c r="I2418" s="37"/>
    </row>
    <row r="2419" spans="4:9" s="14" customFormat="1" ht="15" customHeight="1">
      <c r="D2419" s="12" t="str">
        <f>IF(C2419&gt;0,(VLOOKUP(C2419,'Blnct AR'!$C$2:$D$2255,2,0))," ")</f>
        <v xml:space="preserve"> </v>
      </c>
      <c r="F2419" s="19"/>
      <c r="G2419" s="19"/>
      <c r="I2419" s="37"/>
    </row>
    <row r="2420" spans="4:9" s="14" customFormat="1" ht="15" customHeight="1">
      <c r="D2420" s="12" t="str">
        <f>IF(C2420&gt;0,(VLOOKUP(C2420,'Blnct AR'!$C$2:$D$2255,2,0))," ")</f>
        <v xml:space="preserve"> </v>
      </c>
      <c r="F2420" s="19"/>
      <c r="G2420" s="19"/>
      <c r="I2420" s="37"/>
    </row>
    <row r="2421" spans="4:9" s="14" customFormat="1" ht="15" customHeight="1">
      <c r="D2421" s="12" t="str">
        <f>IF(C2421&gt;0,(VLOOKUP(C2421,'Blnct AR'!$C$2:$D$2255,2,0))," ")</f>
        <v xml:space="preserve"> </v>
      </c>
      <c r="F2421" s="19"/>
      <c r="G2421" s="19"/>
      <c r="I2421" s="37"/>
    </row>
    <row r="2422" spans="4:9" s="14" customFormat="1" ht="15" customHeight="1">
      <c r="D2422" s="12" t="str">
        <f>IF(C2422&gt;0,(VLOOKUP(C2422,'Blnct AR'!$C$2:$D$2255,2,0))," ")</f>
        <v xml:space="preserve"> </v>
      </c>
      <c r="F2422" s="19"/>
      <c r="G2422" s="19"/>
      <c r="I2422" s="37"/>
    </row>
    <row r="2423" spans="4:9" s="14" customFormat="1" ht="15" customHeight="1">
      <c r="D2423" s="12" t="str">
        <f>IF(C2423&gt;0,(VLOOKUP(C2423,'Blnct AR'!$C$2:$D$2255,2,0))," ")</f>
        <v xml:space="preserve"> </v>
      </c>
      <c r="F2423" s="19"/>
      <c r="G2423" s="19"/>
      <c r="I2423" s="37"/>
    </row>
    <row r="2424" spans="4:9" s="14" customFormat="1" ht="15" customHeight="1">
      <c r="D2424" s="12" t="str">
        <f>IF(C2424&gt;0,(VLOOKUP(C2424,'Blnct AR'!$C$2:$D$2255,2,0))," ")</f>
        <v xml:space="preserve"> </v>
      </c>
      <c r="F2424" s="19"/>
      <c r="G2424" s="19"/>
      <c r="I2424" s="37"/>
    </row>
    <row r="2425" spans="4:9" s="14" customFormat="1" ht="15" customHeight="1">
      <c r="D2425" s="12" t="str">
        <f>IF(C2425&gt;0,(VLOOKUP(C2425,'Blnct AR'!$C$2:$D$2255,2,0))," ")</f>
        <v xml:space="preserve"> </v>
      </c>
      <c r="F2425" s="19"/>
      <c r="G2425" s="19"/>
      <c r="I2425" s="37"/>
    </row>
    <row r="2426" spans="4:9" s="14" customFormat="1" ht="15" customHeight="1">
      <c r="D2426" s="12" t="str">
        <f>IF(C2426&gt;0,(VLOOKUP(C2426,'Blnct AR'!$C$2:$D$2255,2,0))," ")</f>
        <v xml:space="preserve"> </v>
      </c>
      <c r="F2426" s="19"/>
      <c r="G2426" s="19"/>
      <c r="I2426" s="37"/>
    </row>
    <row r="2427" spans="4:9" s="14" customFormat="1" ht="15" customHeight="1">
      <c r="D2427" s="12" t="str">
        <f>IF(C2427&gt;0,(VLOOKUP(C2427,'Blnct AR'!$C$2:$D$2255,2,0))," ")</f>
        <v xml:space="preserve"> </v>
      </c>
      <c r="F2427" s="19"/>
      <c r="G2427" s="19"/>
      <c r="I2427" s="37"/>
    </row>
    <row r="2428" spans="4:9" s="14" customFormat="1" ht="15" customHeight="1">
      <c r="D2428" s="12" t="str">
        <f>IF(C2428&gt;0,(VLOOKUP(C2428,'Blnct AR'!$C$2:$D$2255,2,0))," ")</f>
        <v xml:space="preserve"> </v>
      </c>
      <c r="F2428" s="19"/>
      <c r="G2428" s="19"/>
      <c r="I2428" s="37"/>
    </row>
    <row r="2429" spans="4:9" s="14" customFormat="1" ht="15" customHeight="1">
      <c r="D2429" s="12" t="str">
        <f>IF(C2429&gt;0,(VLOOKUP(C2429,'Blnct AR'!$C$2:$D$2255,2,0))," ")</f>
        <v xml:space="preserve"> </v>
      </c>
      <c r="F2429" s="19"/>
      <c r="G2429" s="19"/>
      <c r="I2429" s="37"/>
    </row>
    <row r="2430" spans="4:9" s="14" customFormat="1" ht="15" customHeight="1">
      <c r="D2430" s="12" t="str">
        <f>IF(C2430&gt;0,(VLOOKUP(C2430,'Blnct AR'!$C$2:$D$2255,2,0))," ")</f>
        <v xml:space="preserve"> </v>
      </c>
      <c r="F2430" s="19"/>
      <c r="G2430" s="19"/>
      <c r="I2430" s="37"/>
    </row>
    <row r="2431" spans="4:9" s="14" customFormat="1" ht="15" customHeight="1">
      <c r="D2431" s="12" t="str">
        <f>IF(C2431&gt;0,(VLOOKUP(C2431,'Blnct AR'!$C$2:$D$2255,2,0))," ")</f>
        <v xml:space="preserve"> </v>
      </c>
      <c r="F2431" s="19"/>
      <c r="G2431" s="19"/>
      <c r="I2431" s="37"/>
    </row>
    <row r="2432" spans="4:9" s="14" customFormat="1" ht="15" customHeight="1">
      <c r="D2432" s="12" t="str">
        <f>IF(C2432&gt;0,(VLOOKUP(C2432,'Blnct AR'!$C$2:$D$2255,2,0))," ")</f>
        <v xml:space="preserve"> </v>
      </c>
      <c r="F2432" s="19"/>
      <c r="G2432" s="19"/>
      <c r="I2432" s="37"/>
    </row>
    <row r="2433" spans="4:9" s="14" customFormat="1" ht="15" customHeight="1">
      <c r="D2433" s="12" t="str">
        <f>IF(C2433&gt;0,(VLOOKUP(C2433,'Blnct AR'!$C$2:$D$2255,2,0))," ")</f>
        <v xml:space="preserve"> </v>
      </c>
      <c r="F2433" s="19"/>
      <c r="G2433" s="19"/>
      <c r="I2433" s="37"/>
    </row>
    <row r="2434" spans="4:9" s="14" customFormat="1" ht="15" customHeight="1">
      <c r="D2434" s="12" t="str">
        <f>IF(C2434&gt;0,(VLOOKUP(C2434,'Blnct AR'!$C$2:$D$2255,2,0))," ")</f>
        <v xml:space="preserve"> </v>
      </c>
      <c r="F2434" s="19"/>
      <c r="G2434" s="19"/>
      <c r="I2434" s="37"/>
    </row>
    <row r="2435" spans="4:9" s="14" customFormat="1" ht="15" customHeight="1">
      <c r="D2435" s="12" t="str">
        <f>IF(C2435&gt;0,(VLOOKUP(C2435,'Blnct AR'!$C$2:$D$2255,2,0))," ")</f>
        <v xml:space="preserve"> </v>
      </c>
      <c r="F2435" s="19"/>
      <c r="G2435" s="19"/>
      <c r="I2435" s="37"/>
    </row>
    <row r="2436" spans="4:9" s="14" customFormat="1" ht="15" customHeight="1">
      <c r="D2436" s="12" t="str">
        <f>IF(C2436&gt;0,(VLOOKUP(C2436,'Blnct AR'!$C$2:$D$2255,2,0))," ")</f>
        <v xml:space="preserve"> </v>
      </c>
      <c r="F2436" s="19"/>
      <c r="G2436" s="19"/>
      <c r="I2436" s="37"/>
    </row>
    <row r="2437" spans="4:9" s="14" customFormat="1" ht="15" customHeight="1">
      <c r="D2437" s="12" t="str">
        <f>IF(C2437&gt;0,(VLOOKUP(C2437,'Blnct AR'!$C$2:$D$2255,2,0))," ")</f>
        <v xml:space="preserve"> </v>
      </c>
      <c r="F2437" s="19"/>
      <c r="G2437" s="19"/>
      <c r="I2437" s="37"/>
    </row>
    <row r="2438" spans="4:9" s="14" customFormat="1" ht="15" customHeight="1">
      <c r="D2438" s="12" t="str">
        <f>IF(C2438&gt;0,(VLOOKUP(C2438,'Blnct AR'!$C$2:$D$2255,2,0))," ")</f>
        <v xml:space="preserve"> </v>
      </c>
      <c r="F2438" s="19"/>
      <c r="G2438" s="19"/>
      <c r="I2438" s="37"/>
    </row>
    <row r="2439" spans="4:9" s="14" customFormat="1" ht="15" customHeight="1">
      <c r="D2439" s="12" t="str">
        <f>IF(C2439&gt;0,(VLOOKUP(C2439,'Blnct AR'!$C$2:$D$2255,2,0))," ")</f>
        <v xml:space="preserve"> </v>
      </c>
      <c r="F2439" s="19"/>
      <c r="G2439" s="19"/>
      <c r="I2439" s="37"/>
    </row>
    <row r="2440" spans="4:9" s="14" customFormat="1" ht="15" customHeight="1">
      <c r="D2440" s="12" t="str">
        <f>IF(C2440&gt;0,(VLOOKUP(C2440,'Blnct AR'!$C$2:$D$2255,2,0))," ")</f>
        <v xml:space="preserve"> </v>
      </c>
      <c r="F2440" s="19"/>
      <c r="G2440" s="19"/>
      <c r="I2440" s="37"/>
    </row>
    <row r="2441" spans="4:9" s="14" customFormat="1" ht="15" customHeight="1">
      <c r="D2441" s="12" t="str">
        <f>IF(C2441&gt;0,(VLOOKUP(C2441,'Blnct AR'!$C$2:$D$2255,2,0))," ")</f>
        <v xml:space="preserve"> </v>
      </c>
      <c r="F2441" s="19"/>
      <c r="G2441" s="19"/>
      <c r="I2441" s="37"/>
    </row>
    <row r="2442" spans="4:9" s="14" customFormat="1" ht="15" customHeight="1">
      <c r="D2442" s="12" t="str">
        <f>IF(C2442&gt;0,(VLOOKUP(C2442,'Blnct AR'!$C$2:$D$2255,2,0))," ")</f>
        <v xml:space="preserve"> </v>
      </c>
      <c r="F2442" s="19"/>
      <c r="G2442" s="19"/>
      <c r="I2442" s="37"/>
    </row>
    <row r="2443" spans="4:9" s="14" customFormat="1" ht="15" customHeight="1">
      <c r="D2443" s="12" t="str">
        <f>IF(C2443&gt;0,(VLOOKUP(C2443,'Blnct AR'!$C$2:$D$2255,2,0))," ")</f>
        <v xml:space="preserve"> </v>
      </c>
      <c r="F2443" s="19"/>
      <c r="G2443" s="19"/>
      <c r="I2443" s="37"/>
    </row>
    <row r="2444" spans="4:9" s="14" customFormat="1" ht="15" customHeight="1">
      <c r="D2444" s="12" t="str">
        <f>IF(C2444&gt;0,(VLOOKUP(C2444,'Blnct AR'!$C$2:$D$2255,2,0))," ")</f>
        <v xml:space="preserve"> </v>
      </c>
      <c r="F2444" s="19"/>
      <c r="G2444" s="19"/>
      <c r="I2444" s="37"/>
    </row>
    <row r="2445" spans="4:9" s="14" customFormat="1" ht="15" customHeight="1">
      <c r="D2445" s="12" t="str">
        <f>IF(C2445&gt;0,(VLOOKUP(C2445,'Blnct AR'!$C$2:$D$2255,2,0))," ")</f>
        <v xml:space="preserve"> </v>
      </c>
      <c r="F2445" s="19"/>
      <c r="G2445" s="19"/>
      <c r="I2445" s="37"/>
    </row>
    <row r="2446" spans="4:9" s="14" customFormat="1" ht="15" customHeight="1">
      <c r="D2446" s="12" t="str">
        <f>IF(C2446&gt;0,(VLOOKUP(C2446,'Blnct AR'!$C$2:$D$2255,2,0))," ")</f>
        <v xml:space="preserve"> </v>
      </c>
      <c r="F2446" s="19"/>
      <c r="G2446" s="19"/>
      <c r="I2446" s="37"/>
    </row>
    <row r="2447" spans="4:9" s="14" customFormat="1" ht="15" customHeight="1">
      <c r="D2447" s="12" t="str">
        <f>IF(C2447&gt;0,(VLOOKUP(C2447,'Blnct AR'!$C$2:$D$2255,2,0))," ")</f>
        <v xml:space="preserve"> </v>
      </c>
      <c r="F2447" s="19"/>
      <c r="G2447" s="19"/>
      <c r="I2447" s="37"/>
    </row>
    <row r="2448" spans="4:9" s="14" customFormat="1" ht="15" customHeight="1">
      <c r="D2448" s="12" t="str">
        <f>IF(C2448&gt;0,(VLOOKUP(C2448,'Blnct AR'!$C$2:$D$2255,2,0))," ")</f>
        <v xml:space="preserve"> </v>
      </c>
      <c r="F2448" s="19"/>
      <c r="G2448" s="19"/>
      <c r="I2448" s="37"/>
    </row>
    <row r="2449" spans="4:9" s="14" customFormat="1" ht="15" customHeight="1">
      <c r="D2449" s="12" t="str">
        <f>IF(C2449&gt;0,(VLOOKUP(C2449,'Blnct AR'!$C$2:$D$2255,2,0))," ")</f>
        <v xml:space="preserve"> </v>
      </c>
      <c r="F2449" s="19"/>
      <c r="G2449" s="19"/>
      <c r="I2449" s="37"/>
    </row>
    <row r="2450" spans="4:9" s="14" customFormat="1" ht="15" customHeight="1">
      <c r="D2450" s="12" t="str">
        <f>IF(C2450&gt;0,(VLOOKUP(C2450,'Blnct AR'!$C$2:$D$2255,2,0))," ")</f>
        <v xml:space="preserve"> </v>
      </c>
      <c r="F2450" s="19"/>
      <c r="G2450" s="19"/>
      <c r="I2450" s="37"/>
    </row>
    <row r="2451" spans="4:9" s="14" customFormat="1" ht="15" customHeight="1">
      <c r="D2451" s="12" t="str">
        <f>IF(C2451&gt;0,(VLOOKUP(C2451,'Blnct AR'!$C$2:$D$2255,2,0))," ")</f>
        <v xml:space="preserve"> </v>
      </c>
      <c r="F2451" s="19"/>
      <c r="G2451" s="19"/>
      <c r="I2451" s="37"/>
    </row>
    <row r="2452" spans="4:9" s="14" customFormat="1" ht="15" customHeight="1">
      <c r="D2452" s="12" t="str">
        <f>IF(C2452&gt;0,(VLOOKUP(C2452,'Blnct AR'!$C$2:$D$2255,2,0))," ")</f>
        <v xml:space="preserve"> </v>
      </c>
      <c r="F2452" s="19"/>
      <c r="G2452" s="19"/>
      <c r="I2452" s="37"/>
    </row>
    <row r="2453" spans="4:9" s="14" customFormat="1" ht="15" customHeight="1">
      <c r="D2453" s="12" t="str">
        <f>IF(C2453&gt;0,(VLOOKUP(C2453,'Blnct AR'!$C$2:$D$2255,2,0))," ")</f>
        <v xml:space="preserve"> </v>
      </c>
      <c r="F2453" s="19"/>
      <c r="G2453" s="19"/>
      <c r="I2453" s="37"/>
    </row>
    <row r="2454" spans="4:9" s="14" customFormat="1" ht="15" customHeight="1">
      <c r="D2454" s="12" t="str">
        <f>IF(C2454&gt;0,(VLOOKUP(C2454,'Blnct AR'!$C$2:$D$2255,2,0))," ")</f>
        <v xml:space="preserve"> </v>
      </c>
      <c r="F2454" s="19"/>
      <c r="G2454" s="19"/>
      <c r="I2454" s="37"/>
    </row>
    <row r="2455" spans="4:9" s="14" customFormat="1" ht="15" customHeight="1">
      <c r="D2455" s="12" t="str">
        <f>IF(C2455&gt;0,(VLOOKUP(C2455,'Blnct AR'!$C$2:$D$2255,2,0))," ")</f>
        <v xml:space="preserve"> </v>
      </c>
      <c r="F2455" s="19"/>
      <c r="G2455" s="19"/>
      <c r="I2455" s="37"/>
    </row>
    <row r="2456" spans="4:9" s="14" customFormat="1" ht="15" customHeight="1">
      <c r="D2456" s="12" t="str">
        <f>IF(C2456&gt;0,(VLOOKUP(C2456,'Blnct AR'!$C$2:$D$2255,2,0))," ")</f>
        <v xml:space="preserve"> </v>
      </c>
      <c r="F2456" s="19"/>
      <c r="G2456" s="19"/>
      <c r="I2456" s="37"/>
    </row>
    <row r="2457" spans="4:9" s="14" customFormat="1" ht="15" customHeight="1">
      <c r="D2457" s="12" t="str">
        <f>IF(C2457&gt;0,(VLOOKUP(C2457,'Blnct AR'!$C$2:$D$2255,2,0))," ")</f>
        <v xml:space="preserve"> </v>
      </c>
      <c r="F2457" s="19"/>
      <c r="G2457" s="19"/>
      <c r="I2457" s="37"/>
    </row>
    <row r="2458" spans="4:9" s="14" customFormat="1" ht="15" customHeight="1">
      <c r="D2458" s="12" t="str">
        <f>IF(C2458&gt;0,(VLOOKUP(C2458,'Blnct AR'!$C$2:$D$2255,2,0))," ")</f>
        <v xml:space="preserve"> </v>
      </c>
      <c r="F2458" s="19"/>
      <c r="G2458" s="19"/>
      <c r="I2458" s="37"/>
    </row>
    <row r="2459" spans="4:9" s="14" customFormat="1" ht="15" customHeight="1">
      <c r="D2459" s="12" t="str">
        <f>IF(C2459&gt;0,(VLOOKUP(C2459,'Blnct AR'!$C$2:$D$2255,2,0))," ")</f>
        <v xml:space="preserve"> </v>
      </c>
      <c r="F2459" s="19"/>
      <c r="G2459" s="19"/>
      <c r="I2459" s="37"/>
    </row>
    <row r="2460" spans="4:9" s="14" customFormat="1" ht="15" customHeight="1">
      <c r="D2460" s="12" t="str">
        <f>IF(C2460&gt;0,(VLOOKUP(C2460,'Blnct AR'!$C$2:$D$2255,2,0))," ")</f>
        <v xml:space="preserve"> </v>
      </c>
      <c r="F2460" s="19"/>
      <c r="G2460" s="19"/>
      <c r="I2460" s="37"/>
    </row>
    <row r="2461" spans="4:9" s="14" customFormat="1" ht="15" customHeight="1">
      <c r="D2461" s="12" t="str">
        <f>IF(C2461&gt;0,(VLOOKUP(C2461,'Blnct AR'!$C$2:$D$2255,2,0))," ")</f>
        <v xml:space="preserve"> </v>
      </c>
      <c r="F2461" s="19"/>
      <c r="G2461" s="19"/>
      <c r="I2461" s="37"/>
    </row>
    <row r="2462" spans="4:9" s="14" customFormat="1" ht="15" customHeight="1">
      <c r="D2462" s="12" t="str">
        <f>IF(C2462&gt;0,(VLOOKUP(C2462,'Blnct AR'!$C$2:$D$2255,2,0))," ")</f>
        <v xml:space="preserve"> </v>
      </c>
      <c r="F2462" s="19"/>
      <c r="G2462" s="19"/>
      <c r="I2462" s="37"/>
    </row>
    <row r="2463" spans="4:9" s="14" customFormat="1" ht="15" customHeight="1">
      <c r="D2463" s="12" t="str">
        <f>IF(C2463&gt;0,(VLOOKUP(C2463,'Blnct AR'!$C$2:$D$2255,2,0))," ")</f>
        <v xml:space="preserve"> </v>
      </c>
      <c r="F2463" s="19"/>
      <c r="G2463" s="19"/>
      <c r="I2463" s="37"/>
    </row>
    <row r="2464" spans="4:9" s="14" customFormat="1" ht="15" customHeight="1">
      <c r="D2464" s="12" t="str">
        <f>IF(C2464&gt;0,(VLOOKUP(C2464,'Blnct AR'!$C$2:$D$2255,2,0))," ")</f>
        <v xml:space="preserve"> </v>
      </c>
      <c r="F2464" s="19"/>
      <c r="G2464" s="19"/>
      <c r="I2464" s="37"/>
    </row>
    <row r="2465" spans="4:9" s="14" customFormat="1" ht="15" customHeight="1">
      <c r="D2465" s="12" t="str">
        <f>IF(C2465&gt;0,(VLOOKUP(C2465,'Blnct AR'!$C$2:$D$2255,2,0))," ")</f>
        <v xml:space="preserve"> </v>
      </c>
      <c r="F2465" s="19"/>
      <c r="G2465" s="19"/>
      <c r="I2465" s="37"/>
    </row>
    <row r="2466" spans="4:9" s="14" customFormat="1" ht="15" customHeight="1">
      <c r="D2466" s="12" t="str">
        <f>IF(C2466&gt;0,(VLOOKUP(C2466,'Blnct AR'!$C$2:$D$2255,2,0))," ")</f>
        <v xml:space="preserve"> </v>
      </c>
      <c r="F2466" s="19"/>
      <c r="G2466" s="19"/>
      <c r="I2466" s="37"/>
    </row>
    <row r="2467" spans="4:9" s="14" customFormat="1" ht="15" customHeight="1">
      <c r="D2467" s="12" t="str">
        <f>IF(C2467&gt;0,(VLOOKUP(C2467,'Blnct AR'!$C$2:$D$2255,2,0))," ")</f>
        <v xml:space="preserve"> </v>
      </c>
      <c r="F2467" s="19"/>
      <c r="G2467" s="19"/>
      <c r="I2467" s="37"/>
    </row>
    <row r="2468" spans="4:9" s="14" customFormat="1" ht="15" customHeight="1">
      <c r="D2468" s="12" t="str">
        <f>IF(C2468&gt;0,(VLOOKUP(C2468,'Blnct AR'!$C$2:$D$2255,2,0))," ")</f>
        <v xml:space="preserve"> </v>
      </c>
      <c r="F2468" s="19"/>
      <c r="G2468" s="19"/>
      <c r="I2468" s="37"/>
    </row>
    <row r="2469" spans="4:9" s="14" customFormat="1" ht="15" customHeight="1">
      <c r="D2469" s="12" t="str">
        <f>IF(C2469&gt;0,(VLOOKUP(C2469,'Blnct AR'!$C$2:$D$2255,2,0))," ")</f>
        <v xml:space="preserve"> </v>
      </c>
      <c r="F2469" s="19"/>
      <c r="G2469" s="19"/>
      <c r="I2469" s="37"/>
    </row>
    <row r="2470" spans="4:9" s="14" customFormat="1" ht="15" customHeight="1">
      <c r="D2470" s="12" t="str">
        <f>IF(C2470&gt;0,(VLOOKUP(C2470,'Blnct AR'!$C$2:$D$2255,2,0))," ")</f>
        <v xml:space="preserve"> </v>
      </c>
      <c r="F2470" s="19"/>
      <c r="G2470" s="19"/>
      <c r="I2470" s="37"/>
    </row>
    <row r="2471" spans="4:9" s="14" customFormat="1" ht="15" customHeight="1">
      <c r="D2471" s="12" t="str">
        <f>IF(C2471&gt;0,(VLOOKUP(C2471,'Blnct AR'!$C$2:$D$2255,2,0))," ")</f>
        <v xml:space="preserve"> </v>
      </c>
      <c r="F2471" s="19"/>
      <c r="G2471" s="19"/>
      <c r="I2471" s="37"/>
    </row>
    <row r="2472" spans="4:9" s="14" customFormat="1" ht="15" customHeight="1">
      <c r="D2472" s="12" t="str">
        <f>IF(C2472&gt;0,(VLOOKUP(C2472,'Blnct AR'!$C$2:$D$2255,2,0))," ")</f>
        <v xml:space="preserve"> </v>
      </c>
      <c r="F2472" s="19"/>
      <c r="G2472" s="19"/>
      <c r="I2472" s="37"/>
    </row>
    <row r="2473" spans="4:9" s="14" customFormat="1" ht="15" customHeight="1">
      <c r="D2473" s="12" t="str">
        <f>IF(C2473&gt;0,(VLOOKUP(C2473,'Blnct AR'!$C$2:$D$2255,2,0))," ")</f>
        <v xml:space="preserve"> </v>
      </c>
      <c r="F2473" s="19"/>
      <c r="G2473" s="19"/>
      <c r="I2473" s="37"/>
    </row>
    <row r="2474" spans="4:9" s="14" customFormat="1" ht="15" customHeight="1">
      <c r="D2474" s="12" t="str">
        <f>IF(C2474&gt;0,(VLOOKUP(C2474,'Blnct AR'!$C$2:$D$2255,2,0))," ")</f>
        <v xml:space="preserve"> </v>
      </c>
      <c r="F2474" s="19"/>
      <c r="G2474" s="19"/>
      <c r="I2474" s="37"/>
    </row>
    <row r="2475" spans="4:9" s="14" customFormat="1" ht="15" customHeight="1">
      <c r="D2475" s="12" t="str">
        <f>IF(C2475&gt;0,(VLOOKUP(C2475,'Blnct AR'!$C$2:$D$2255,2,0))," ")</f>
        <v xml:space="preserve"> </v>
      </c>
      <c r="F2475" s="19"/>
      <c r="G2475" s="19"/>
      <c r="I2475" s="37"/>
    </row>
    <row r="2476" spans="4:9" s="14" customFormat="1" ht="15" customHeight="1">
      <c r="D2476" s="12" t="str">
        <f>IF(C2476&gt;0,(VLOOKUP(C2476,'Blnct AR'!$C$2:$D$2255,2,0))," ")</f>
        <v xml:space="preserve"> </v>
      </c>
      <c r="F2476" s="19"/>
      <c r="G2476" s="19"/>
      <c r="I2476" s="37"/>
    </row>
    <row r="2477" spans="4:9" s="14" customFormat="1" ht="15" customHeight="1">
      <c r="D2477" s="12" t="str">
        <f>IF(C2477&gt;0,(VLOOKUP(C2477,'Blnct AR'!$C$2:$D$2255,2,0))," ")</f>
        <v xml:space="preserve"> </v>
      </c>
      <c r="F2477" s="19"/>
      <c r="G2477" s="19"/>
      <c r="I2477" s="37"/>
    </row>
    <row r="2478" spans="4:9" s="14" customFormat="1" ht="15" customHeight="1">
      <c r="D2478" s="12" t="str">
        <f>IF(C2478&gt;0,(VLOOKUP(C2478,'Blnct AR'!$C$2:$D$2255,2,0))," ")</f>
        <v xml:space="preserve"> </v>
      </c>
      <c r="F2478" s="19"/>
      <c r="G2478" s="19"/>
      <c r="I2478" s="37"/>
    </row>
    <row r="2479" spans="4:9" s="14" customFormat="1" ht="15" customHeight="1">
      <c r="D2479" s="12" t="str">
        <f>IF(C2479&gt;0,(VLOOKUP(C2479,'Blnct AR'!$C$2:$D$2255,2,0))," ")</f>
        <v xml:space="preserve"> </v>
      </c>
      <c r="F2479" s="19"/>
      <c r="G2479" s="19"/>
      <c r="I2479" s="37"/>
    </row>
    <row r="2480" spans="4:9" s="14" customFormat="1" ht="15" customHeight="1">
      <c r="D2480" s="12" t="str">
        <f>IF(C2480&gt;0,(VLOOKUP(C2480,'Blnct AR'!$C$2:$D$2255,2,0))," ")</f>
        <v xml:space="preserve"> </v>
      </c>
      <c r="F2480" s="19"/>
      <c r="G2480" s="19"/>
      <c r="I2480" s="37"/>
    </row>
    <row r="2481" spans="4:9" s="14" customFormat="1" ht="15" customHeight="1">
      <c r="D2481" s="12" t="str">
        <f>IF(C2481&gt;0,(VLOOKUP(C2481,'Blnct AR'!$C$2:$D$2255,2,0))," ")</f>
        <v xml:space="preserve"> </v>
      </c>
      <c r="F2481" s="19"/>
      <c r="G2481" s="19"/>
      <c r="I2481" s="37"/>
    </row>
    <row r="2482" spans="4:9" s="14" customFormat="1" ht="15" customHeight="1">
      <c r="D2482" s="12" t="str">
        <f>IF(C2482&gt;0,(VLOOKUP(C2482,'Blnct AR'!$C$2:$D$2255,2,0))," ")</f>
        <v xml:space="preserve"> </v>
      </c>
      <c r="F2482" s="19"/>
      <c r="G2482" s="19"/>
      <c r="I2482" s="37"/>
    </row>
    <row r="2483" spans="4:9" s="14" customFormat="1" ht="15" customHeight="1">
      <c r="D2483" s="12" t="str">
        <f>IF(C2483&gt;0,(VLOOKUP(C2483,'Blnct AR'!$C$2:$D$2255,2,0))," ")</f>
        <v xml:space="preserve"> </v>
      </c>
      <c r="F2483" s="19"/>
      <c r="G2483" s="19"/>
      <c r="I2483" s="37"/>
    </row>
    <row r="2484" spans="4:9" s="14" customFormat="1" ht="15" customHeight="1">
      <c r="D2484" s="12" t="str">
        <f>IF(C2484&gt;0,(VLOOKUP(C2484,'Blnct AR'!$C$2:$D$2255,2,0))," ")</f>
        <v xml:space="preserve"> </v>
      </c>
      <c r="F2484" s="19"/>
      <c r="G2484" s="19"/>
      <c r="I2484" s="37"/>
    </row>
    <row r="2485" spans="4:9" s="14" customFormat="1" ht="15" customHeight="1">
      <c r="D2485" s="12" t="str">
        <f>IF(C2485&gt;0,(VLOOKUP(C2485,'Blnct AR'!$C$2:$D$2255,2,0))," ")</f>
        <v xml:space="preserve"> </v>
      </c>
      <c r="F2485" s="19"/>
      <c r="G2485" s="19"/>
      <c r="I2485" s="37"/>
    </row>
    <row r="2486" spans="4:9" s="14" customFormat="1" ht="15" customHeight="1">
      <c r="D2486" s="12" t="str">
        <f>IF(C2486&gt;0,(VLOOKUP(C2486,'Blnct AR'!$C$2:$D$2255,2,0))," ")</f>
        <v xml:space="preserve"> </v>
      </c>
      <c r="F2486" s="19"/>
      <c r="G2486" s="19"/>
      <c r="I2486" s="37"/>
    </row>
    <row r="2487" spans="4:9" s="14" customFormat="1" ht="15" customHeight="1">
      <c r="D2487" s="12" t="str">
        <f>IF(C2487&gt;0,(VLOOKUP(C2487,'Blnct AR'!$C$2:$D$2255,2,0))," ")</f>
        <v xml:space="preserve"> </v>
      </c>
      <c r="F2487" s="19"/>
      <c r="G2487" s="19"/>
      <c r="I2487" s="37"/>
    </row>
    <row r="2488" spans="4:9" s="14" customFormat="1" ht="15" customHeight="1">
      <c r="D2488" s="12" t="str">
        <f>IF(C2488&gt;0,(VLOOKUP(C2488,'Blnct AR'!$C$2:$D$2255,2,0))," ")</f>
        <v xml:space="preserve"> </v>
      </c>
      <c r="F2488" s="19"/>
      <c r="G2488" s="19"/>
      <c r="I2488" s="37"/>
    </row>
    <row r="2489" spans="4:9" s="14" customFormat="1" ht="15" customHeight="1">
      <c r="D2489" s="12" t="str">
        <f>IF(C2489&gt;0,(VLOOKUP(C2489,'Blnct AR'!$C$2:$D$2255,2,0))," ")</f>
        <v xml:space="preserve"> </v>
      </c>
      <c r="F2489" s="19"/>
      <c r="G2489" s="19"/>
      <c r="I2489" s="37"/>
    </row>
    <row r="2490" spans="4:9" s="14" customFormat="1" ht="15" customHeight="1">
      <c r="D2490" s="12" t="str">
        <f>IF(C2490&gt;0,(VLOOKUP(C2490,'Blnct AR'!$C$2:$D$2255,2,0))," ")</f>
        <v xml:space="preserve"> </v>
      </c>
      <c r="F2490" s="19"/>
      <c r="G2490" s="19"/>
      <c r="I2490" s="37"/>
    </row>
    <row r="2491" spans="4:9" s="14" customFormat="1" ht="15" customHeight="1">
      <c r="D2491" s="12" t="str">
        <f>IF(C2491&gt;0,(VLOOKUP(C2491,'Blnct AR'!$C$2:$D$2255,2,0))," ")</f>
        <v xml:space="preserve"> </v>
      </c>
      <c r="F2491" s="19"/>
      <c r="G2491" s="19"/>
      <c r="I2491" s="37"/>
    </row>
    <row r="2492" spans="4:9" s="14" customFormat="1" ht="15" customHeight="1">
      <c r="D2492" s="12" t="str">
        <f>IF(C2492&gt;0,(VLOOKUP(C2492,'Blnct AR'!$C$2:$D$2255,2,0))," ")</f>
        <v xml:space="preserve"> </v>
      </c>
      <c r="F2492" s="19"/>
      <c r="G2492" s="19"/>
      <c r="I2492" s="37"/>
    </row>
    <row r="2493" spans="4:9" s="14" customFormat="1" ht="15" customHeight="1">
      <c r="D2493" s="12" t="str">
        <f>IF(C2493&gt;0,(VLOOKUP(C2493,'Blnct AR'!$C$2:$D$2255,2,0))," ")</f>
        <v xml:space="preserve"> </v>
      </c>
      <c r="F2493" s="19"/>
      <c r="G2493" s="19"/>
      <c r="I2493" s="37"/>
    </row>
    <row r="2494" spans="4:9" s="14" customFormat="1" ht="15" customHeight="1">
      <c r="D2494" s="12" t="str">
        <f>IF(C2494&gt;0,(VLOOKUP(C2494,'Blnct AR'!$C$2:$D$2255,2,0))," ")</f>
        <v xml:space="preserve"> </v>
      </c>
      <c r="F2494" s="19"/>
      <c r="G2494" s="19"/>
      <c r="I2494" s="37"/>
    </row>
    <row r="2495" spans="4:9" s="14" customFormat="1" ht="15" customHeight="1">
      <c r="D2495" s="12" t="str">
        <f>IF(C2495&gt;0,(VLOOKUP(C2495,'Blnct AR'!$C$2:$D$2255,2,0))," ")</f>
        <v xml:space="preserve"> </v>
      </c>
      <c r="F2495" s="19"/>
      <c r="G2495" s="19"/>
      <c r="I2495" s="37"/>
    </row>
    <row r="2496" spans="4:9" s="14" customFormat="1" ht="15" customHeight="1">
      <c r="D2496" s="12" t="str">
        <f>IF(C2496&gt;0,(VLOOKUP(C2496,'Blnct AR'!$C$2:$D$2255,2,0))," ")</f>
        <v xml:space="preserve"> </v>
      </c>
      <c r="F2496" s="19"/>
      <c r="G2496" s="19"/>
      <c r="I2496" s="37"/>
    </row>
    <row r="2497" spans="4:9" s="14" customFormat="1" ht="15" customHeight="1">
      <c r="D2497" s="12" t="str">
        <f>IF(C2497&gt;0,(VLOOKUP(C2497,'Blnct AR'!$C$2:$D$2255,2,0))," ")</f>
        <v xml:space="preserve"> </v>
      </c>
      <c r="F2497" s="19"/>
      <c r="G2497" s="19"/>
      <c r="I2497" s="37"/>
    </row>
    <row r="2498" spans="4:9" s="14" customFormat="1" ht="15" customHeight="1">
      <c r="D2498" s="12" t="str">
        <f>IF(C2498&gt;0,(VLOOKUP(C2498,'Blnct AR'!$C$2:$D$2255,2,0))," ")</f>
        <v xml:space="preserve"> </v>
      </c>
      <c r="F2498" s="19"/>
      <c r="G2498" s="19"/>
      <c r="I2498" s="37"/>
    </row>
    <row r="2499" spans="4:9" s="14" customFormat="1" ht="15" customHeight="1">
      <c r="D2499" s="12" t="str">
        <f>IF(C2499&gt;0,(VLOOKUP(C2499,'Blnct AR'!$C$2:$D$2255,2,0))," ")</f>
        <v xml:space="preserve"> </v>
      </c>
      <c r="F2499" s="19"/>
      <c r="G2499" s="19"/>
      <c r="I2499" s="37"/>
    </row>
    <row r="2500" spans="4:9" s="14" customFormat="1" ht="15" customHeight="1">
      <c r="D2500" s="12" t="str">
        <f>IF(C2500&gt;0,(VLOOKUP(C2500,'Blnct AR'!$C$2:$D$2255,2,0))," ")</f>
        <v xml:space="preserve"> </v>
      </c>
      <c r="F2500" s="19"/>
      <c r="G2500" s="19"/>
      <c r="I2500" s="37"/>
    </row>
    <row r="2501" spans="4:9" s="14" customFormat="1" ht="15" customHeight="1">
      <c r="D2501" s="12" t="str">
        <f>IF(C2501&gt;0,(VLOOKUP(C2501,'Blnct AR'!$C$2:$D$2255,2,0))," ")</f>
        <v xml:space="preserve"> </v>
      </c>
      <c r="F2501" s="19"/>
      <c r="G2501" s="19"/>
      <c r="I2501" s="37"/>
    </row>
    <row r="2502" spans="4:9" s="14" customFormat="1" ht="15" customHeight="1">
      <c r="D2502" s="12" t="str">
        <f>IF(C2502&gt;0,(VLOOKUP(C2502,'Blnct AR'!$C$2:$D$2255,2,0))," ")</f>
        <v xml:space="preserve"> </v>
      </c>
      <c r="F2502" s="19"/>
      <c r="G2502" s="19"/>
      <c r="I2502" s="37"/>
    </row>
    <row r="2503" spans="4:9" s="14" customFormat="1" ht="15" customHeight="1">
      <c r="D2503" s="12" t="str">
        <f>IF(C2503&gt;0,(VLOOKUP(C2503,'Blnct AR'!$C$2:$D$2255,2,0))," ")</f>
        <v xml:space="preserve"> </v>
      </c>
      <c r="F2503" s="19"/>
      <c r="G2503" s="19"/>
      <c r="I2503" s="37"/>
    </row>
    <row r="2504" spans="4:9" s="14" customFormat="1" ht="15" customHeight="1">
      <c r="D2504" s="12" t="str">
        <f>IF(C2504&gt;0,(VLOOKUP(C2504,'Blnct AR'!$C$2:$D$2255,2,0))," ")</f>
        <v xml:space="preserve"> </v>
      </c>
      <c r="F2504" s="19"/>
      <c r="G2504" s="19"/>
      <c r="I2504" s="37"/>
    </row>
    <row r="2505" spans="4:9" s="14" customFormat="1" ht="15" customHeight="1">
      <c r="D2505" s="12" t="str">
        <f>IF(C2505&gt;0,(VLOOKUP(C2505,'Blnct AR'!$C$2:$D$2255,2,0))," ")</f>
        <v xml:space="preserve"> </v>
      </c>
      <c r="F2505" s="19"/>
      <c r="G2505" s="19"/>
      <c r="I2505" s="37"/>
    </row>
    <row r="2506" spans="4:9" s="14" customFormat="1" ht="15" customHeight="1">
      <c r="D2506" s="12" t="str">
        <f>IF(C2506&gt;0,(VLOOKUP(C2506,'Blnct AR'!$C$2:$D$2255,2,0))," ")</f>
        <v xml:space="preserve"> </v>
      </c>
      <c r="F2506" s="19"/>
      <c r="G2506" s="19"/>
      <c r="I2506" s="37"/>
    </row>
    <row r="2507" spans="4:9" s="14" customFormat="1" ht="15" customHeight="1">
      <c r="D2507" s="12" t="str">
        <f>IF(C2507&gt;0,(VLOOKUP(C2507,'Blnct AR'!$C$2:$D$2255,2,0))," ")</f>
        <v xml:space="preserve"> </v>
      </c>
      <c r="F2507" s="19"/>
      <c r="G2507" s="19"/>
      <c r="I2507" s="37"/>
    </row>
    <row r="2508" spans="4:9" s="14" customFormat="1" ht="15" customHeight="1">
      <c r="D2508" s="12" t="str">
        <f>IF(C2508&gt;0,(VLOOKUP(C2508,'Blnct AR'!$C$2:$D$2255,2,0))," ")</f>
        <v xml:space="preserve"> </v>
      </c>
      <c r="F2508" s="19"/>
      <c r="G2508" s="19"/>
      <c r="I2508" s="37"/>
    </row>
    <row r="2509" spans="4:9" s="14" customFormat="1" ht="15" customHeight="1">
      <c r="D2509" s="12" t="str">
        <f>IF(C2509&gt;0,(VLOOKUP(C2509,'Blnct AR'!$C$2:$D$2255,2,0))," ")</f>
        <v xml:space="preserve"> </v>
      </c>
      <c r="F2509" s="19"/>
      <c r="G2509" s="19"/>
      <c r="I2509" s="37"/>
    </row>
    <row r="2510" spans="4:9" s="14" customFormat="1" ht="15" customHeight="1">
      <c r="D2510" s="12" t="str">
        <f>IF(C2510&gt;0,(VLOOKUP(C2510,'Blnct AR'!$C$2:$D$2255,2,0))," ")</f>
        <v xml:space="preserve"> </v>
      </c>
      <c r="F2510" s="19"/>
      <c r="G2510" s="19"/>
      <c r="I2510" s="37"/>
    </row>
    <row r="2511" spans="4:9" s="14" customFormat="1" ht="15" customHeight="1">
      <c r="D2511" s="12" t="str">
        <f>IF(C2511&gt;0,(VLOOKUP(C2511,'Blnct AR'!$C$2:$D$2255,2,0))," ")</f>
        <v xml:space="preserve"> </v>
      </c>
      <c r="F2511" s="19"/>
      <c r="G2511" s="19"/>
      <c r="I2511" s="37"/>
    </row>
    <row r="2512" spans="4:9" s="14" customFormat="1" ht="15" customHeight="1">
      <c r="D2512" s="12" t="str">
        <f>IF(C2512&gt;0,(VLOOKUP(C2512,'Blnct AR'!$C$2:$D$2255,2,0))," ")</f>
        <v xml:space="preserve"> </v>
      </c>
      <c r="F2512" s="19"/>
      <c r="G2512" s="19"/>
      <c r="I2512" s="37"/>
    </row>
    <row r="2513" spans="4:9" s="14" customFormat="1" ht="15" customHeight="1">
      <c r="D2513" s="12" t="str">
        <f>IF(C2513&gt;0,(VLOOKUP(C2513,'Blnct AR'!$C$2:$D$2255,2,0))," ")</f>
        <v xml:space="preserve"> </v>
      </c>
      <c r="F2513" s="19"/>
      <c r="G2513" s="19"/>
      <c r="I2513" s="37"/>
    </row>
    <row r="2514" spans="4:9" s="14" customFormat="1" ht="15" customHeight="1">
      <c r="D2514" s="12" t="str">
        <f>IF(C2514&gt;0,(VLOOKUP(C2514,'Blnct AR'!$C$2:$D$2255,2,0))," ")</f>
        <v xml:space="preserve"> </v>
      </c>
      <c r="F2514" s="19"/>
      <c r="G2514" s="19"/>
      <c r="I2514" s="37"/>
    </row>
    <row r="2515" spans="4:9" s="14" customFormat="1" ht="15" customHeight="1">
      <c r="D2515" s="12" t="str">
        <f>IF(C2515&gt;0,(VLOOKUP(C2515,'Blnct AR'!$C$2:$D$2255,2,0))," ")</f>
        <v xml:space="preserve"> </v>
      </c>
      <c r="F2515" s="19"/>
      <c r="G2515" s="19"/>
      <c r="I2515" s="37"/>
    </row>
    <row r="2516" spans="4:9" s="14" customFormat="1" ht="15" customHeight="1">
      <c r="D2516" s="12" t="str">
        <f>IF(C2516&gt;0,(VLOOKUP(C2516,'Blnct AR'!$C$2:$D$2255,2,0))," ")</f>
        <v xml:space="preserve"> </v>
      </c>
      <c r="F2516" s="19"/>
      <c r="G2516" s="19"/>
      <c r="I2516" s="37"/>
    </row>
    <row r="2517" spans="4:9" s="14" customFormat="1" ht="15" customHeight="1">
      <c r="D2517" s="12" t="str">
        <f>IF(C2517&gt;0,(VLOOKUP(C2517,'Blnct AR'!$C$2:$D$2255,2,0))," ")</f>
        <v xml:space="preserve"> </v>
      </c>
      <c r="F2517" s="19"/>
      <c r="G2517" s="19"/>
      <c r="I2517" s="37"/>
    </row>
    <row r="2518" spans="4:9" s="14" customFormat="1" ht="15" customHeight="1">
      <c r="D2518" s="12" t="str">
        <f>IF(C2518&gt;0,(VLOOKUP(C2518,'Blnct AR'!$C$2:$D$2255,2,0))," ")</f>
        <v xml:space="preserve"> </v>
      </c>
      <c r="F2518" s="19"/>
      <c r="G2518" s="19"/>
      <c r="I2518" s="37"/>
    </row>
    <row r="2519" spans="4:9" s="14" customFormat="1" ht="15" customHeight="1">
      <c r="D2519" s="12" t="str">
        <f>IF(C2519&gt;0,(VLOOKUP(C2519,'Blnct AR'!$C$2:$D$2255,2,0))," ")</f>
        <v xml:space="preserve"> </v>
      </c>
      <c r="F2519" s="19"/>
      <c r="G2519" s="19"/>
      <c r="I2519" s="37"/>
    </row>
    <row r="2520" spans="4:9" s="14" customFormat="1" ht="15" customHeight="1">
      <c r="D2520" s="12" t="str">
        <f>IF(C2520&gt;0,(VLOOKUP(C2520,'Blnct AR'!$C$2:$D$2255,2,0))," ")</f>
        <v xml:space="preserve"> </v>
      </c>
      <c r="F2520" s="19"/>
      <c r="G2520" s="19"/>
      <c r="I2520" s="37"/>
    </row>
    <row r="2521" spans="4:9" s="14" customFormat="1" ht="15" customHeight="1">
      <c r="D2521" s="12" t="str">
        <f>IF(C2521&gt;0,(VLOOKUP(C2521,'Blnct AR'!$C$2:$D$2255,2,0))," ")</f>
        <v xml:space="preserve"> </v>
      </c>
      <c r="F2521" s="19"/>
      <c r="G2521" s="19"/>
      <c r="I2521" s="37"/>
    </row>
    <row r="2522" spans="4:9" s="14" customFormat="1" ht="15" customHeight="1">
      <c r="D2522" s="12" t="str">
        <f>IF(C2522&gt;0,(VLOOKUP(C2522,'Blnct AR'!$C$2:$D$2255,2,0))," ")</f>
        <v xml:space="preserve"> </v>
      </c>
      <c r="F2522" s="19"/>
      <c r="G2522" s="19"/>
      <c r="I2522" s="37"/>
    </row>
    <row r="2523" spans="4:9" s="14" customFormat="1" ht="15" customHeight="1">
      <c r="D2523" s="12" t="str">
        <f>IF(C2523&gt;0,(VLOOKUP(C2523,'Blnct AR'!$C$2:$D$2255,2,0))," ")</f>
        <v xml:space="preserve"> </v>
      </c>
      <c r="F2523" s="19"/>
      <c r="G2523" s="19"/>
      <c r="I2523" s="37"/>
    </row>
    <row r="2524" spans="4:9" s="14" customFormat="1" ht="15" customHeight="1">
      <c r="D2524" s="12" t="str">
        <f>IF(C2524&gt;0,(VLOOKUP(C2524,'Blnct AR'!$C$2:$D$2255,2,0))," ")</f>
        <v xml:space="preserve"> </v>
      </c>
      <c r="F2524" s="19"/>
      <c r="G2524" s="19"/>
      <c r="I2524" s="37"/>
    </row>
    <row r="2525" spans="4:9" s="14" customFormat="1" ht="15" customHeight="1">
      <c r="D2525" s="12" t="str">
        <f>IF(C2525&gt;0,(VLOOKUP(C2525,'Blnct AR'!$C$2:$D$2255,2,0))," ")</f>
        <v xml:space="preserve"> </v>
      </c>
      <c r="F2525" s="19"/>
      <c r="G2525" s="19"/>
      <c r="I2525" s="37"/>
    </row>
    <row r="2526" spans="4:9" s="14" customFormat="1" ht="15" customHeight="1">
      <c r="D2526" s="12" t="str">
        <f>IF(C2526&gt;0,(VLOOKUP(C2526,'Blnct AR'!$C$2:$D$2255,2,0))," ")</f>
        <v xml:space="preserve"> </v>
      </c>
      <c r="F2526" s="19"/>
      <c r="G2526" s="19"/>
      <c r="I2526" s="37"/>
    </row>
    <row r="2527" spans="4:9" s="14" customFormat="1" ht="15" customHeight="1">
      <c r="D2527" s="12" t="str">
        <f>IF(C2527&gt;0,(VLOOKUP(C2527,'Blnct AR'!$C$2:$D$2255,2,0))," ")</f>
        <v xml:space="preserve"> </v>
      </c>
      <c r="F2527" s="19"/>
      <c r="G2527" s="19"/>
      <c r="I2527" s="37"/>
    </row>
    <row r="2528" spans="4:9" s="14" customFormat="1" ht="15" customHeight="1">
      <c r="D2528" s="12" t="str">
        <f>IF(C2528&gt;0,(VLOOKUP(C2528,'Blnct AR'!$C$2:$D$2255,2,0))," ")</f>
        <v xml:space="preserve"> </v>
      </c>
      <c r="F2528" s="19"/>
      <c r="G2528" s="19"/>
      <c r="I2528" s="37"/>
    </row>
    <row r="2529" spans="4:9" s="14" customFormat="1" ht="15" customHeight="1">
      <c r="D2529" s="12" t="str">
        <f>IF(C2529&gt;0,(VLOOKUP(C2529,'Blnct AR'!$C$2:$D$2255,2,0))," ")</f>
        <v xml:space="preserve"> </v>
      </c>
      <c r="F2529" s="19"/>
      <c r="G2529" s="19"/>
      <c r="I2529" s="37"/>
    </row>
    <row r="2530" spans="4:9" s="14" customFormat="1" ht="15" customHeight="1">
      <c r="D2530" s="12" t="str">
        <f>IF(C2530&gt;0,(VLOOKUP(C2530,'Blnct AR'!$C$2:$D$2255,2,0))," ")</f>
        <v xml:space="preserve"> </v>
      </c>
      <c r="F2530" s="19"/>
      <c r="G2530" s="19"/>
      <c r="I2530" s="37"/>
    </row>
    <row r="2531" spans="4:9" s="14" customFormat="1" ht="15" customHeight="1">
      <c r="D2531" s="12" t="str">
        <f>IF(C2531&gt;0,(VLOOKUP(C2531,'Blnct AR'!$C$2:$D$2255,2,0))," ")</f>
        <v xml:space="preserve"> </v>
      </c>
      <c r="F2531" s="19"/>
      <c r="G2531" s="19"/>
      <c r="I2531" s="37"/>
    </row>
    <row r="2532" spans="4:9" s="14" customFormat="1" ht="15" customHeight="1">
      <c r="D2532" s="12" t="str">
        <f>IF(C2532&gt;0,(VLOOKUP(C2532,'Blnct AR'!$C$2:$D$2255,2,0))," ")</f>
        <v xml:space="preserve"> </v>
      </c>
      <c r="F2532" s="19"/>
      <c r="G2532" s="19"/>
      <c r="I2532" s="37"/>
    </row>
    <row r="2533" spans="4:9" s="14" customFormat="1" ht="15" customHeight="1">
      <c r="D2533" s="12" t="str">
        <f>IF(C2533&gt;0,(VLOOKUP(C2533,'Blnct AR'!$C$2:$D$2255,2,0))," ")</f>
        <v xml:space="preserve"> </v>
      </c>
      <c r="F2533" s="19"/>
      <c r="G2533" s="19"/>
      <c r="I2533" s="37"/>
    </row>
    <row r="2534" spans="4:9" s="14" customFormat="1" ht="15" customHeight="1">
      <c r="D2534" s="12" t="str">
        <f>IF(C2534&gt;0,(VLOOKUP(C2534,'Blnct AR'!$C$2:$D$2255,2,0))," ")</f>
        <v xml:space="preserve"> </v>
      </c>
      <c r="F2534" s="19"/>
      <c r="G2534" s="19"/>
      <c r="I2534" s="37"/>
    </row>
    <row r="2535" spans="4:9" s="14" customFormat="1" ht="15" customHeight="1">
      <c r="D2535" s="12" t="str">
        <f>IF(C2535&gt;0,(VLOOKUP(C2535,'Blnct AR'!$C$2:$D$2255,2,0))," ")</f>
        <v xml:space="preserve"> </v>
      </c>
      <c r="F2535" s="19"/>
      <c r="G2535" s="19"/>
      <c r="I2535" s="37"/>
    </row>
    <row r="2536" spans="4:9" s="14" customFormat="1" ht="15" customHeight="1">
      <c r="D2536" s="12" t="str">
        <f>IF(C2536&gt;0,(VLOOKUP(C2536,'Blnct AR'!$C$2:$D$2255,2,0))," ")</f>
        <v xml:space="preserve"> </v>
      </c>
      <c r="F2536" s="19"/>
      <c r="G2536" s="19"/>
      <c r="I2536" s="37"/>
    </row>
    <row r="2537" spans="4:9" s="14" customFormat="1" ht="15" customHeight="1">
      <c r="D2537" s="12" t="str">
        <f>IF(C2537&gt;0,(VLOOKUP(C2537,'Blnct AR'!$C$2:$D$2255,2,0))," ")</f>
        <v xml:space="preserve"> </v>
      </c>
      <c r="F2537" s="19"/>
      <c r="G2537" s="19"/>
      <c r="I2537" s="37"/>
    </row>
    <row r="2538" spans="4:9" s="14" customFormat="1" ht="15" customHeight="1">
      <c r="D2538" s="12" t="str">
        <f>IF(C2538&gt;0,(VLOOKUP(C2538,'Blnct AR'!$C$2:$D$2255,2,0))," ")</f>
        <v xml:space="preserve"> </v>
      </c>
      <c r="F2538" s="19"/>
      <c r="G2538" s="19"/>
      <c r="I2538" s="37"/>
    </row>
    <row r="2539" spans="4:9" s="14" customFormat="1" ht="15" customHeight="1">
      <c r="D2539" s="12" t="str">
        <f>IF(C2539&gt;0,(VLOOKUP(C2539,'Blnct AR'!$C$2:$D$2255,2,0))," ")</f>
        <v xml:space="preserve"> </v>
      </c>
      <c r="F2539" s="19"/>
      <c r="G2539" s="19"/>
      <c r="I2539" s="37"/>
    </row>
    <row r="2540" spans="4:9" s="14" customFormat="1" ht="15" customHeight="1">
      <c r="D2540" s="12" t="str">
        <f>IF(C2540&gt;0,(VLOOKUP(C2540,'Blnct AR'!$C$2:$D$2255,2,0))," ")</f>
        <v xml:space="preserve"> </v>
      </c>
      <c r="F2540" s="19"/>
      <c r="G2540" s="19"/>
      <c r="I2540" s="37"/>
    </row>
    <row r="2541" spans="4:9" s="14" customFormat="1" ht="15" customHeight="1">
      <c r="D2541" s="12" t="str">
        <f>IF(C2541&gt;0,(VLOOKUP(C2541,'Blnct AR'!$C$2:$D$2255,2,0))," ")</f>
        <v xml:space="preserve"> </v>
      </c>
      <c r="F2541" s="19"/>
      <c r="G2541" s="19"/>
      <c r="I2541" s="37"/>
    </row>
    <row r="2542" spans="4:9" s="14" customFormat="1" ht="15" customHeight="1">
      <c r="D2542" s="12" t="str">
        <f>IF(C2542&gt;0,(VLOOKUP(C2542,'Blnct AR'!$C$2:$D$2255,2,0))," ")</f>
        <v xml:space="preserve"> </v>
      </c>
      <c r="F2542" s="19"/>
      <c r="G2542" s="19"/>
      <c r="I2542" s="37"/>
    </row>
    <row r="2543" spans="4:9" s="14" customFormat="1" ht="15" customHeight="1">
      <c r="D2543" s="12" t="str">
        <f>IF(C2543&gt;0,(VLOOKUP(C2543,'Blnct AR'!$C$2:$D$2255,2,0))," ")</f>
        <v xml:space="preserve"> </v>
      </c>
      <c r="F2543" s="19"/>
      <c r="G2543" s="19"/>
      <c r="I2543" s="37"/>
    </row>
    <row r="2544" spans="4:9" s="14" customFormat="1" ht="15" customHeight="1">
      <c r="D2544" s="12" t="str">
        <f>IF(C2544&gt;0,(VLOOKUP(C2544,'Blnct AR'!$C$2:$D$2255,2,0))," ")</f>
        <v xml:space="preserve"> </v>
      </c>
      <c r="F2544" s="19"/>
      <c r="G2544" s="19"/>
      <c r="I2544" s="37"/>
    </row>
    <row r="2545" spans="4:9" s="14" customFormat="1" ht="15" customHeight="1">
      <c r="D2545" s="12" t="str">
        <f>IF(C2545&gt;0,(VLOOKUP(C2545,'Blnct AR'!$C$2:$D$2255,2,0))," ")</f>
        <v xml:space="preserve"> </v>
      </c>
      <c r="F2545" s="19"/>
      <c r="G2545" s="19"/>
      <c r="I2545" s="37"/>
    </row>
    <row r="2546" spans="4:9" s="14" customFormat="1" ht="15" customHeight="1">
      <c r="D2546" s="12" t="str">
        <f>IF(C2546&gt;0,(VLOOKUP(C2546,'Blnct AR'!$C$2:$D$2255,2,0))," ")</f>
        <v xml:space="preserve"> </v>
      </c>
      <c r="F2546" s="19"/>
      <c r="G2546" s="19"/>
      <c r="I2546" s="37"/>
    </row>
    <row r="2547" spans="4:9" s="14" customFormat="1" ht="15" customHeight="1">
      <c r="D2547" s="12" t="str">
        <f>IF(C2547&gt;0,(VLOOKUP(C2547,'Blnct AR'!$C$2:$D$2255,2,0))," ")</f>
        <v xml:space="preserve"> </v>
      </c>
      <c r="F2547" s="19"/>
      <c r="G2547" s="19"/>
      <c r="I2547" s="37"/>
    </row>
    <row r="2548" spans="4:9" s="14" customFormat="1" ht="15" customHeight="1">
      <c r="D2548" s="12" t="str">
        <f>IF(C2548&gt;0,(VLOOKUP(C2548,'Blnct AR'!$C$2:$D$2255,2,0))," ")</f>
        <v xml:space="preserve"> </v>
      </c>
      <c r="F2548" s="19"/>
      <c r="G2548" s="19"/>
      <c r="I2548" s="37"/>
    </row>
    <row r="2549" spans="4:9" s="14" customFormat="1" ht="15" customHeight="1">
      <c r="D2549" s="12" t="str">
        <f>IF(C2549&gt;0,(VLOOKUP(C2549,'Blnct AR'!$C$2:$D$2255,2,0))," ")</f>
        <v xml:space="preserve"> </v>
      </c>
      <c r="F2549" s="19"/>
      <c r="G2549" s="19"/>
      <c r="I2549" s="37"/>
    </row>
    <row r="2550" spans="4:9" s="14" customFormat="1" ht="15" customHeight="1">
      <c r="D2550" s="12" t="str">
        <f>IF(C2550&gt;0,(VLOOKUP(C2550,'Blnct AR'!$C$2:$D$2255,2,0))," ")</f>
        <v xml:space="preserve"> </v>
      </c>
      <c r="F2550" s="19"/>
      <c r="G2550" s="19"/>
      <c r="I2550" s="37"/>
    </row>
    <row r="2551" spans="4:9" s="14" customFormat="1" ht="15" customHeight="1">
      <c r="D2551" s="12" t="str">
        <f>IF(C2551&gt;0,(VLOOKUP(C2551,'Blnct AR'!$C$2:$D$2255,2,0))," ")</f>
        <v xml:space="preserve"> </v>
      </c>
      <c r="F2551" s="19"/>
      <c r="G2551" s="19"/>
      <c r="I2551" s="37"/>
    </row>
    <row r="2552" spans="4:9" s="14" customFormat="1" ht="15" customHeight="1">
      <c r="D2552" s="12" t="str">
        <f>IF(C2552&gt;0,(VLOOKUP(C2552,'Blnct AR'!$C$2:$D$2255,2,0))," ")</f>
        <v xml:space="preserve"> </v>
      </c>
      <c r="F2552" s="19"/>
      <c r="G2552" s="19"/>
      <c r="I2552" s="37"/>
    </row>
    <row r="2553" spans="4:9" s="14" customFormat="1" ht="15" customHeight="1">
      <c r="D2553" s="12" t="str">
        <f>IF(C2553&gt;0,(VLOOKUP(C2553,'Blnct AR'!$C$2:$D$2255,2,0))," ")</f>
        <v xml:space="preserve"> </v>
      </c>
      <c r="F2553" s="19"/>
      <c r="G2553" s="19"/>
      <c r="I2553" s="37"/>
    </row>
    <row r="2554" spans="4:9" s="14" customFormat="1" ht="15" customHeight="1">
      <c r="D2554" s="12" t="str">
        <f>IF(C2554&gt;0,(VLOOKUP(C2554,'Blnct AR'!$C$2:$D$2255,2,0))," ")</f>
        <v xml:space="preserve"> </v>
      </c>
      <c r="F2554" s="19"/>
      <c r="G2554" s="19"/>
      <c r="I2554" s="37"/>
    </row>
    <row r="2555" spans="4:9" s="14" customFormat="1" ht="15" customHeight="1">
      <c r="D2555" s="12" t="str">
        <f>IF(C2555&gt;0,(VLOOKUP(C2555,'Blnct AR'!$C$2:$D$2255,2,0))," ")</f>
        <v xml:space="preserve"> </v>
      </c>
      <c r="F2555" s="19"/>
      <c r="G2555" s="19"/>
      <c r="I2555" s="37"/>
    </row>
    <row r="2556" spans="4:9" s="14" customFormat="1" ht="15" customHeight="1">
      <c r="D2556" s="12" t="str">
        <f>IF(C2556&gt;0,(VLOOKUP(C2556,'Blnct AR'!$C$2:$D$2255,2,0))," ")</f>
        <v xml:space="preserve"> </v>
      </c>
      <c r="F2556" s="19"/>
      <c r="G2556" s="19"/>
      <c r="I2556" s="37"/>
    </row>
    <row r="2557" spans="4:9" s="14" customFormat="1" ht="15" customHeight="1">
      <c r="D2557" s="12" t="str">
        <f>IF(C2557&gt;0,(VLOOKUP(C2557,'Blnct AR'!$C$2:$D$2255,2,0))," ")</f>
        <v xml:space="preserve"> </v>
      </c>
      <c r="F2557" s="19"/>
      <c r="G2557" s="19"/>
      <c r="I2557" s="37"/>
    </row>
    <row r="2558" spans="4:9" s="14" customFormat="1" ht="15" customHeight="1">
      <c r="D2558" s="12" t="str">
        <f>IF(C2558&gt;0,(VLOOKUP(C2558,'Blnct AR'!$C$2:$D$2255,2,0))," ")</f>
        <v xml:space="preserve"> </v>
      </c>
      <c r="F2558" s="19"/>
      <c r="G2558" s="19"/>
      <c r="I2558" s="37"/>
    </row>
    <row r="2559" spans="4:9" s="14" customFormat="1" ht="15" customHeight="1">
      <c r="D2559" s="12" t="str">
        <f>IF(C2559&gt;0,(VLOOKUP(C2559,'Blnct AR'!$C$2:$D$2255,2,0))," ")</f>
        <v xml:space="preserve"> </v>
      </c>
      <c r="F2559" s="19"/>
      <c r="G2559" s="19"/>
      <c r="I2559" s="37"/>
    </row>
    <row r="2560" spans="4:9" s="14" customFormat="1" ht="15" customHeight="1">
      <c r="D2560" s="12" t="str">
        <f>IF(C2560&gt;0,(VLOOKUP(C2560,'Blnct AR'!$C$2:$D$2255,2,0))," ")</f>
        <v xml:space="preserve"> </v>
      </c>
      <c r="F2560" s="19"/>
      <c r="G2560" s="19"/>
      <c r="I2560" s="37"/>
    </row>
    <row r="2561" spans="4:9" s="14" customFormat="1" ht="15" customHeight="1">
      <c r="D2561" s="12" t="str">
        <f>IF(C2561&gt;0,(VLOOKUP(C2561,'Blnct AR'!$C$2:$D$2255,2,0))," ")</f>
        <v xml:space="preserve"> </v>
      </c>
      <c r="F2561" s="19"/>
      <c r="G2561" s="19"/>
      <c r="I2561" s="37"/>
    </row>
    <row r="2562" spans="4:9" s="14" customFormat="1" ht="15" customHeight="1">
      <c r="D2562" s="12" t="str">
        <f>IF(C2562&gt;0,(VLOOKUP(C2562,'Blnct AR'!$C$2:$D$2255,2,0))," ")</f>
        <v xml:space="preserve"> </v>
      </c>
      <c r="F2562" s="19"/>
      <c r="G2562" s="19"/>
      <c r="I2562" s="37"/>
    </row>
    <row r="2563" spans="4:9" s="14" customFormat="1" ht="15" customHeight="1">
      <c r="D2563" s="12" t="str">
        <f>IF(C2563&gt;0,(VLOOKUP(C2563,'Blnct AR'!$C$2:$D$2255,2,0))," ")</f>
        <v xml:space="preserve"> </v>
      </c>
      <c r="F2563" s="19"/>
      <c r="G2563" s="19"/>
      <c r="I2563" s="37"/>
    </row>
    <row r="2564" spans="4:9" s="14" customFormat="1" ht="15" customHeight="1">
      <c r="D2564" s="12" t="str">
        <f>IF(C2564&gt;0,(VLOOKUP(C2564,'Blnct AR'!$C$2:$D$2255,2,0))," ")</f>
        <v xml:space="preserve"> </v>
      </c>
      <c r="F2564" s="19"/>
      <c r="G2564" s="19"/>
      <c r="I2564" s="37"/>
    </row>
    <row r="2565" spans="4:9" s="14" customFormat="1" ht="15" customHeight="1">
      <c r="D2565" s="12" t="str">
        <f>IF(C2565&gt;0,(VLOOKUP(C2565,'Blnct AR'!$C$2:$D$2255,2,0))," ")</f>
        <v xml:space="preserve"> </v>
      </c>
      <c r="F2565" s="19"/>
      <c r="G2565" s="19"/>
      <c r="I2565" s="37"/>
    </row>
    <row r="2566" spans="4:9" s="14" customFormat="1" ht="15" customHeight="1">
      <c r="D2566" s="12" t="str">
        <f>IF(C2566&gt;0,(VLOOKUP(C2566,'Blnct AR'!$C$2:$D$2255,2,0))," ")</f>
        <v xml:space="preserve"> </v>
      </c>
      <c r="F2566" s="19"/>
      <c r="G2566" s="19"/>
      <c r="I2566" s="37"/>
    </row>
    <row r="2567" spans="4:9" s="14" customFormat="1" ht="15" customHeight="1">
      <c r="D2567" s="12" t="str">
        <f>IF(C2567&gt;0,(VLOOKUP(C2567,'Blnct AR'!$C$2:$D$2255,2,0))," ")</f>
        <v xml:space="preserve"> </v>
      </c>
      <c r="F2567" s="19"/>
      <c r="G2567" s="19"/>
      <c r="I2567" s="37"/>
    </row>
    <row r="2568" spans="4:9" s="14" customFormat="1" ht="15" customHeight="1">
      <c r="D2568" s="12" t="str">
        <f>IF(C2568&gt;0,(VLOOKUP(C2568,'Blnct AR'!$C$2:$D$2255,2,0))," ")</f>
        <v xml:space="preserve"> </v>
      </c>
      <c r="F2568" s="19"/>
      <c r="G2568" s="19"/>
      <c r="I2568" s="37"/>
    </row>
    <row r="2569" spans="4:9" s="14" customFormat="1" ht="15" customHeight="1">
      <c r="D2569" s="12" t="str">
        <f>IF(C2569&gt;0,(VLOOKUP(C2569,'Blnct AR'!$C$2:$D$2255,2,0))," ")</f>
        <v xml:space="preserve"> </v>
      </c>
      <c r="F2569" s="19"/>
      <c r="G2569" s="19"/>
      <c r="I2569" s="37"/>
    </row>
    <row r="2570" spans="4:9" s="14" customFormat="1" ht="15" customHeight="1">
      <c r="D2570" s="12" t="str">
        <f>IF(C2570&gt;0,(VLOOKUP(C2570,'Blnct AR'!$C$2:$D$2255,2,0))," ")</f>
        <v xml:space="preserve"> </v>
      </c>
      <c r="F2570" s="19"/>
      <c r="G2570" s="19"/>
      <c r="I2570" s="37"/>
    </row>
    <row r="2571" spans="4:9" s="14" customFormat="1" ht="15" customHeight="1">
      <c r="D2571" s="12" t="str">
        <f>IF(C2571&gt;0,(VLOOKUP(C2571,'Blnct AR'!$C$2:$D$2255,2,0))," ")</f>
        <v xml:space="preserve"> </v>
      </c>
      <c r="F2571" s="19"/>
      <c r="G2571" s="19"/>
      <c r="I2571" s="37"/>
    </row>
    <row r="2572" spans="4:9" s="14" customFormat="1" ht="15" customHeight="1">
      <c r="D2572" s="12" t="str">
        <f>IF(C2572&gt;0,(VLOOKUP(C2572,'Blnct AR'!$C$2:$D$2255,2,0))," ")</f>
        <v xml:space="preserve"> </v>
      </c>
      <c r="F2572" s="19"/>
      <c r="G2572" s="19"/>
      <c r="I2572" s="37"/>
    </row>
    <row r="2573" spans="4:9" s="14" customFormat="1" ht="15" customHeight="1">
      <c r="D2573" s="12" t="str">
        <f>IF(C2573&gt;0,(VLOOKUP(C2573,'Blnct AR'!$C$2:$D$2255,2,0))," ")</f>
        <v xml:space="preserve"> </v>
      </c>
      <c r="F2573" s="19"/>
      <c r="G2573" s="19"/>
      <c r="I2573" s="37"/>
    </row>
    <row r="2574" spans="4:9" s="14" customFormat="1" ht="15" customHeight="1">
      <c r="D2574" s="12" t="str">
        <f>IF(C2574&gt;0,(VLOOKUP(C2574,'Blnct AR'!$C$2:$D$2255,2,0))," ")</f>
        <v xml:space="preserve"> </v>
      </c>
      <c r="F2574" s="19"/>
      <c r="G2574" s="19"/>
      <c r="I2574" s="37"/>
    </row>
    <row r="2575" spans="4:9" s="14" customFormat="1" ht="15" customHeight="1">
      <c r="D2575" s="12" t="str">
        <f>IF(C2575&gt;0,(VLOOKUP(C2575,'Blnct AR'!$C$2:$D$2255,2,0))," ")</f>
        <v xml:space="preserve"> </v>
      </c>
      <c r="F2575" s="19"/>
      <c r="G2575" s="19"/>
      <c r="I2575" s="37"/>
    </row>
    <row r="2576" spans="4:9" s="14" customFormat="1" ht="15" customHeight="1">
      <c r="D2576" s="12" t="str">
        <f>IF(C2576&gt;0,(VLOOKUP(C2576,'Blnct AR'!$C$2:$D$2255,2,0))," ")</f>
        <v xml:space="preserve"> </v>
      </c>
      <c r="F2576" s="19"/>
      <c r="G2576" s="19"/>
      <c r="I2576" s="37"/>
    </row>
    <row r="2577" spans="4:9" s="14" customFormat="1" ht="15" customHeight="1">
      <c r="D2577" s="12" t="str">
        <f>IF(C2577&gt;0,(VLOOKUP(C2577,'Blnct AR'!$C$2:$D$2255,2,0))," ")</f>
        <v xml:space="preserve"> </v>
      </c>
      <c r="F2577" s="19"/>
      <c r="G2577" s="19"/>
      <c r="I2577" s="37"/>
    </row>
    <row r="2578" spans="4:9" s="14" customFormat="1" ht="15" customHeight="1">
      <c r="D2578" s="12" t="str">
        <f>IF(C2578&gt;0,(VLOOKUP(C2578,'Blnct AR'!$C$2:$D$2255,2,0))," ")</f>
        <v xml:space="preserve"> </v>
      </c>
      <c r="F2578" s="19"/>
      <c r="G2578" s="19"/>
      <c r="I2578" s="37"/>
    </row>
    <row r="2579" spans="4:9" s="14" customFormat="1" ht="15" customHeight="1">
      <c r="D2579" s="12" t="str">
        <f>IF(C2579&gt;0,(VLOOKUP(C2579,'Blnct AR'!$C$2:$D$2255,2,0))," ")</f>
        <v xml:space="preserve"> </v>
      </c>
      <c r="F2579" s="19"/>
      <c r="G2579" s="19"/>
      <c r="I2579" s="37"/>
    </row>
    <row r="2580" spans="4:9" s="14" customFormat="1" ht="15" customHeight="1">
      <c r="D2580" s="12" t="str">
        <f>IF(C2580&gt;0,(VLOOKUP(C2580,'Blnct AR'!$C$2:$D$2255,2,0))," ")</f>
        <v xml:space="preserve"> </v>
      </c>
      <c r="F2580" s="19"/>
      <c r="G2580" s="19"/>
      <c r="I2580" s="37"/>
    </row>
    <row r="2581" spans="4:9" s="14" customFormat="1" ht="15" customHeight="1">
      <c r="D2581" s="12" t="str">
        <f>IF(C2581&gt;0,(VLOOKUP(C2581,'Blnct AR'!$C$2:$D$2255,2,0))," ")</f>
        <v xml:space="preserve"> </v>
      </c>
      <c r="F2581" s="19"/>
      <c r="G2581" s="19"/>
      <c r="I2581" s="37"/>
    </row>
    <row r="2582" spans="4:9" s="14" customFormat="1" ht="15" customHeight="1">
      <c r="D2582" s="12" t="str">
        <f>IF(C2582&gt;0,(VLOOKUP(C2582,'Blnct AR'!$C$2:$D$2255,2,0))," ")</f>
        <v xml:space="preserve"> </v>
      </c>
      <c r="F2582" s="19"/>
      <c r="G2582" s="19"/>
      <c r="I2582" s="37"/>
    </row>
    <row r="2583" spans="4:9" s="14" customFormat="1" ht="15" customHeight="1">
      <c r="D2583" s="12" t="str">
        <f>IF(C2583&gt;0,(VLOOKUP(C2583,'Blnct AR'!$C$2:$D$2255,2,0))," ")</f>
        <v xml:space="preserve"> </v>
      </c>
      <c r="F2583" s="19"/>
      <c r="G2583" s="19"/>
      <c r="I2583" s="37"/>
    </row>
    <row r="2584" spans="4:9" s="14" customFormat="1" ht="15" customHeight="1">
      <c r="D2584" s="12" t="str">
        <f>IF(C2584&gt;0,(VLOOKUP(C2584,'Blnct AR'!$C$2:$D$2255,2,0))," ")</f>
        <v xml:space="preserve"> </v>
      </c>
      <c r="F2584" s="19"/>
      <c r="G2584" s="19"/>
      <c r="I2584" s="37"/>
    </row>
    <row r="2585" spans="4:9" s="14" customFormat="1" ht="15" customHeight="1">
      <c r="D2585" s="12" t="str">
        <f>IF(C2585&gt;0,(VLOOKUP(C2585,'Blnct AR'!$C$2:$D$2255,2,0))," ")</f>
        <v xml:space="preserve"> </v>
      </c>
      <c r="F2585" s="19"/>
      <c r="G2585" s="19"/>
      <c r="I2585" s="37"/>
    </row>
    <row r="2586" spans="4:9" s="14" customFormat="1" ht="15" customHeight="1">
      <c r="D2586" s="12" t="str">
        <f>IF(C2586&gt;0,(VLOOKUP(C2586,'Blnct AR'!$C$2:$D$2255,2,0))," ")</f>
        <v xml:space="preserve"> </v>
      </c>
      <c r="F2586" s="19"/>
      <c r="G2586" s="19"/>
      <c r="I2586" s="37"/>
    </row>
    <row r="2587" spans="4:9" s="14" customFormat="1" ht="15" customHeight="1">
      <c r="D2587" s="12" t="str">
        <f>IF(C2587&gt;0,(VLOOKUP(C2587,'Blnct AR'!$C$2:$D$2255,2,0))," ")</f>
        <v xml:space="preserve"> </v>
      </c>
      <c r="F2587" s="19"/>
      <c r="G2587" s="19"/>
      <c r="I2587" s="37"/>
    </row>
    <row r="2588" spans="4:9" s="14" customFormat="1" ht="15" customHeight="1">
      <c r="D2588" s="12" t="str">
        <f>IF(C2588&gt;0,(VLOOKUP(C2588,'Blnct AR'!$C$2:$D$2255,2,0))," ")</f>
        <v xml:space="preserve"> </v>
      </c>
      <c r="F2588" s="19"/>
      <c r="G2588" s="19"/>
      <c r="I2588" s="37"/>
    </row>
    <row r="2589" spans="4:9" s="14" customFormat="1" ht="15" customHeight="1">
      <c r="D2589" s="12" t="str">
        <f>IF(C2589&gt;0,(VLOOKUP(C2589,'Blnct AR'!$C$2:$D$2255,2,0))," ")</f>
        <v xml:space="preserve"> </v>
      </c>
      <c r="F2589" s="19"/>
      <c r="G2589" s="19"/>
      <c r="I2589" s="37"/>
    </row>
    <row r="2590" spans="4:9" s="14" customFormat="1" ht="15" customHeight="1">
      <c r="D2590" s="12" t="str">
        <f>IF(C2590&gt;0,(VLOOKUP(C2590,'Blnct AR'!$C$2:$D$2255,2,0))," ")</f>
        <v xml:space="preserve"> </v>
      </c>
      <c r="F2590" s="19"/>
      <c r="G2590" s="19"/>
      <c r="I2590" s="37"/>
    </row>
    <row r="2591" spans="4:9" s="14" customFormat="1" ht="15" customHeight="1">
      <c r="D2591" s="12" t="str">
        <f>IF(C2591&gt;0,(VLOOKUP(C2591,'Blnct AR'!$C$2:$D$2255,2,0))," ")</f>
        <v xml:space="preserve"> </v>
      </c>
      <c r="F2591" s="19"/>
      <c r="G2591" s="19"/>
      <c r="I2591" s="37"/>
    </row>
    <row r="2592" spans="4:9" s="14" customFormat="1" ht="15" customHeight="1">
      <c r="D2592" s="12" t="str">
        <f>IF(C2592&gt;0,(VLOOKUP(C2592,'Blnct AR'!$C$2:$D$2255,2,0))," ")</f>
        <v xml:space="preserve"> </v>
      </c>
      <c r="F2592" s="19"/>
      <c r="G2592" s="19"/>
      <c r="I2592" s="37"/>
    </row>
    <row r="2593" spans="4:9" s="14" customFormat="1" ht="15" customHeight="1">
      <c r="D2593" s="12" t="str">
        <f>IF(C2593&gt;0,(VLOOKUP(C2593,'Blnct AR'!$C$2:$D$2255,2,0))," ")</f>
        <v xml:space="preserve"> </v>
      </c>
      <c r="F2593" s="19"/>
      <c r="G2593" s="19"/>
      <c r="I2593" s="37"/>
    </row>
    <row r="2594" spans="4:9" s="14" customFormat="1" ht="15" customHeight="1">
      <c r="D2594" s="12" t="str">
        <f>IF(C2594&gt;0,(VLOOKUP(C2594,'Blnct AR'!$C$2:$D$2255,2,0))," ")</f>
        <v xml:space="preserve"> </v>
      </c>
      <c r="F2594" s="19"/>
      <c r="G2594" s="19"/>
      <c r="I2594" s="37"/>
    </row>
    <row r="2595" spans="4:9" s="14" customFormat="1" ht="15" customHeight="1">
      <c r="D2595" s="12" t="str">
        <f>IF(C2595&gt;0,(VLOOKUP(C2595,'Blnct AR'!$C$2:$D$2255,2,0))," ")</f>
        <v xml:space="preserve"> </v>
      </c>
      <c r="F2595" s="19"/>
      <c r="G2595" s="19"/>
      <c r="I2595" s="37"/>
    </row>
    <row r="2596" spans="4:9" s="14" customFormat="1" ht="15" customHeight="1">
      <c r="D2596" s="12" t="str">
        <f>IF(C2596&gt;0,(VLOOKUP(C2596,'Blnct AR'!$C$2:$D$2255,2,0))," ")</f>
        <v xml:space="preserve"> </v>
      </c>
      <c r="F2596" s="19"/>
      <c r="G2596" s="19"/>
      <c r="I2596" s="37"/>
    </row>
    <row r="2597" spans="4:9" s="14" customFormat="1" ht="15" customHeight="1">
      <c r="D2597" s="12" t="str">
        <f>IF(C2597&gt;0,(VLOOKUP(C2597,'Blnct AR'!$C$2:$D$2255,2,0))," ")</f>
        <v xml:space="preserve"> </v>
      </c>
      <c r="F2597" s="19"/>
      <c r="G2597" s="19"/>
      <c r="I2597" s="37"/>
    </row>
    <row r="2598" spans="4:9" s="14" customFormat="1" ht="15" customHeight="1">
      <c r="D2598" s="12" t="str">
        <f>IF(C2598&gt;0,(VLOOKUP(C2598,'Blnct AR'!$C$2:$D$2255,2,0))," ")</f>
        <v xml:space="preserve"> </v>
      </c>
      <c r="F2598" s="19"/>
      <c r="G2598" s="19"/>
      <c r="I2598" s="37"/>
    </row>
    <row r="2599" spans="4:9" s="14" customFormat="1" ht="15" customHeight="1">
      <c r="D2599" s="12" t="str">
        <f>IF(C2599&gt;0,(VLOOKUP(C2599,'Blnct AR'!$C$2:$D$2255,2,0))," ")</f>
        <v xml:space="preserve"> </v>
      </c>
      <c r="F2599" s="19"/>
      <c r="G2599" s="19"/>
      <c r="I2599" s="37"/>
    </row>
    <row r="2600" spans="4:9" s="14" customFormat="1" ht="15" customHeight="1">
      <c r="D2600" s="12" t="str">
        <f>IF(C2600&gt;0,(VLOOKUP(C2600,'Blnct AR'!$C$2:$D$2255,2,0))," ")</f>
        <v xml:space="preserve"> </v>
      </c>
      <c r="F2600" s="19"/>
      <c r="G2600" s="19"/>
      <c r="I2600" s="37"/>
    </row>
    <row r="2601" spans="4:9" s="14" customFormat="1" ht="15" customHeight="1">
      <c r="D2601" s="12" t="str">
        <f>IF(C2601&gt;0,(VLOOKUP(C2601,'Blnct AR'!$C$2:$D$2255,2,0))," ")</f>
        <v xml:space="preserve"> </v>
      </c>
      <c r="F2601" s="19"/>
      <c r="G2601" s="19"/>
      <c r="I2601" s="37"/>
    </row>
    <row r="2602" spans="4:9" s="14" customFormat="1" ht="15" customHeight="1">
      <c r="D2602" s="12" t="str">
        <f>IF(C2602&gt;0,(VLOOKUP(C2602,'Blnct AR'!$C$2:$D$2255,2,0))," ")</f>
        <v xml:space="preserve"> </v>
      </c>
      <c r="F2602" s="19"/>
      <c r="G2602" s="19"/>
      <c r="I2602" s="37"/>
    </row>
    <row r="2603" spans="4:9" s="14" customFormat="1" ht="15" customHeight="1">
      <c r="D2603" s="12" t="str">
        <f>IF(C2603&gt;0,(VLOOKUP(C2603,'Blnct AR'!$C$2:$D$2255,2,0))," ")</f>
        <v xml:space="preserve"> </v>
      </c>
      <c r="F2603" s="19"/>
      <c r="G2603" s="19"/>
      <c r="I2603" s="37"/>
    </row>
    <row r="2604" spans="4:9" s="14" customFormat="1" ht="15" customHeight="1">
      <c r="D2604" s="12" t="str">
        <f>IF(C2604&gt;0,(VLOOKUP(C2604,'Blnct AR'!$C$2:$D$2255,2,0))," ")</f>
        <v xml:space="preserve"> </v>
      </c>
      <c r="F2604" s="19"/>
      <c r="G2604" s="19"/>
      <c r="I2604" s="37"/>
    </row>
    <row r="2605" spans="4:9" s="14" customFormat="1" ht="15" customHeight="1">
      <c r="D2605" s="12" t="str">
        <f>IF(C2605&gt;0,(VLOOKUP(C2605,'Blnct AR'!$C$2:$D$2255,2,0))," ")</f>
        <v xml:space="preserve"> </v>
      </c>
      <c r="F2605" s="19"/>
      <c r="G2605" s="19"/>
      <c r="I2605" s="37"/>
    </row>
    <row r="2606" spans="4:9" s="14" customFormat="1" ht="15" customHeight="1">
      <c r="D2606" s="12" t="str">
        <f>IF(C2606&gt;0,(VLOOKUP(C2606,'Blnct AR'!$C$2:$D$2255,2,0))," ")</f>
        <v xml:space="preserve"> </v>
      </c>
      <c r="F2606" s="19"/>
      <c r="G2606" s="19"/>
      <c r="I2606" s="37"/>
    </row>
    <row r="2607" spans="4:9" s="14" customFormat="1" ht="15" customHeight="1">
      <c r="D2607" s="12" t="str">
        <f>IF(C2607&gt;0,(VLOOKUP(C2607,'Blnct AR'!$C$2:$D$2255,2,0))," ")</f>
        <v xml:space="preserve"> </v>
      </c>
      <c r="F2607" s="19"/>
      <c r="G2607" s="19"/>
      <c r="I2607" s="37"/>
    </row>
    <row r="2608" spans="4:9" s="14" customFormat="1" ht="15" customHeight="1">
      <c r="D2608" s="12" t="str">
        <f>IF(C2608&gt;0,(VLOOKUP(C2608,'Blnct AR'!$C$2:$D$2255,2,0))," ")</f>
        <v xml:space="preserve"> </v>
      </c>
      <c r="F2608" s="19"/>
      <c r="G2608" s="19"/>
      <c r="I2608" s="37"/>
    </row>
    <row r="2609" spans="4:9" s="14" customFormat="1" ht="15" customHeight="1">
      <c r="D2609" s="12" t="str">
        <f>IF(C2609&gt;0,(VLOOKUP(C2609,'Blnct AR'!$C$2:$D$2255,2,0))," ")</f>
        <v xml:space="preserve"> </v>
      </c>
      <c r="F2609" s="19"/>
      <c r="G2609" s="19"/>
      <c r="I2609" s="37"/>
    </row>
    <row r="2610" spans="4:9" s="14" customFormat="1" ht="15" customHeight="1">
      <c r="D2610" s="12" t="str">
        <f>IF(C2610&gt;0,(VLOOKUP(C2610,'Blnct AR'!$C$2:$D$2255,2,0))," ")</f>
        <v xml:space="preserve"> </v>
      </c>
      <c r="F2610" s="19"/>
      <c r="G2610" s="19"/>
      <c r="I2610" s="37"/>
    </row>
    <row r="2611" spans="4:9" s="14" customFormat="1" ht="15" customHeight="1">
      <c r="D2611" s="12" t="str">
        <f>IF(C2611&gt;0,(VLOOKUP(C2611,'Blnct AR'!$C$2:$D$2255,2,0))," ")</f>
        <v xml:space="preserve"> </v>
      </c>
      <c r="F2611" s="19"/>
      <c r="G2611" s="19"/>
      <c r="I2611" s="37"/>
    </row>
    <row r="2612" spans="4:9" s="14" customFormat="1" ht="15" customHeight="1">
      <c r="D2612" s="12" t="str">
        <f>IF(C2612&gt;0,(VLOOKUP(C2612,'Blnct AR'!$C$2:$D$2255,2,0))," ")</f>
        <v xml:space="preserve"> </v>
      </c>
      <c r="F2612" s="19"/>
      <c r="G2612" s="19"/>
      <c r="I2612" s="37"/>
    </row>
    <row r="2613" spans="4:9" s="14" customFormat="1" ht="15" customHeight="1">
      <c r="D2613" s="12" t="str">
        <f>IF(C2613&gt;0,(VLOOKUP(C2613,'Blnct AR'!$C$2:$D$2255,2,0))," ")</f>
        <v xml:space="preserve"> </v>
      </c>
      <c r="F2613" s="19"/>
      <c r="G2613" s="19"/>
      <c r="I2613" s="37"/>
    </row>
    <row r="2614" spans="4:9" s="14" customFormat="1" ht="15" customHeight="1">
      <c r="D2614" s="12" t="str">
        <f>IF(C2614&gt;0,(VLOOKUP(C2614,'Blnct AR'!$C$2:$D$2255,2,0))," ")</f>
        <v xml:space="preserve"> </v>
      </c>
      <c r="F2614" s="19"/>
      <c r="G2614" s="19"/>
      <c r="I2614" s="37"/>
    </row>
    <row r="2615" spans="4:9" s="14" customFormat="1" ht="15" customHeight="1">
      <c r="D2615" s="12" t="str">
        <f>IF(C2615&gt;0,(VLOOKUP(C2615,'Blnct AR'!$C$2:$D$2255,2,0))," ")</f>
        <v xml:space="preserve"> </v>
      </c>
      <c r="F2615" s="19"/>
      <c r="G2615" s="19"/>
      <c r="I2615" s="37"/>
    </row>
    <row r="2616" spans="4:9" s="14" customFormat="1" ht="15" customHeight="1">
      <c r="D2616" s="12" t="str">
        <f>IF(C2616&gt;0,(VLOOKUP(C2616,'Blnct AR'!$C$2:$D$2255,2,0))," ")</f>
        <v xml:space="preserve"> </v>
      </c>
      <c r="F2616" s="19"/>
      <c r="G2616" s="19"/>
      <c r="I2616" s="37"/>
    </row>
    <row r="2617" spans="4:9" s="14" customFormat="1" ht="15" customHeight="1">
      <c r="D2617" s="12" t="str">
        <f>IF(C2617&gt;0,(VLOOKUP(C2617,'Blnct AR'!$C$2:$D$2255,2,0))," ")</f>
        <v xml:space="preserve"> </v>
      </c>
      <c r="F2617" s="19"/>
      <c r="G2617" s="19"/>
      <c r="I2617" s="37"/>
    </row>
    <row r="2618" spans="4:9" s="14" customFormat="1" ht="15" customHeight="1">
      <c r="D2618" s="12" t="str">
        <f>IF(C2618&gt;0,(VLOOKUP(C2618,'Blnct AR'!$C$2:$D$2255,2,0))," ")</f>
        <v xml:space="preserve"> </v>
      </c>
      <c r="F2618" s="19"/>
      <c r="G2618" s="19"/>
      <c r="I2618" s="37"/>
    </row>
    <row r="2619" spans="4:9" s="14" customFormat="1" ht="15" customHeight="1">
      <c r="D2619" s="12" t="str">
        <f>IF(C2619&gt;0,(VLOOKUP(C2619,'Blnct AR'!$C$2:$D$2255,2,0))," ")</f>
        <v xml:space="preserve"> </v>
      </c>
      <c r="F2619" s="19"/>
      <c r="G2619" s="19"/>
      <c r="I2619" s="37"/>
    </row>
    <row r="2620" spans="4:9" s="14" customFormat="1" ht="15" customHeight="1">
      <c r="D2620" s="12" t="str">
        <f>IF(C2620&gt;0,(VLOOKUP(C2620,'Blnct AR'!$C$2:$D$2255,2,0))," ")</f>
        <v xml:space="preserve"> </v>
      </c>
      <c r="F2620" s="19"/>
      <c r="G2620" s="19"/>
      <c r="I2620" s="37"/>
    </row>
    <row r="2621" spans="4:9" s="14" customFormat="1" ht="15" customHeight="1">
      <c r="D2621" s="12" t="str">
        <f>IF(C2621&gt;0,(VLOOKUP(C2621,'Blnct AR'!$C$2:$D$2255,2,0))," ")</f>
        <v xml:space="preserve"> </v>
      </c>
      <c r="F2621" s="19"/>
      <c r="G2621" s="19"/>
      <c r="I2621" s="37"/>
    </row>
    <row r="2622" spans="4:9" s="14" customFormat="1" ht="15" customHeight="1">
      <c r="D2622" s="12" t="str">
        <f>IF(C2622&gt;0,(VLOOKUP(C2622,'Blnct AR'!$C$2:$D$2255,2,0))," ")</f>
        <v xml:space="preserve"> </v>
      </c>
      <c r="F2622" s="19"/>
      <c r="G2622" s="19"/>
      <c r="I2622" s="37"/>
    </row>
    <row r="2623" spans="4:9" s="14" customFormat="1" ht="15" customHeight="1">
      <c r="D2623" s="12" t="str">
        <f>IF(C2623&gt;0,(VLOOKUP(C2623,'Blnct AR'!$C$2:$D$2255,2,0))," ")</f>
        <v xml:space="preserve"> </v>
      </c>
      <c r="F2623" s="19"/>
      <c r="G2623" s="19"/>
      <c r="I2623" s="37"/>
    </row>
    <row r="2624" spans="4:9" s="14" customFormat="1" ht="15" customHeight="1">
      <c r="D2624" s="12" t="str">
        <f>IF(C2624&gt;0,(VLOOKUP(C2624,'Blnct AR'!$C$2:$D$2255,2,0))," ")</f>
        <v xml:space="preserve"> </v>
      </c>
      <c r="F2624" s="19"/>
      <c r="G2624" s="19"/>
      <c r="I2624" s="37"/>
    </row>
    <row r="2625" spans="4:9" s="14" customFormat="1" ht="15" customHeight="1">
      <c r="D2625" s="12" t="str">
        <f>IF(C2625&gt;0,(VLOOKUP(C2625,'Blnct AR'!$C$2:$D$2255,2,0))," ")</f>
        <v xml:space="preserve"> </v>
      </c>
      <c r="F2625" s="19"/>
      <c r="G2625" s="19"/>
      <c r="I2625" s="37"/>
    </row>
    <row r="2626" spans="4:9" s="14" customFormat="1" ht="15" customHeight="1">
      <c r="D2626" s="12" t="str">
        <f>IF(C2626&gt;0,(VLOOKUP(C2626,'Blnct AR'!$C$2:$D$2255,2,0))," ")</f>
        <v xml:space="preserve"> </v>
      </c>
      <c r="F2626" s="19"/>
      <c r="G2626" s="19"/>
      <c r="I2626" s="37"/>
    </row>
    <row r="2627" spans="4:9" s="14" customFormat="1" ht="15" customHeight="1">
      <c r="D2627" s="12" t="str">
        <f>IF(C2627&gt;0,(VLOOKUP(C2627,'Blnct AR'!$C$2:$D$2255,2,0))," ")</f>
        <v xml:space="preserve"> </v>
      </c>
      <c r="F2627" s="19"/>
      <c r="G2627" s="19"/>
      <c r="I2627" s="37"/>
    </row>
    <row r="2628" spans="4:9" s="14" customFormat="1" ht="15" customHeight="1">
      <c r="D2628" s="12" t="str">
        <f>IF(C2628&gt;0,(VLOOKUP(C2628,'Blnct AR'!$C$2:$D$2255,2,0))," ")</f>
        <v xml:space="preserve"> </v>
      </c>
      <c r="F2628" s="19"/>
      <c r="G2628" s="19"/>
      <c r="I2628" s="37"/>
    </row>
    <row r="2629" spans="4:9" s="14" customFormat="1" ht="15" customHeight="1">
      <c r="D2629" s="12" t="str">
        <f>IF(C2629&gt;0,(VLOOKUP(C2629,'Blnct AR'!$C$2:$D$2255,2,0))," ")</f>
        <v xml:space="preserve"> </v>
      </c>
      <c r="F2629" s="19"/>
      <c r="G2629" s="19"/>
      <c r="I2629" s="37"/>
    </row>
    <row r="2630" spans="4:9" s="14" customFormat="1" ht="15" customHeight="1">
      <c r="D2630" s="12" t="str">
        <f>IF(C2630&gt;0,(VLOOKUP(C2630,'Blnct AR'!$C$2:$D$2255,2,0))," ")</f>
        <v xml:space="preserve"> </v>
      </c>
      <c r="F2630" s="19"/>
      <c r="G2630" s="19"/>
      <c r="I2630" s="37"/>
    </row>
    <row r="2631" spans="4:9" s="14" customFormat="1" ht="15" customHeight="1">
      <c r="D2631" s="12" t="str">
        <f>IF(C2631&gt;0,(VLOOKUP(C2631,'Blnct AR'!$C$2:$D$2255,2,0))," ")</f>
        <v xml:space="preserve"> </v>
      </c>
      <c r="F2631" s="19"/>
      <c r="G2631" s="19"/>
      <c r="I2631" s="37"/>
    </row>
    <row r="2632" spans="4:9" s="14" customFormat="1" ht="15" customHeight="1">
      <c r="D2632" s="12" t="str">
        <f>IF(C2632&gt;0,(VLOOKUP(C2632,'Blnct AR'!$C$2:$D$2255,2,0))," ")</f>
        <v xml:space="preserve"> </v>
      </c>
      <c r="F2632" s="19"/>
      <c r="G2632" s="19"/>
      <c r="I2632" s="37"/>
    </row>
    <row r="2633" spans="4:9" s="14" customFormat="1" ht="15" customHeight="1">
      <c r="D2633" s="12" t="str">
        <f>IF(C2633&gt;0,(VLOOKUP(C2633,'Blnct AR'!$C$2:$D$2255,2,0))," ")</f>
        <v xml:space="preserve"> </v>
      </c>
      <c r="F2633" s="19"/>
      <c r="G2633" s="19"/>
      <c r="I2633" s="37"/>
    </row>
    <row r="2634" spans="4:9" s="14" customFormat="1" ht="15" customHeight="1">
      <c r="D2634" s="12" t="str">
        <f>IF(C2634&gt;0,(VLOOKUP(C2634,'Blnct AR'!$C$2:$D$2255,2,0))," ")</f>
        <v xml:space="preserve"> </v>
      </c>
      <c r="F2634" s="19"/>
      <c r="G2634" s="19"/>
      <c r="I2634" s="37"/>
    </row>
    <row r="2635" spans="4:9" s="14" customFormat="1" ht="15" customHeight="1">
      <c r="D2635" s="12" t="str">
        <f>IF(C2635&gt;0,(VLOOKUP(C2635,'Blnct AR'!$C$2:$D$2255,2,0))," ")</f>
        <v xml:space="preserve"> </v>
      </c>
      <c r="F2635" s="19"/>
      <c r="G2635" s="19"/>
      <c r="I2635" s="37"/>
    </row>
    <row r="2636" spans="4:9" s="14" customFormat="1" ht="15" customHeight="1">
      <c r="D2636" s="12" t="str">
        <f>IF(C2636&gt;0,(VLOOKUP(C2636,'Blnct AR'!$C$2:$D$2255,2,0))," ")</f>
        <v xml:space="preserve"> </v>
      </c>
      <c r="F2636" s="19"/>
      <c r="G2636" s="19"/>
      <c r="I2636" s="37"/>
    </row>
    <row r="2637" spans="4:9" s="14" customFormat="1" ht="15" customHeight="1">
      <c r="D2637" s="12" t="str">
        <f>IF(C2637&gt;0,(VLOOKUP(C2637,'Blnct AR'!$C$2:$D$2255,2,0))," ")</f>
        <v xml:space="preserve"> </v>
      </c>
      <c r="F2637" s="19"/>
      <c r="G2637" s="19"/>
      <c r="I2637" s="37"/>
    </row>
    <row r="2638" spans="4:9" s="14" customFormat="1" ht="15" customHeight="1">
      <c r="D2638" s="12" t="str">
        <f>IF(C2638&gt;0,(VLOOKUP(C2638,'Blnct AR'!$C$2:$D$2255,2,0))," ")</f>
        <v xml:space="preserve"> </v>
      </c>
      <c r="F2638" s="19"/>
      <c r="G2638" s="19"/>
      <c r="I2638" s="37"/>
    </row>
    <row r="2639" spans="4:9" s="14" customFormat="1" ht="15" customHeight="1">
      <c r="D2639" s="12" t="str">
        <f>IF(C2639&gt;0,(VLOOKUP(C2639,'Blnct AR'!$C$2:$D$2255,2,0))," ")</f>
        <v xml:space="preserve"> </v>
      </c>
      <c r="F2639" s="19"/>
      <c r="G2639" s="19"/>
      <c r="I2639" s="37"/>
    </row>
    <row r="2640" spans="4:9" s="14" customFormat="1" ht="15" customHeight="1">
      <c r="D2640" s="12" t="str">
        <f>IF(C2640&gt;0,(VLOOKUP(C2640,'Blnct AR'!$C$2:$D$2255,2,0))," ")</f>
        <v xml:space="preserve"> </v>
      </c>
      <c r="F2640" s="19"/>
      <c r="G2640" s="19"/>
      <c r="I2640" s="37"/>
    </row>
    <row r="2641" spans="4:9" s="14" customFormat="1" ht="15" customHeight="1">
      <c r="D2641" s="12" t="str">
        <f>IF(C2641&gt;0,(VLOOKUP(C2641,'Blnct AR'!$C$2:$D$2255,2,0))," ")</f>
        <v xml:space="preserve"> </v>
      </c>
      <c r="F2641" s="19"/>
      <c r="G2641" s="19"/>
      <c r="I2641" s="37"/>
    </row>
    <row r="2642" spans="4:9" s="14" customFormat="1" ht="15" customHeight="1">
      <c r="D2642" s="12" t="str">
        <f>IF(C2642&gt;0,(VLOOKUP(C2642,'Blnct AR'!$C$2:$D$2255,2,0))," ")</f>
        <v xml:space="preserve"> </v>
      </c>
      <c r="F2642" s="19"/>
      <c r="G2642" s="19"/>
      <c r="I2642" s="37"/>
    </row>
    <row r="2643" spans="4:9" s="14" customFormat="1" ht="15" customHeight="1">
      <c r="D2643" s="12" t="str">
        <f>IF(C2643&gt;0,(VLOOKUP(C2643,'Blnct AR'!$C$2:$D$2255,2,0))," ")</f>
        <v xml:space="preserve"> </v>
      </c>
      <c r="F2643" s="19"/>
      <c r="G2643" s="19"/>
      <c r="I2643" s="37"/>
    </row>
    <row r="2644" spans="4:9" s="14" customFormat="1" ht="15" customHeight="1">
      <c r="D2644" s="12" t="str">
        <f>IF(C2644&gt;0,(VLOOKUP(C2644,'Blnct AR'!$C$2:$D$2255,2,0))," ")</f>
        <v xml:space="preserve"> </v>
      </c>
      <c r="F2644" s="19"/>
      <c r="G2644" s="19"/>
      <c r="I2644" s="37"/>
    </row>
    <row r="2645" spans="4:9" s="14" customFormat="1" ht="15" customHeight="1">
      <c r="D2645" s="12" t="str">
        <f>IF(C2645&gt;0,(VLOOKUP(C2645,'Blnct AR'!$C$2:$D$2255,2,0))," ")</f>
        <v xml:space="preserve"> </v>
      </c>
      <c r="F2645" s="19"/>
      <c r="G2645" s="19"/>
      <c r="I2645" s="37"/>
    </row>
    <row r="2646" spans="4:9" s="14" customFormat="1" ht="15" customHeight="1">
      <c r="D2646" s="12" t="str">
        <f>IF(C2646&gt;0,(VLOOKUP(C2646,'Blnct AR'!$C$2:$D$2255,2,0))," ")</f>
        <v xml:space="preserve"> </v>
      </c>
      <c r="F2646" s="19"/>
      <c r="G2646" s="19"/>
      <c r="I2646" s="37"/>
    </row>
    <row r="2647" spans="4:9" s="14" customFormat="1" ht="15" customHeight="1">
      <c r="D2647" s="12" t="str">
        <f>IF(C2647&gt;0,(VLOOKUP(C2647,'Blnct AR'!$C$2:$D$2255,2,0))," ")</f>
        <v xml:space="preserve"> </v>
      </c>
      <c r="F2647" s="19"/>
      <c r="G2647" s="19"/>
      <c r="I2647" s="37"/>
    </row>
    <row r="2648" spans="4:9" s="14" customFormat="1" ht="15" customHeight="1">
      <c r="D2648" s="12" t="str">
        <f>IF(C2648&gt;0,(VLOOKUP(C2648,'Blnct AR'!$C$2:$D$2255,2,0))," ")</f>
        <v xml:space="preserve"> </v>
      </c>
      <c r="F2648" s="19"/>
      <c r="G2648" s="19"/>
      <c r="I2648" s="37"/>
    </row>
    <row r="2649" spans="4:9" s="14" customFormat="1" ht="15" customHeight="1">
      <c r="D2649" s="12" t="str">
        <f>IF(C2649&gt;0,(VLOOKUP(C2649,'Blnct AR'!$C$2:$D$2255,2,0))," ")</f>
        <v xml:space="preserve"> </v>
      </c>
      <c r="F2649" s="19"/>
      <c r="G2649" s="19"/>
      <c r="I2649" s="37"/>
    </row>
    <row r="2650" spans="4:9" s="14" customFormat="1" ht="15" customHeight="1">
      <c r="D2650" s="12" t="str">
        <f>IF(C2650&gt;0,(VLOOKUP(C2650,'Blnct AR'!$C$2:$D$2255,2,0))," ")</f>
        <v xml:space="preserve"> </v>
      </c>
      <c r="F2650" s="19"/>
      <c r="G2650" s="19"/>
      <c r="I2650" s="37"/>
    </row>
    <row r="2651" spans="4:9" s="14" customFormat="1" ht="15" customHeight="1">
      <c r="D2651" s="12" t="str">
        <f>IF(C2651&gt;0,(VLOOKUP(C2651,'Blnct AR'!$C$2:$D$2255,2,0))," ")</f>
        <v xml:space="preserve"> </v>
      </c>
      <c r="F2651" s="19"/>
      <c r="G2651" s="19"/>
      <c r="I2651" s="37"/>
    </row>
    <row r="2652" spans="4:9" s="14" customFormat="1" ht="15" customHeight="1">
      <c r="D2652" s="12" t="str">
        <f>IF(C2652&gt;0,(VLOOKUP(C2652,'Blnct AR'!$C$2:$D$2255,2,0))," ")</f>
        <v xml:space="preserve"> </v>
      </c>
      <c r="F2652" s="19"/>
      <c r="G2652" s="19"/>
      <c r="I2652" s="37"/>
    </row>
    <row r="2653" spans="4:9" s="14" customFormat="1" ht="15" customHeight="1">
      <c r="D2653" s="12" t="str">
        <f>IF(C2653&gt;0,(VLOOKUP(C2653,'Blnct AR'!$C$2:$D$2255,2,0))," ")</f>
        <v xml:space="preserve"> </v>
      </c>
      <c r="F2653" s="19"/>
      <c r="G2653" s="19"/>
      <c r="I2653" s="37"/>
    </row>
    <row r="2654" spans="4:9" s="14" customFormat="1" ht="15" customHeight="1">
      <c r="D2654" s="12" t="str">
        <f>IF(C2654&gt;0,(VLOOKUP(C2654,'Blnct AR'!$C$2:$D$2255,2,0))," ")</f>
        <v xml:space="preserve"> </v>
      </c>
      <c r="F2654" s="19"/>
      <c r="G2654" s="19"/>
      <c r="I2654" s="37"/>
    </row>
    <row r="2655" spans="4:9" s="14" customFormat="1" ht="15" customHeight="1">
      <c r="D2655" s="12" t="str">
        <f>IF(C2655&gt;0,(VLOOKUP(C2655,'Blnct AR'!$C$2:$D$2255,2,0))," ")</f>
        <v xml:space="preserve"> </v>
      </c>
      <c r="F2655" s="19"/>
      <c r="G2655" s="19"/>
      <c r="I2655" s="37"/>
    </row>
    <row r="2656" spans="4:9" s="14" customFormat="1" ht="15" customHeight="1">
      <c r="D2656" s="12" t="str">
        <f>IF(C2656&gt;0,(VLOOKUP(C2656,'Blnct AR'!$C$2:$D$2255,2,0))," ")</f>
        <v xml:space="preserve"> </v>
      </c>
      <c r="F2656" s="19"/>
      <c r="G2656" s="19"/>
      <c r="I2656" s="37"/>
    </row>
    <row r="2657" spans="4:9" s="14" customFormat="1" ht="15" customHeight="1">
      <c r="D2657" s="12" t="str">
        <f>IF(C2657&gt;0,(VLOOKUP(C2657,'Blnct AR'!$C$2:$D$2255,2,0))," ")</f>
        <v xml:space="preserve"> </v>
      </c>
      <c r="F2657" s="19"/>
      <c r="G2657" s="19"/>
      <c r="I2657" s="37"/>
    </row>
    <row r="2658" spans="4:9" s="14" customFormat="1" ht="15" customHeight="1">
      <c r="D2658" s="12" t="str">
        <f>IF(C2658&gt;0,(VLOOKUP(C2658,'Blnct AR'!$C$2:$D$2255,2,0))," ")</f>
        <v xml:space="preserve"> </v>
      </c>
      <c r="F2658" s="19"/>
      <c r="G2658" s="19"/>
      <c r="I2658" s="37"/>
    </row>
    <row r="2659" spans="4:9" s="14" customFormat="1" ht="15" customHeight="1">
      <c r="D2659" s="12" t="str">
        <f>IF(C2659&gt;0,(VLOOKUP(C2659,'Blnct AR'!$C$2:$D$2255,2,0))," ")</f>
        <v xml:space="preserve"> </v>
      </c>
      <c r="F2659" s="19"/>
      <c r="G2659" s="19"/>
      <c r="I2659" s="37"/>
    </row>
    <row r="2660" spans="4:9" s="14" customFormat="1" ht="15" customHeight="1">
      <c r="D2660" s="12" t="str">
        <f>IF(C2660&gt;0,(VLOOKUP(C2660,'Blnct AR'!$C$2:$D$2255,2,0))," ")</f>
        <v xml:space="preserve"> </v>
      </c>
      <c r="F2660" s="19"/>
      <c r="G2660" s="19"/>
      <c r="I2660" s="37"/>
    </row>
    <row r="2661" spans="4:9" s="14" customFormat="1" ht="15" customHeight="1">
      <c r="D2661" s="12" t="str">
        <f>IF(C2661&gt;0,(VLOOKUP(C2661,'Blnct AR'!$C$2:$D$2255,2,0))," ")</f>
        <v xml:space="preserve"> </v>
      </c>
      <c r="F2661" s="19"/>
      <c r="G2661" s="19"/>
      <c r="I2661" s="37"/>
    </row>
    <row r="2662" spans="4:9" s="14" customFormat="1" ht="15" customHeight="1">
      <c r="D2662" s="12" t="str">
        <f>IF(C2662&gt;0,(VLOOKUP(C2662,'Blnct AR'!$C$2:$D$2255,2,0))," ")</f>
        <v xml:space="preserve"> </v>
      </c>
      <c r="F2662" s="19"/>
      <c r="G2662" s="19"/>
      <c r="I2662" s="37"/>
    </row>
    <row r="2663" spans="4:9" s="14" customFormat="1" ht="15" customHeight="1">
      <c r="D2663" s="12" t="str">
        <f>IF(C2663&gt;0,(VLOOKUP(C2663,'Blnct AR'!$C$2:$D$2255,2,0))," ")</f>
        <v xml:space="preserve"> </v>
      </c>
      <c r="F2663" s="19"/>
      <c r="G2663" s="19"/>
      <c r="I2663" s="37"/>
    </row>
    <row r="2664" spans="4:9" s="14" customFormat="1" ht="15" customHeight="1">
      <c r="D2664" s="12" t="str">
        <f>IF(C2664&gt;0,(VLOOKUP(C2664,'Blnct AR'!$C$2:$D$2255,2,0))," ")</f>
        <v xml:space="preserve"> </v>
      </c>
      <c r="F2664" s="19"/>
      <c r="G2664" s="19"/>
      <c r="I2664" s="37"/>
    </row>
    <row r="2665" spans="4:9" s="14" customFormat="1" ht="15" customHeight="1">
      <c r="D2665" s="12" t="str">
        <f>IF(C2665&gt;0,(VLOOKUP(C2665,'Blnct AR'!$C$2:$D$2255,2,0))," ")</f>
        <v xml:space="preserve"> </v>
      </c>
      <c r="F2665" s="19"/>
      <c r="G2665" s="19"/>
      <c r="I2665" s="37"/>
    </row>
    <row r="2666" spans="4:9" s="14" customFormat="1" ht="15" customHeight="1">
      <c r="D2666" s="12" t="str">
        <f>IF(C2666&gt;0,(VLOOKUP(C2666,'Blnct AR'!$C$2:$D$2255,2,0))," ")</f>
        <v xml:space="preserve"> </v>
      </c>
      <c r="F2666" s="19"/>
      <c r="G2666" s="19"/>
      <c r="I2666" s="37"/>
    </row>
    <row r="2667" spans="4:9" s="14" customFormat="1" ht="15" customHeight="1">
      <c r="D2667" s="12" t="str">
        <f>IF(C2667&gt;0,(VLOOKUP(C2667,'Blnct AR'!$C$2:$D$2255,2,0))," ")</f>
        <v xml:space="preserve"> </v>
      </c>
      <c r="F2667" s="19"/>
      <c r="G2667" s="19"/>
      <c r="I2667" s="37"/>
    </row>
    <row r="2668" spans="4:9" s="14" customFormat="1" ht="15" customHeight="1">
      <c r="D2668" s="12" t="str">
        <f>IF(C2668&gt;0,(VLOOKUP(C2668,'Blnct AR'!$C$2:$D$2255,2,0))," ")</f>
        <v xml:space="preserve"> </v>
      </c>
      <c r="F2668" s="19"/>
      <c r="G2668" s="19"/>
      <c r="I2668" s="37"/>
    </row>
    <row r="2669" spans="4:9" s="14" customFormat="1" ht="15" customHeight="1">
      <c r="D2669" s="12" t="str">
        <f>IF(C2669&gt;0,(VLOOKUP(C2669,'Blnct AR'!$C$2:$D$2255,2,0))," ")</f>
        <v xml:space="preserve"> </v>
      </c>
      <c r="F2669" s="19"/>
      <c r="G2669" s="19"/>
      <c r="I2669" s="37"/>
    </row>
    <row r="2670" spans="4:9" s="14" customFormat="1" ht="15" customHeight="1">
      <c r="D2670" s="12" t="str">
        <f>IF(C2670&gt;0,(VLOOKUP(C2670,'Blnct AR'!$C$2:$D$2255,2,0))," ")</f>
        <v xml:space="preserve"> </v>
      </c>
      <c r="F2670" s="19"/>
      <c r="G2670" s="19"/>
      <c r="I2670" s="37"/>
    </row>
    <row r="2671" spans="4:9" s="14" customFormat="1" ht="15" customHeight="1">
      <c r="D2671" s="12" t="str">
        <f>IF(C2671&gt;0,(VLOOKUP(C2671,'Blnct AR'!$C$2:$D$2255,2,0))," ")</f>
        <v xml:space="preserve"> </v>
      </c>
      <c r="F2671" s="19"/>
      <c r="G2671" s="19"/>
      <c r="I2671" s="37"/>
    </row>
    <row r="2672" spans="4:9" s="14" customFormat="1" ht="15" customHeight="1">
      <c r="D2672" s="12" t="str">
        <f>IF(C2672&gt;0,(VLOOKUP(C2672,'Blnct AR'!$C$2:$D$2255,2,0))," ")</f>
        <v xml:space="preserve"> </v>
      </c>
      <c r="F2672" s="19"/>
      <c r="G2672" s="19"/>
      <c r="I2672" s="37"/>
    </row>
    <row r="2673" spans="4:9" s="14" customFormat="1" ht="15" customHeight="1">
      <c r="D2673" s="12" t="str">
        <f>IF(C2673&gt;0,(VLOOKUP(C2673,'Blnct AR'!$C$2:$D$2255,2,0))," ")</f>
        <v xml:space="preserve"> </v>
      </c>
      <c r="F2673" s="19"/>
      <c r="G2673" s="19"/>
      <c r="I2673" s="37"/>
    </row>
    <row r="2674" spans="4:9" s="14" customFormat="1" ht="15" customHeight="1">
      <c r="D2674" s="12" t="str">
        <f>IF(C2674&gt;0,(VLOOKUP(C2674,'Blnct AR'!$C$2:$D$2255,2,0))," ")</f>
        <v xml:space="preserve"> </v>
      </c>
      <c r="F2674" s="19"/>
      <c r="G2674" s="19"/>
      <c r="I2674" s="37"/>
    </row>
    <row r="2675" spans="4:9" s="14" customFormat="1" ht="15" customHeight="1">
      <c r="D2675" s="12" t="str">
        <f>IF(C2675&gt;0,(VLOOKUP(C2675,'Blnct AR'!$C$2:$D$2255,2,0))," ")</f>
        <v xml:space="preserve"> </v>
      </c>
      <c r="F2675" s="19"/>
      <c r="G2675" s="19"/>
      <c r="I2675" s="37"/>
    </row>
    <row r="2676" spans="4:9" s="14" customFormat="1" ht="15" customHeight="1">
      <c r="D2676" s="12" t="str">
        <f>IF(C2676&gt;0,(VLOOKUP(C2676,'Blnct AR'!$C$2:$D$2255,2,0))," ")</f>
        <v xml:space="preserve"> </v>
      </c>
      <c r="F2676" s="19"/>
      <c r="G2676" s="19"/>
      <c r="I2676" s="37"/>
    </row>
    <row r="2677" spans="4:9" s="14" customFormat="1" ht="15" customHeight="1">
      <c r="D2677" s="12" t="str">
        <f>IF(C2677&gt;0,(VLOOKUP(C2677,'Blnct AR'!$C$2:$D$2255,2,0))," ")</f>
        <v xml:space="preserve"> </v>
      </c>
      <c r="F2677" s="19"/>
      <c r="G2677" s="19"/>
      <c r="I2677" s="37"/>
    </row>
    <row r="2678" spans="4:9" s="14" customFormat="1" ht="15" customHeight="1">
      <c r="D2678" s="12" t="str">
        <f>IF(C2678&gt;0,(VLOOKUP(C2678,'Blnct AR'!$C$2:$D$2255,2,0))," ")</f>
        <v xml:space="preserve"> </v>
      </c>
      <c r="F2678" s="19"/>
      <c r="G2678" s="19"/>
      <c r="I2678" s="37"/>
    </row>
    <row r="2679" spans="4:9" s="14" customFormat="1" ht="15" customHeight="1">
      <c r="D2679" s="12" t="str">
        <f>IF(C2679&gt;0,(VLOOKUP(C2679,'Blnct AR'!$C$2:$D$2255,2,0))," ")</f>
        <v xml:space="preserve"> </v>
      </c>
      <c r="F2679" s="19"/>
      <c r="G2679" s="19"/>
      <c r="I2679" s="37"/>
    </row>
    <row r="2680" spans="4:9" s="14" customFormat="1" ht="15" customHeight="1">
      <c r="D2680" s="12" t="str">
        <f>IF(C2680&gt;0,(VLOOKUP(C2680,'Blnct AR'!$C$2:$D$2255,2,0))," ")</f>
        <v xml:space="preserve"> </v>
      </c>
      <c r="F2680" s="19"/>
      <c r="G2680" s="19"/>
      <c r="I2680" s="37"/>
    </row>
    <row r="2681" spans="4:9" s="14" customFormat="1" ht="15" customHeight="1">
      <c r="D2681" s="12" t="str">
        <f>IF(C2681&gt;0,(VLOOKUP(C2681,'Blnct AR'!$C$2:$D$2255,2,0))," ")</f>
        <v xml:space="preserve"> </v>
      </c>
      <c r="F2681" s="19"/>
      <c r="G2681" s="19"/>
      <c r="I2681" s="37"/>
    </row>
    <row r="2682" spans="4:9" s="14" customFormat="1" ht="15" customHeight="1">
      <c r="D2682" s="12" t="str">
        <f>IF(C2682&gt;0,(VLOOKUP(C2682,'Blnct AR'!$C$2:$D$2255,2,0))," ")</f>
        <v xml:space="preserve"> </v>
      </c>
      <c r="F2682" s="19"/>
      <c r="G2682" s="19"/>
      <c r="I2682" s="37"/>
    </row>
    <row r="2683" spans="4:9" s="14" customFormat="1" ht="15" customHeight="1">
      <c r="D2683" s="12" t="str">
        <f>IF(C2683&gt;0,(VLOOKUP(C2683,'Blnct AR'!$C$2:$D$2255,2,0))," ")</f>
        <v xml:space="preserve"> </v>
      </c>
      <c r="F2683" s="19"/>
      <c r="G2683" s="19"/>
      <c r="I2683" s="37"/>
    </row>
    <row r="2684" spans="4:9" s="14" customFormat="1" ht="15" customHeight="1">
      <c r="D2684" s="12" t="str">
        <f>IF(C2684&gt;0,(VLOOKUP(C2684,'Blnct AR'!$C$2:$D$2255,2,0))," ")</f>
        <v xml:space="preserve"> </v>
      </c>
      <c r="F2684" s="19"/>
      <c r="G2684" s="19"/>
      <c r="I2684" s="37"/>
    </row>
    <row r="2685" spans="4:9" s="14" customFormat="1" ht="15" customHeight="1">
      <c r="D2685" s="12" t="str">
        <f>IF(C2685&gt;0,(VLOOKUP(C2685,'Blnct AR'!$C$2:$D$2255,2,0))," ")</f>
        <v xml:space="preserve"> </v>
      </c>
      <c r="F2685" s="19"/>
      <c r="G2685" s="19"/>
      <c r="I2685" s="37"/>
    </row>
    <row r="2686" spans="4:9" s="14" customFormat="1" ht="15" customHeight="1">
      <c r="D2686" s="12" t="str">
        <f>IF(C2686&gt;0,(VLOOKUP(C2686,'Blnct AR'!$C$2:$D$2255,2,0))," ")</f>
        <v xml:space="preserve"> </v>
      </c>
      <c r="F2686" s="19"/>
      <c r="G2686" s="19"/>
      <c r="I2686" s="37"/>
    </row>
    <row r="2687" spans="4:9" s="14" customFormat="1" ht="15" customHeight="1">
      <c r="D2687" s="12" t="str">
        <f>IF(C2687&gt;0,(VLOOKUP(C2687,'Blnct AR'!$C$2:$D$2255,2,0))," ")</f>
        <v xml:space="preserve"> </v>
      </c>
      <c r="F2687" s="19"/>
      <c r="G2687" s="19"/>
      <c r="I2687" s="37"/>
    </row>
    <row r="2688" spans="4:9" s="14" customFormat="1" ht="15" customHeight="1">
      <c r="D2688" s="12" t="str">
        <f>IF(C2688&gt;0,(VLOOKUP(C2688,'Blnct AR'!$C$2:$D$2255,2,0))," ")</f>
        <v xml:space="preserve"> </v>
      </c>
      <c r="F2688" s="19"/>
      <c r="G2688" s="19"/>
      <c r="I2688" s="37"/>
    </row>
    <row r="2689" spans="4:9" s="14" customFormat="1" ht="15" customHeight="1">
      <c r="D2689" s="12" t="str">
        <f>IF(C2689&gt;0,(VLOOKUP(C2689,'Blnct AR'!$C$2:$D$2255,2,0))," ")</f>
        <v xml:space="preserve"> </v>
      </c>
      <c r="F2689" s="19"/>
      <c r="G2689" s="19"/>
      <c r="I2689" s="37"/>
    </row>
    <row r="2690" spans="4:9" s="14" customFormat="1" ht="15" customHeight="1">
      <c r="D2690" s="12" t="str">
        <f>IF(C2690&gt;0,(VLOOKUP(C2690,'Blnct AR'!$C$2:$D$2255,2,0))," ")</f>
        <v xml:space="preserve"> </v>
      </c>
      <c r="F2690" s="19"/>
      <c r="G2690" s="19"/>
      <c r="I2690" s="37"/>
    </row>
    <row r="2691" spans="4:9" s="14" customFormat="1" ht="15" customHeight="1">
      <c r="D2691" s="12" t="str">
        <f>IF(C2691&gt;0,(VLOOKUP(C2691,'Blnct AR'!$C$2:$D$2255,2,0))," ")</f>
        <v xml:space="preserve"> </v>
      </c>
      <c r="F2691" s="19"/>
      <c r="G2691" s="19"/>
      <c r="I2691" s="37"/>
    </row>
    <row r="2692" spans="4:9" s="14" customFormat="1" ht="15" customHeight="1">
      <c r="D2692" s="12" t="str">
        <f>IF(C2692&gt;0,(VLOOKUP(C2692,'Blnct AR'!$C$2:$D$2255,2,0))," ")</f>
        <v xml:space="preserve"> </v>
      </c>
      <c r="F2692" s="19"/>
      <c r="G2692" s="19"/>
      <c r="I2692" s="37"/>
    </row>
    <row r="2693" spans="4:9" s="14" customFormat="1" ht="15" customHeight="1">
      <c r="D2693" s="12" t="str">
        <f>IF(C2693&gt;0,(VLOOKUP(C2693,'Blnct AR'!$C$2:$D$2255,2,0))," ")</f>
        <v xml:space="preserve"> </v>
      </c>
      <c r="F2693" s="19"/>
      <c r="G2693" s="19"/>
      <c r="I2693" s="37"/>
    </row>
    <row r="2694" spans="4:9" s="14" customFormat="1" ht="15" customHeight="1">
      <c r="D2694" s="12" t="str">
        <f>IF(C2694&gt;0,(VLOOKUP(C2694,'Blnct AR'!$C$2:$D$2255,2,0))," ")</f>
        <v xml:space="preserve"> </v>
      </c>
      <c r="F2694" s="19"/>
      <c r="G2694" s="19"/>
      <c r="I2694" s="37"/>
    </row>
    <row r="2695" spans="4:9" s="14" customFormat="1" ht="15" customHeight="1">
      <c r="D2695" s="12" t="str">
        <f>IF(C2695&gt;0,(VLOOKUP(C2695,'Blnct AR'!$C$2:$D$2255,2,0))," ")</f>
        <v xml:space="preserve"> </v>
      </c>
      <c r="F2695" s="19"/>
      <c r="G2695" s="19"/>
      <c r="I2695" s="37"/>
    </row>
    <row r="2696" spans="4:9" s="14" customFormat="1" ht="15" customHeight="1">
      <c r="D2696" s="12" t="str">
        <f>IF(C2696&gt;0,(VLOOKUP(C2696,'Blnct AR'!$C$2:$D$2255,2,0))," ")</f>
        <v xml:space="preserve"> </v>
      </c>
      <c r="F2696" s="19"/>
      <c r="G2696" s="19"/>
      <c r="I2696" s="37"/>
    </row>
    <row r="2697" spans="4:9" s="14" customFormat="1" ht="15" customHeight="1">
      <c r="D2697" s="12" t="str">
        <f>IF(C2697&gt;0,(VLOOKUP(C2697,'Blnct AR'!$C$2:$D$2255,2,0))," ")</f>
        <v xml:space="preserve"> </v>
      </c>
      <c r="F2697" s="19"/>
      <c r="G2697" s="19"/>
      <c r="I2697" s="37"/>
    </row>
    <row r="2698" spans="4:9" s="14" customFormat="1" ht="15" customHeight="1">
      <c r="D2698" s="12" t="str">
        <f>IF(C2698&gt;0,(VLOOKUP(C2698,'Blnct AR'!$C$2:$D$2255,2,0))," ")</f>
        <v xml:space="preserve"> </v>
      </c>
      <c r="F2698" s="19"/>
      <c r="G2698" s="19"/>
      <c r="I2698" s="37"/>
    </row>
    <row r="2699" spans="4:9" s="14" customFormat="1" ht="15" customHeight="1">
      <c r="D2699" s="12" t="str">
        <f>IF(C2699&gt;0,(VLOOKUP(C2699,'Blnct AR'!$C$2:$D$2255,2,0))," ")</f>
        <v xml:space="preserve"> </v>
      </c>
      <c r="F2699" s="19"/>
      <c r="G2699" s="19"/>
      <c r="I2699" s="37"/>
    </row>
    <row r="2700" spans="4:9" s="14" customFormat="1" ht="15" customHeight="1">
      <c r="D2700" s="12" t="str">
        <f>IF(C2700&gt;0,(VLOOKUP(C2700,'Blnct AR'!$C$2:$D$2255,2,0))," ")</f>
        <v xml:space="preserve"> </v>
      </c>
      <c r="F2700" s="19"/>
      <c r="G2700" s="19"/>
      <c r="I2700" s="37"/>
    </row>
    <row r="2701" spans="4:9" s="14" customFormat="1" ht="15" customHeight="1">
      <c r="D2701" s="12" t="str">
        <f>IF(C2701&gt;0,(VLOOKUP(C2701,'Blnct AR'!$C$2:$D$2255,2,0))," ")</f>
        <v xml:space="preserve"> </v>
      </c>
      <c r="F2701" s="19"/>
      <c r="G2701" s="19"/>
      <c r="I2701" s="37"/>
    </row>
    <row r="2702" spans="4:9" s="14" customFormat="1" ht="15" customHeight="1">
      <c r="D2702" s="12" t="str">
        <f>IF(C2702&gt;0,(VLOOKUP(C2702,'Blnct AR'!$C$2:$D$2255,2,0))," ")</f>
        <v xml:space="preserve"> </v>
      </c>
      <c r="F2702" s="19"/>
      <c r="G2702" s="19"/>
      <c r="I2702" s="37"/>
    </row>
    <row r="2703" spans="4:9" s="14" customFormat="1" ht="15" customHeight="1">
      <c r="D2703" s="12" t="str">
        <f>IF(C2703&gt;0,(VLOOKUP(C2703,'Blnct AR'!$C$2:$D$2255,2,0))," ")</f>
        <v xml:space="preserve"> </v>
      </c>
      <c r="F2703" s="19"/>
      <c r="G2703" s="19"/>
      <c r="I2703" s="37"/>
    </row>
    <row r="2704" spans="4:9" s="14" customFormat="1" ht="15" customHeight="1">
      <c r="D2704" s="12" t="str">
        <f>IF(C2704&gt;0,(VLOOKUP(C2704,'Blnct AR'!$C$2:$D$2255,2,0))," ")</f>
        <v xml:space="preserve"> </v>
      </c>
      <c r="F2704" s="19"/>
      <c r="G2704" s="19"/>
      <c r="I2704" s="37"/>
    </row>
    <row r="2705" spans="4:9" s="14" customFormat="1" ht="15" customHeight="1">
      <c r="D2705" s="12" t="str">
        <f>IF(C2705&gt;0,(VLOOKUP(C2705,'Blnct AR'!$C$2:$D$2255,2,0))," ")</f>
        <v xml:space="preserve"> </v>
      </c>
      <c r="F2705" s="19"/>
      <c r="G2705" s="19"/>
      <c r="I2705" s="37"/>
    </row>
    <row r="2706" spans="4:9" s="14" customFormat="1" ht="15" customHeight="1">
      <c r="D2706" s="12" t="str">
        <f>IF(C2706&gt;0,(VLOOKUP(C2706,'Blnct AR'!$C$2:$D$2255,2,0))," ")</f>
        <v xml:space="preserve"> </v>
      </c>
      <c r="F2706" s="19"/>
      <c r="G2706" s="19"/>
      <c r="I2706" s="37"/>
    </row>
    <row r="2707" spans="4:9" s="14" customFormat="1" ht="15" customHeight="1">
      <c r="D2707" s="12" t="str">
        <f>IF(C2707&gt;0,(VLOOKUP(C2707,'Blnct AR'!$C$2:$D$2255,2,0))," ")</f>
        <v xml:space="preserve"> </v>
      </c>
      <c r="F2707" s="19"/>
      <c r="G2707" s="19"/>
      <c r="I2707" s="37"/>
    </row>
    <row r="2708" spans="4:9" s="14" customFormat="1" ht="15" customHeight="1">
      <c r="D2708" s="12" t="str">
        <f>IF(C2708&gt;0,(VLOOKUP(C2708,'Blnct AR'!$C$2:$D$2255,2,0))," ")</f>
        <v xml:space="preserve"> </v>
      </c>
      <c r="F2708" s="19"/>
      <c r="G2708" s="19"/>
      <c r="I2708" s="37"/>
    </row>
    <row r="2709" spans="4:9" s="14" customFormat="1" ht="15" customHeight="1">
      <c r="D2709" s="12" t="str">
        <f>IF(C2709&gt;0,(VLOOKUP(C2709,'Blnct AR'!$C$2:$D$2255,2,0))," ")</f>
        <v xml:space="preserve"> </v>
      </c>
      <c r="F2709" s="19"/>
      <c r="G2709" s="19"/>
      <c r="I2709" s="37"/>
    </row>
    <row r="2710" spans="4:9" s="14" customFormat="1" ht="15" customHeight="1">
      <c r="D2710" s="12" t="str">
        <f>IF(C2710&gt;0,(VLOOKUP(C2710,'Blnct AR'!$C$2:$D$2255,2,0))," ")</f>
        <v xml:space="preserve"> </v>
      </c>
      <c r="F2710" s="19"/>
      <c r="G2710" s="19"/>
      <c r="I2710" s="37"/>
    </row>
    <row r="2711" spans="4:9" s="14" customFormat="1" ht="15" customHeight="1">
      <c r="D2711" s="12" t="str">
        <f>IF(C2711&gt;0,(VLOOKUP(C2711,'Blnct AR'!$C$2:$D$2255,2,0))," ")</f>
        <v xml:space="preserve"> </v>
      </c>
      <c r="F2711" s="19"/>
      <c r="G2711" s="19"/>
      <c r="I2711" s="37"/>
    </row>
    <row r="2712" spans="4:9" s="14" customFormat="1" ht="15" customHeight="1">
      <c r="D2712" s="12" t="str">
        <f>IF(C2712&gt;0,(VLOOKUP(C2712,'Blnct AR'!$C$2:$D$2255,2,0))," ")</f>
        <v xml:space="preserve"> </v>
      </c>
      <c r="F2712" s="19"/>
      <c r="G2712" s="19"/>
      <c r="I2712" s="37"/>
    </row>
    <row r="2713" spans="4:9" s="14" customFormat="1" ht="15" customHeight="1">
      <c r="D2713" s="12" t="str">
        <f>IF(C2713&gt;0,(VLOOKUP(C2713,'Blnct AR'!$C$2:$D$2255,2,0))," ")</f>
        <v xml:space="preserve"> </v>
      </c>
      <c r="F2713" s="19"/>
      <c r="G2713" s="19"/>
      <c r="I2713" s="37"/>
    </row>
    <row r="2714" spans="4:9" s="14" customFormat="1" ht="15" customHeight="1">
      <c r="D2714" s="12" t="str">
        <f>IF(C2714&gt;0,(VLOOKUP(C2714,'Blnct AR'!$C$2:$D$2255,2,0))," ")</f>
        <v xml:space="preserve"> </v>
      </c>
      <c r="F2714" s="19"/>
      <c r="G2714" s="19"/>
      <c r="I2714" s="37"/>
    </row>
    <row r="2715" spans="4:9" s="14" customFormat="1" ht="15" customHeight="1">
      <c r="D2715" s="12" t="str">
        <f>IF(C2715&gt;0,(VLOOKUP(C2715,'Blnct AR'!$C$2:$D$2255,2,0))," ")</f>
        <v xml:space="preserve"> </v>
      </c>
      <c r="F2715" s="19"/>
      <c r="G2715" s="19"/>
      <c r="I2715" s="37"/>
    </row>
    <row r="2716" spans="4:9" s="14" customFormat="1" ht="15" customHeight="1">
      <c r="D2716" s="12" t="str">
        <f>IF(C2716&gt;0,(VLOOKUP(C2716,'Blnct AR'!$C$2:$D$2255,2,0))," ")</f>
        <v xml:space="preserve"> </v>
      </c>
      <c r="F2716" s="19"/>
      <c r="G2716" s="19"/>
      <c r="I2716" s="37"/>
    </row>
    <row r="2717" spans="4:9" s="14" customFormat="1" ht="15" customHeight="1">
      <c r="D2717" s="12" t="str">
        <f>IF(C2717&gt;0,(VLOOKUP(C2717,'Blnct AR'!$C$2:$D$2255,2,0))," ")</f>
        <v xml:space="preserve"> </v>
      </c>
      <c r="F2717" s="19"/>
      <c r="G2717" s="19"/>
      <c r="I2717" s="37"/>
    </row>
    <row r="2718" spans="4:9" s="14" customFormat="1" ht="15" customHeight="1">
      <c r="D2718" s="12" t="str">
        <f>IF(C2718&gt;0,(VLOOKUP(C2718,'Blnct AR'!$C$2:$D$2255,2,0))," ")</f>
        <v xml:space="preserve"> </v>
      </c>
      <c r="F2718" s="19"/>
      <c r="G2718" s="19"/>
      <c r="I2718" s="37"/>
    </row>
    <row r="2719" spans="4:9" s="14" customFormat="1" ht="15" customHeight="1">
      <c r="D2719" s="12" t="str">
        <f>IF(C2719&gt;0,(VLOOKUP(C2719,'Blnct AR'!$C$2:$D$2255,2,0))," ")</f>
        <v xml:space="preserve"> </v>
      </c>
      <c r="F2719" s="19"/>
      <c r="G2719" s="19"/>
      <c r="I2719" s="37"/>
    </row>
    <row r="2720" spans="4:9" s="14" customFormat="1" ht="15" customHeight="1">
      <c r="D2720" s="12" t="str">
        <f>IF(C2720&gt;0,(VLOOKUP(C2720,'Blnct AR'!$C$2:$D$2255,2,0))," ")</f>
        <v xml:space="preserve"> </v>
      </c>
      <c r="F2720" s="19"/>
      <c r="G2720" s="19"/>
      <c r="I2720" s="37"/>
    </row>
    <row r="2721" spans="4:9" s="14" customFormat="1" ht="15" customHeight="1">
      <c r="D2721" s="12" t="str">
        <f>IF(C2721&gt;0,(VLOOKUP(C2721,'Blnct AR'!$C$2:$D$2255,2,0))," ")</f>
        <v xml:space="preserve"> </v>
      </c>
      <c r="F2721" s="19"/>
      <c r="G2721" s="19"/>
      <c r="I2721" s="37"/>
    </row>
    <row r="2722" spans="4:9" s="14" customFormat="1" ht="15" customHeight="1">
      <c r="D2722" s="12" t="str">
        <f>IF(C2722&gt;0,(VLOOKUP(C2722,'Blnct AR'!$C$2:$D$2255,2,0))," ")</f>
        <v xml:space="preserve"> </v>
      </c>
      <c r="F2722" s="19"/>
      <c r="G2722" s="19"/>
      <c r="I2722" s="37"/>
    </row>
    <row r="2723" spans="4:9" s="14" customFormat="1" ht="15" customHeight="1">
      <c r="D2723" s="12" t="str">
        <f>IF(C2723&gt;0,(VLOOKUP(C2723,'Blnct AR'!$C$2:$D$2255,2,0))," ")</f>
        <v xml:space="preserve"> </v>
      </c>
      <c r="F2723" s="19"/>
      <c r="G2723" s="19"/>
      <c r="I2723" s="37"/>
    </row>
    <row r="2724" spans="4:9" s="14" customFormat="1" ht="15" customHeight="1">
      <c r="D2724" s="12" t="str">
        <f>IF(C2724&gt;0,(VLOOKUP(C2724,'Blnct AR'!$C$2:$D$2255,2,0))," ")</f>
        <v xml:space="preserve"> </v>
      </c>
      <c r="F2724" s="19"/>
      <c r="G2724" s="19"/>
      <c r="I2724" s="37"/>
    </row>
    <row r="2725" spans="4:9" s="14" customFormat="1" ht="15" customHeight="1">
      <c r="D2725" s="12" t="str">
        <f>IF(C2725&gt;0,(VLOOKUP(C2725,'Blnct AR'!$C$2:$D$2255,2,0))," ")</f>
        <v xml:space="preserve"> </v>
      </c>
      <c r="F2725" s="19"/>
      <c r="G2725" s="19"/>
      <c r="I2725" s="37"/>
    </row>
    <row r="2726" spans="4:9" s="14" customFormat="1" ht="15" customHeight="1">
      <c r="D2726" s="12" t="str">
        <f>IF(C2726&gt;0,(VLOOKUP(C2726,'Blnct AR'!$C$2:$D$2255,2,0))," ")</f>
        <v xml:space="preserve"> </v>
      </c>
      <c r="F2726" s="19"/>
      <c r="G2726" s="19"/>
      <c r="I2726" s="37"/>
    </row>
    <row r="2727" spans="4:9" s="14" customFormat="1" ht="15" customHeight="1">
      <c r="D2727" s="12" t="str">
        <f>IF(C2727&gt;0,(VLOOKUP(C2727,'Blnct AR'!$C$2:$D$2255,2,0))," ")</f>
        <v xml:space="preserve"> </v>
      </c>
      <c r="F2727" s="19"/>
      <c r="G2727" s="19"/>
      <c r="I2727" s="37"/>
    </row>
    <row r="2728" spans="4:9" s="14" customFormat="1" ht="15" customHeight="1">
      <c r="D2728" s="12" t="str">
        <f>IF(C2728&gt;0,(VLOOKUP(C2728,'Blnct AR'!$C$2:$D$2255,2,0))," ")</f>
        <v xml:space="preserve"> </v>
      </c>
      <c r="F2728" s="19"/>
      <c r="G2728" s="19"/>
      <c r="I2728" s="37"/>
    </row>
    <row r="2729" spans="4:9" s="14" customFormat="1" ht="15" customHeight="1">
      <c r="D2729" s="12" t="str">
        <f>IF(C2729&gt;0,(VLOOKUP(C2729,'Blnct AR'!$C$2:$D$2255,2,0))," ")</f>
        <v xml:space="preserve"> </v>
      </c>
      <c r="F2729" s="19"/>
      <c r="G2729" s="19"/>
      <c r="I2729" s="37"/>
    </row>
    <row r="2730" spans="4:9" s="14" customFormat="1" ht="15" customHeight="1">
      <c r="D2730" s="12" t="str">
        <f>IF(C2730&gt;0,(VLOOKUP(C2730,'Blnct AR'!$C$2:$D$2255,2,0))," ")</f>
        <v xml:space="preserve"> </v>
      </c>
      <c r="F2730" s="19"/>
      <c r="G2730" s="19"/>
      <c r="I2730" s="37"/>
    </row>
    <row r="2731" spans="4:9" s="14" customFormat="1" ht="15" customHeight="1">
      <c r="D2731" s="12" t="str">
        <f>IF(C2731&gt;0,(VLOOKUP(C2731,'Blnct AR'!$C$2:$D$2255,2,0))," ")</f>
        <v xml:space="preserve"> </v>
      </c>
      <c r="F2731" s="19"/>
      <c r="G2731" s="19"/>
      <c r="I2731" s="37"/>
    </row>
    <row r="2732" spans="4:9" s="14" customFormat="1" ht="15" customHeight="1">
      <c r="D2732" s="12" t="str">
        <f>IF(C2732&gt;0,(VLOOKUP(C2732,'Blnct AR'!$C$2:$D$2255,2,0))," ")</f>
        <v xml:space="preserve"> </v>
      </c>
      <c r="F2732" s="19"/>
      <c r="G2732" s="19"/>
      <c r="I2732" s="37"/>
    </row>
    <row r="2733" spans="4:9" s="14" customFormat="1" ht="15" customHeight="1">
      <c r="D2733" s="12" t="str">
        <f>IF(C2733&gt;0,(VLOOKUP(C2733,'Blnct AR'!$C$2:$D$2255,2,0))," ")</f>
        <v xml:space="preserve"> </v>
      </c>
      <c r="F2733" s="19"/>
      <c r="G2733" s="19"/>
      <c r="I2733" s="37"/>
    </row>
    <row r="2734" spans="4:9" s="14" customFormat="1" ht="15" customHeight="1">
      <c r="D2734" s="12" t="str">
        <f>IF(C2734&gt;0,(VLOOKUP(C2734,'Blnct AR'!$C$2:$D$2255,2,0))," ")</f>
        <v xml:space="preserve"> </v>
      </c>
      <c r="F2734" s="19"/>
      <c r="G2734" s="19"/>
      <c r="I2734" s="37"/>
    </row>
    <row r="2735" spans="4:9" s="14" customFormat="1" ht="15" customHeight="1">
      <c r="D2735" s="12" t="str">
        <f>IF(C2735&gt;0,(VLOOKUP(C2735,'Blnct AR'!$C$2:$D$2255,2,0))," ")</f>
        <v xml:space="preserve"> </v>
      </c>
      <c r="F2735" s="19"/>
      <c r="G2735" s="19"/>
      <c r="I2735" s="37"/>
    </row>
    <row r="2736" spans="4:9" s="14" customFormat="1" ht="15" customHeight="1">
      <c r="D2736" s="12" t="str">
        <f>IF(C2736&gt;0,(VLOOKUP(C2736,'Blnct AR'!$C$2:$D$2255,2,0))," ")</f>
        <v xml:space="preserve"> </v>
      </c>
      <c r="F2736" s="19"/>
      <c r="G2736" s="19"/>
      <c r="I2736" s="37"/>
    </row>
    <row r="2737" spans="4:9" s="14" customFormat="1" ht="15" customHeight="1">
      <c r="D2737" s="12" t="str">
        <f>IF(C2737&gt;0,(VLOOKUP(C2737,'Blnct AR'!$C$2:$D$2255,2,0))," ")</f>
        <v xml:space="preserve"> </v>
      </c>
      <c r="F2737" s="19"/>
      <c r="G2737" s="19"/>
      <c r="I2737" s="37"/>
    </row>
    <row r="2738" spans="4:9" s="14" customFormat="1" ht="15" customHeight="1">
      <c r="D2738" s="12" t="str">
        <f>IF(C2738&gt;0,(VLOOKUP(C2738,'Blnct AR'!$C$2:$D$2255,2,0))," ")</f>
        <v xml:space="preserve"> </v>
      </c>
      <c r="F2738" s="19"/>
      <c r="G2738" s="19"/>
      <c r="I2738" s="37"/>
    </row>
    <row r="2739" spans="4:9" s="14" customFormat="1" ht="15" customHeight="1">
      <c r="D2739" s="12" t="str">
        <f>IF(C2739&gt;0,(VLOOKUP(C2739,'Blnct AR'!$C$2:$D$2255,2,0))," ")</f>
        <v xml:space="preserve"> </v>
      </c>
      <c r="F2739" s="19"/>
      <c r="G2739" s="19"/>
      <c r="I2739" s="37"/>
    </row>
    <row r="2740" spans="4:9" s="14" customFormat="1" ht="15" customHeight="1">
      <c r="D2740" s="12" t="str">
        <f>IF(C2740&gt;0,(VLOOKUP(C2740,'Blnct AR'!$C$2:$D$2255,2,0))," ")</f>
        <v xml:space="preserve"> </v>
      </c>
      <c r="F2740" s="19"/>
      <c r="G2740" s="19"/>
      <c r="I2740" s="37"/>
    </row>
    <row r="2741" spans="4:9" s="14" customFormat="1" ht="15" customHeight="1">
      <c r="D2741" s="12" t="str">
        <f>IF(C2741&gt;0,(VLOOKUP(C2741,'Blnct AR'!$C$2:$D$2255,2,0))," ")</f>
        <v xml:space="preserve"> </v>
      </c>
      <c r="F2741" s="19"/>
      <c r="G2741" s="19"/>
      <c r="I2741" s="37"/>
    </row>
    <row r="2742" spans="4:9" s="14" customFormat="1" ht="15" customHeight="1">
      <c r="D2742" s="12" t="str">
        <f>IF(C2742&gt;0,(VLOOKUP(C2742,'Blnct AR'!$C$2:$D$2255,2,0))," ")</f>
        <v xml:space="preserve"> </v>
      </c>
      <c r="F2742" s="19"/>
      <c r="G2742" s="19"/>
      <c r="I2742" s="37"/>
    </row>
    <row r="2743" spans="4:9" s="14" customFormat="1" ht="15" customHeight="1">
      <c r="D2743" s="12" t="str">
        <f>IF(C2743&gt;0,(VLOOKUP(C2743,'Blnct AR'!$C$2:$D$2255,2,0))," ")</f>
        <v xml:space="preserve"> </v>
      </c>
      <c r="F2743" s="19"/>
      <c r="G2743" s="19"/>
      <c r="I2743" s="37"/>
    </row>
    <row r="2744" spans="4:9" s="14" customFormat="1" ht="15" customHeight="1">
      <c r="D2744" s="12" t="str">
        <f>IF(C2744&gt;0,(VLOOKUP(C2744,'Blnct AR'!$C$2:$D$2255,2,0))," ")</f>
        <v xml:space="preserve"> </v>
      </c>
      <c r="F2744" s="19"/>
      <c r="G2744" s="19"/>
      <c r="I2744" s="37"/>
    </row>
    <row r="2745" spans="4:9" s="14" customFormat="1" ht="15" customHeight="1">
      <c r="D2745" s="12" t="str">
        <f>IF(C2745&gt;0,(VLOOKUP(C2745,'Blnct AR'!$C$2:$D$2255,2,0))," ")</f>
        <v xml:space="preserve"> </v>
      </c>
      <c r="F2745" s="19"/>
      <c r="G2745" s="19"/>
      <c r="I2745" s="37"/>
    </row>
    <row r="2746" spans="4:9" s="14" customFormat="1" ht="15" customHeight="1">
      <c r="D2746" s="12" t="str">
        <f>IF(C2746&gt;0,(VLOOKUP(C2746,'Blnct AR'!$C$2:$D$2255,2,0))," ")</f>
        <v xml:space="preserve"> </v>
      </c>
      <c r="F2746" s="19"/>
      <c r="G2746" s="19"/>
      <c r="I2746" s="37"/>
    </row>
    <row r="2747" spans="4:9" s="14" customFormat="1" ht="15" customHeight="1">
      <c r="D2747" s="12" t="str">
        <f>IF(C2747&gt;0,(VLOOKUP(C2747,'Blnct AR'!$C$2:$D$2255,2,0))," ")</f>
        <v xml:space="preserve"> </v>
      </c>
      <c r="F2747" s="19"/>
      <c r="G2747" s="19"/>
      <c r="I2747" s="37"/>
    </row>
    <row r="2748" spans="4:9" s="14" customFormat="1" ht="15" customHeight="1">
      <c r="D2748" s="12" t="str">
        <f>IF(C2748&gt;0,(VLOOKUP(C2748,'Blnct AR'!$C$2:$D$2255,2,0))," ")</f>
        <v xml:space="preserve"> </v>
      </c>
      <c r="F2748" s="19"/>
      <c r="G2748" s="19"/>
      <c r="I2748" s="37"/>
    </row>
    <row r="2749" spans="4:9" s="14" customFormat="1" ht="15" customHeight="1">
      <c r="D2749" s="12" t="str">
        <f>IF(C2749&gt;0,(VLOOKUP(C2749,'Blnct AR'!$C$2:$D$2255,2,0))," ")</f>
        <v xml:space="preserve"> </v>
      </c>
      <c r="F2749" s="19"/>
      <c r="G2749" s="19"/>
      <c r="I2749" s="37"/>
    </row>
    <row r="2750" spans="4:9" s="14" customFormat="1" ht="15" customHeight="1">
      <c r="D2750" s="12" t="str">
        <f>IF(C2750&gt;0,(VLOOKUP(C2750,'Blnct AR'!$C$2:$D$2255,2,0))," ")</f>
        <v xml:space="preserve"> </v>
      </c>
      <c r="F2750" s="19"/>
      <c r="G2750" s="19"/>
      <c r="I2750" s="37"/>
    </row>
    <row r="2751" spans="4:9" s="14" customFormat="1" ht="15" customHeight="1">
      <c r="D2751" s="12" t="str">
        <f>IF(C2751&gt;0,(VLOOKUP(C2751,'Blnct AR'!$C$2:$D$2255,2,0))," ")</f>
        <v xml:space="preserve"> </v>
      </c>
      <c r="F2751" s="19"/>
      <c r="G2751" s="19"/>
      <c r="I2751" s="37"/>
    </row>
    <row r="2752" spans="4:9" s="14" customFormat="1" ht="15" customHeight="1">
      <c r="D2752" s="12" t="str">
        <f>IF(C2752&gt;0,(VLOOKUP(C2752,'Blnct AR'!$C$2:$D$2255,2,0))," ")</f>
        <v xml:space="preserve"> </v>
      </c>
      <c r="F2752" s="19"/>
      <c r="G2752" s="19"/>
      <c r="I2752" s="37"/>
    </row>
    <row r="2753" spans="4:9" s="14" customFormat="1" ht="15" customHeight="1">
      <c r="D2753" s="12" t="str">
        <f>IF(C2753&gt;0,(VLOOKUP(C2753,'Blnct AR'!$C$2:$D$2255,2,0))," ")</f>
        <v xml:space="preserve"> </v>
      </c>
      <c r="F2753" s="19"/>
      <c r="G2753" s="19"/>
      <c r="I2753" s="37"/>
    </row>
    <row r="2754" spans="4:9" s="14" customFormat="1" ht="15" customHeight="1">
      <c r="D2754" s="12" t="str">
        <f>IF(C2754&gt;0,(VLOOKUP(C2754,'Blnct AR'!$C$2:$D$2255,2,0))," ")</f>
        <v xml:space="preserve"> </v>
      </c>
      <c r="F2754" s="19"/>
      <c r="G2754" s="19"/>
      <c r="I2754" s="37"/>
    </row>
    <row r="2755" spans="4:9" s="14" customFormat="1" ht="15" customHeight="1">
      <c r="D2755" s="12" t="str">
        <f>IF(C2755&gt;0,(VLOOKUP(C2755,'Blnct AR'!$C$2:$D$2255,2,0))," ")</f>
        <v xml:space="preserve"> </v>
      </c>
      <c r="F2755" s="19"/>
      <c r="G2755" s="19"/>
      <c r="I2755" s="37"/>
    </row>
    <row r="2756" spans="4:9" s="14" customFormat="1" ht="15" customHeight="1">
      <c r="D2756" s="12" t="str">
        <f>IF(C2756&gt;0,(VLOOKUP(C2756,'Blnct AR'!$C$2:$D$2255,2,0))," ")</f>
        <v xml:space="preserve"> </v>
      </c>
      <c r="F2756" s="19"/>
      <c r="G2756" s="19"/>
      <c r="I2756" s="37"/>
    </row>
    <row r="2757" spans="4:9" s="14" customFormat="1" ht="15" customHeight="1">
      <c r="D2757" s="12" t="str">
        <f>IF(C2757&gt;0,(VLOOKUP(C2757,'Blnct AR'!$C$2:$D$2255,2,0))," ")</f>
        <v xml:space="preserve"> </v>
      </c>
      <c r="F2757" s="19"/>
      <c r="G2757" s="19"/>
      <c r="I2757" s="37"/>
    </row>
    <row r="2758" spans="4:9" s="14" customFormat="1" ht="15" customHeight="1">
      <c r="D2758" s="12" t="str">
        <f>IF(C2758&gt;0,(VLOOKUP(C2758,'Blnct AR'!$C$2:$D$2255,2,0))," ")</f>
        <v xml:space="preserve"> </v>
      </c>
      <c r="F2758" s="19"/>
      <c r="G2758" s="19"/>
      <c r="I2758" s="37"/>
    </row>
    <row r="2759" spans="4:9" s="14" customFormat="1" ht="15" customHeight="1">
      <c r="D2759" s="12" t="str">
        <f>IF(C2759&gt;0,(VLOOKUP(C2759,'Blnct AR'!$C$2:$D$2255,2,0))," ")</f>
        <v xml:space="preserve"> </v>
      </c>
      <c r="F2759" s="19"/>
      <c r="G2759" s="19"/>
      <c r="I2759" s="37"/>
    </row>
    <row r="2760" spans="4:9" s="14" customFormat="1" ht="15" customHeight="1">
      <c r="D2760" s="12" t="str">
        <f>IF(C2760&gt;0,(VLOOKUP(C2760,'Blnct AR'!$C$2:$D$2255,2,0))," ")</f>
        <v xml:space="preserve"> </v>
      </c>
      <c r="F2760" s="19"/>
      <c r="G2760" s="19"/>
      <c r="I2760" s="37"/>
    </row>
    <row r="2761" spans="4:9" s="14" customFormat="1" ht="15" customHeight="1">
      <c r="D2761" s="12" t="str">
        <f>IF(C2761&gt;0,(VLOOKUP(C2761,'Blnct AR'!$C$2:$D$2255,2,0))," ")</f>
        <v xml:space="preserve"> </v>
      </c>
      <c r="F2761" s="19"/>
      <c r="G2761" s="19"/>
      <c r="I2761" s="37"/>
    </row>
    <row r="2762" spans="4:9" s="14" customFormat="1" ht="15" customHeight="1">
      <c r="D2762" s="12" t="str">
        <f>IF(C2762&gt;0,(VLOOKUP(C2762,'Blnct AR'!$C$2:$D$2255,2,0))," ")</f>
        <v xml:space="preserve"> </v>
      </c>
      <c r="F2762" s="19"/>
      <c r="G2762" s="19"/>
      <c r="I2762" s="37"/>
    </row>
    <row r="2763" spans="4:9" s="14" customFormat="1" ht="15" customHeight="1">
      <c r="D2763" s="12" t="str">
        <f>IF(C2763&gt;0,(VLOOKUP(C2763,'Blnct AR'!$C$2:$D$2255,2,0))," ")</f>
        <v xml:space="preserve"> </v>
      </c>
      <c r="F2763" s="19"/>
      <c r="G2763" s="19"/>
      <c r="I2763" s="37"/>
    </row>
    <row r="2764" spans="4:9" s="14" customFormat="1" ht="15" customHeight="1">
      <c r="D2764" s="12" t="str">
        <f>IF(C2764&gt;0,(VLOOKUP(C2764,'Blnct AR'!$C$2:$D$2255,2,0))," ")</f>
        <v xml:space="preserve"> </v>
      </c>
      <c r="F2764" s="19"/>
      <c r="G2764" s="19"/>
      <c r="I2764" s="37"/>
    </row>
    <row r="2765" spans="4:9" s="14" customFormat="1" ht="15" customHeight="1">
      <c r="D2765" s="12" t="str">
        <f>IF(C2765&gt;0,(VLOOKUP(C2765,'Blnct AR'!$C$2:$D$2255,2,0))," ")</f>
        <v xml:space="preserve"> </v>
      </c>
      <c r="F2765" s="19"/>
      <c r="G2765" s="19"/>
      <c r="I2765" s="37"/>
    </row>
    <row r="2766" spans="4:9" s="14" customFormat="1" ht="15" customHeight="1">
      <c r="D2766" s="12" t="str">
        <f>IF(C2766&gt;0,(VLOOKUP(C2766,'Blnct AR'!$C$2:$D$2255,2,0))," ")</f>
        <v xml:space="preserve"> </v>
      </c>
      <c r="F2766" s="19"/>
      <c r="G2766" s="19"/>
      <c r="I2766" s="37"/>
    </row>
    <row r="2767" spans="4:9" s="14" customFormat="1" ht="15" customHeight="1">
      <c r="D2767" s="12" t="str">
        <f>IF(C2767&gt;0,(VLOOKUP(C2767,'Blnct AR'!$C$2:$D$2255,2,0))," ")</f>
        <v xml:space="preserve"> </v>
      </c>
      <c r="F2767" s="19"/>
      <c r="G2767" s="19"/>
      <c r="I2767" s="37"/>
    </row>
    <row r="2768" spans="4:9" s="14" customFormat="1" ht="15" customHeight="1">
      <c r="D2768" s="12" t="str">
        <f>IF(C2768&gt;0,(VLOOKUP(C2768,'Blnct AR'!$C$2:$D$2255,2,0))," ")</f>
        <v xml:space="preserve"> </v>
      </c>
      <c r="F2768" s="19"/>
      <c r="G2768" s="19"/>
      <c r="I2768" s="37"/>
    </row>
    <row r="2769" spans="4:9" s="14" customFormat="1" ht="15" customHeight="1">
      <c r="D2769" s="12" t="str">
        <f>IF(C2769&gt;0,(VLOOKUP(C2769,'Blnct AR'!$C$2:$D$2255,2,0))," ")</f>
        <v xml:space="preserve"> </v>
      </c>
      <c r="F2769" s="19"/>
      <c r="G2769" s="19"/>
      <c r="I2769" s="37"/>
    </row>
    <row r="2770" spans="4:9" s="14" customFormat="1" ht="15" customHeight="1">
      <c r="D2770" s="12" t="str">
        <f>IF(C2770&gt;0,(VLOOKUP(C2770,'Blnct AR'!$C$2:$D$2255,2,0))," ")</f>
        <v xml:space="preserve"> </v>
      </c>
      <c r="F2770" s="19"/>
      <c r="G2770" s="19"/>
      <c r="I2770" s="37"/>
    </row>
    <row r="2771" spans="4:9" s="14" customFormat="1" ht="15" customHeight="1">
      <c r="D2771" s="12" t="str">
        <f>IF(C2771&gt;0,(VLOOKUP(C2771,'Blnct AR'!$C$2:$D$2255,2,0))," ")</f>
        <v xml:space="preserve"> </v>
      </c>
      <c r="F2771" s="19"/>
      <c r="G2771" s="19"/>
      <c r="I2771" s="37"/>
    </row>
    <row r="2772" spans="4:9" s="14" customFormat="1" ht="15" customHeight="1">
      <c r="D2772" s="12" t="str">
        <f>IF(C2772&gt;0,(VLOOKUP(C2772,'Blnct AR'!$C$2:$D$2255,2,0))," ")</f>
        <v xml:space="preserve"> </v>
      </c>
      <c r="F2772" s="19"/>
      <c r="G2772" s="19"/>
      <c r="I2772" s="37"/>
    </row>
    <row r="2773" spans="4:9" s="14" customFormat="1" ht="15" customHeight="1">
      <c r="D2773" s="12" t="str">
        <f>IF(C2773&gt;0,(VLOOKUP(C2773,'Blnct AR'!$C$2:$D$2255,2,0))," ")</f>
        <v xml:space="preserve"> </v>
      </c>
      <c r="F2773" s="19"/>
      <c r="G2773" s="19"/>
      <c r="I2773" s="37"/>
    </row>
    <row r="2774" spans="4:9" s="14" customFormat="1" ht="15" customHeight="1">
      <c r="D2774" s="12" t="str">
        <f>IF(C2774&gt;0,(VLOOKUP(C2774,'Blnct AR'!$C$2:$D$2255,2,0))," ")</f>
        <v xml:space="preserve"> </v>
      </c>
      <c r="F2774" s="19"/>
      <c r="G2774" s="19"/>
      <c r="I2774" s="37"/>
    </row>
    <row r="2775" spans="4:9" s="14" customFormat="1" ht="15" customHeight="1">
      <c r="D2775" s="12" t="str">
        <f>IF(C2775&gt;0,(VLOOKUP(C2775,'Blnct AR'!$C$2:$D$2255,2,0))," ")</f>
        <v xml:space="preserve"> </v>
      </c>
      <c r="F2775" s="19"/>
      <c r="G2775" s="19"/>
      <c r="I2775" s="37"/>
    </row>
    <row r="2776" spans="4:9" s="14" customFormat="1" ht="15" customHeight="1">
      <c r="D2776" s="12" t="str">
        <f>IF(C2776&gt;0,(VLOOKUP(C2776,'Blnct AR'!$C$2:$D$2255,2,0))," ")</f>
        <v xml:space="preserve"> </v>
      </c>
      <c r="F2776" s="19"/>
      <c r="G2776" s="19"/>
      <c r="I2776" s="37"/>
    </row>
    <row r="2777" spans="4:9" s="14" customFormat="1" ht="15" customHeight="1">
      <c r="D2777" s="12" t="str">
        <f>IF(C2777&gt;0,(VLOOKUP(C2777,'Blnct AR'!$C$2:$D$2255,2,0))," ")</f>
        <v xml:space="preserve"> </v>
      </c>
      <c r="F2777" s="19"/>
      <c r="G2777" s="19"/>
      <c r="I2777" s="37"/>
    </row>
    <row r="2778" spans="4:9" s="14" customFormat="1" ht="15" customHeight="1">
      <c r="D2778" s="12" t="str">
        <f>IF(C2778&gt;0,(VLOOKUP(C2778,'Blnct AR'!$C$2:$D$2255,2,0))," ")</f>
        <v xml:space="preserve"> </v>
      </c>
      <c r="F2778" s="19"/>
      <c r="G2778" s="19"/>
      <c r="I2778" s="37"/>
    </row>
    <row r="2779" spans="4:9" s="14" customFormat="1" ht="15" customHeight="1">
      <c r="D2779" s="12" t="str">
        <f>IF(C2779&gt;0,(VLOOKUP(C2779,'Blnct AR'!$C$2:$D$2255,2,0))," ")</f>
        <v xml:space="preserve"> </v>
      </c>
      <c r="F2779" s="19"/>
      <c r="G2779" s="19"/>
      <c r="I2779" s="37"/>
    </row>
    <row r="2780" spans="4:9" s="14" customFormat="1" ht="15" customHeight="1">
      <c r="D2780" s="12" t="str">
        <f>IF(C2780&gt;0,(VLOOKUP(C2780,'Blnct AR'!$C$2:$D$2255,2,0))," ")</f>
        <v xml:space="preserve"> </v>
      </c>
      <c r="F2780" s="19"/>
      <c r="G2780" s="19"/>
      <c r="I2780" s="37"/>
    </row>
    <row r="2781" spans="4:9" s="14" customFormat="1" ht="15" customHeight="1">
      <c r="D2781" s="12" t="str">
        <f>IF(C2781&gt;0,(VLOOKUP(C2781,'Blnct AR'!$C$2:$D$2255,2,0))," ")</f>
        <v xml:space="preserve"> </v>
      </c>
      <c r="F2781" s="19"/>
      <c r="G2781" s="19"/>
      <c r="I2781" s="37"/>
    </row>
    <row r="2782" spans="4:9" s="14" customFormat="1" ht="15" customHeight="1">
      <c r="D2782" s="12" t="str">
        <f>IF(C2782&gt;0,(VLOOKUP(C2782,'Blnct AR'!$C$2:$D$2255,2,0))," ")</f>
        <v xml:space="preserve"> </v>
      </c>
      <c r="F2782" s="19"/>
      <c r="G2782" s="19"/>
      <c r="I2782" s="37"/>
    </row>
    <row r="2783" spans="4:9" s="14" customFormat="1" ht="15" customHeight="1">
      <c r="D2783" s="12" t="str">
        <f>IF(C2783&gt;0,(VLOOKUP(C2783,'Blnct AR'!$C$2:$D$2255,2,0))," ")</f>
        <v xml:space="preserve"> </v>
      </c>
      <c r="F2783" s="19"/>
      <c r="G2783" s="19"/>
      <c r="I2783" s="37"/>
    </row>
    <row r="2784" spans="4:9" s="14" customFormat="1" ht="15" customHeight="1">
      <c r="D2784" s="12" t="str">
        <f>IF(C2784&gt;0,(VLOOKUP(C2784,'Blnct AR'!$C$2:$D$2255,2,0))," ")</f>
        <v xml:space="preserve"> </v>
      </c>
      <c r="F2784" s="19"/>
      <c r="G2784" s="19"/>
      <c r="I2784" s="37"/>
    </row>
    <row r="2785" spans="4:9" s="14" customFormat="1" ht="15" customHeight="1">
      <c r="D2785" s="12" t="str">
        <f>IF(C2785&gt;0,(VLOOKUP(C2785,'Blnct AR'!$C$2:$D$2255,2,0))," ")</f>
        <v xml:space="preserve"> </v>
      </c>
      <c r="F2785" s="19"/>
      <c r="G2785" s="19"/>
      <c r="I2785" s="37"/>
    </row>
    <row r="2786" spans="4:9" s="14" customFormat="1" ht="15" customHeight="1">
      <c r="D2786" s="12" t="str">
        <f>IF(C2786&gt;0,(VLOOKUP(C2786,'Blnct AR'!$C$2:$D$2255,2,0))," ")</f>
        <v xml:space="preserve"> </v>
      </c>
      <c r="F2786" s="19"/>
      <c r="G2786" s="19"/>
      <c r="I2786" s="37"/>
    </row>
    <row r="2787" spans="4:9" s="14" customFormat="1" ht="15" customHeight="1">
      <c r="D2787" s="12" t="str">
        <f>IF(C2787&gt;0,(VLOOKUP(C2787,'Blnct AR'!$C$2:$D$2255,2,0))," ")</f>
        <v xml:space="preserve"> </v>
      </c>
      <c r="F2787" s="19"/>
      <c r="G2787" s="19"/>
      <c r="I2787" s="37"/>
    </row>
    <row r="2788" spans="4:9" s="14" customFormat="1" ht="15" customHeight="1">
      <c r="D2788" s="12" t="str">
        <f>IF(C2788&gt;0,(VLOOKUP(C2788,'Blnct AR'!$C$2:$D$2255,2,0))," ")</f>
        <v xml:space="preserve"> </v>
      </c>
      <c r="F2788" s="19"/>
      <c r="G2788" s="19"/>
      <c r="I2788" s="37"/>
    </row>
    <row r="2789" spans="4:9" s="14" customFormat="1" ht="15" customHeight="1">
      <c r="D2789" s="12" t="str">
        <f>IF(C2789&gt;0,(VLOOKUP(C2789,'Blnct AR'!$C$2:$D$2255,2,0))," ")</f>
        <v xml:space="preserve"> </v>
      </c>
      <c r="F2789" s="19"/>
      <c r="G2789" s="19"/>
      <c r="I2789" s="37"/>
    </row>
    <row r="2790" spans="4:9" s="14" customFormat="1" ht="15" customHeight="1">
      <c r="D2790" s="12" t="str">
        <f>IF(C2790&gt;0,(VLOOKUP(C2790,'Blnct AR'!$C$2:$D$2255,2,0))," ")</f>
        <v xml:space="preserve"> </v>
      </c>
      <c r="F2790" s="19"/>
      <c r="G2790" s="19"/>
      <c r="I2790" s="37"/>
    </row>
    <row r="2791" spans="4:9" s="14" customFormat="1" ht="15" customHeight="1">
      <c r="D2791" s="12" t="str">
        <f>IF(C2791&gt;0,(VLOOKUP(C2791,'Blnct AR'!$C$2:$D$2255,2,0))," ")</f>
        <v xml:space="preserve"> </v>
      </c>
      <c r="F2791" s="19"/>
      <c r="G2791" s="19"/>
      <c r="I2791" s="37"/>
    </row>
    <row r="2792" spans="4:9" s="14" customFormat="1" ht="15" customHeight="1">
      <c r="D2792" s="12" t="str">
        <f>IF(C2792&gt;0,(VLOOKUP(C2792,'Blnct AR'!$C$2:$D$2255,2,0))," ")</f>
        <v xml:space="preserve"> </v>
      </c>
      <c r="F2792" s="19"/>
      <c r="G2792" s="19"/>
      <c r="I2792" s="37"/>
    </row>
    <row r="2793" spans="4:9" s="14" customFormat="1" ht="15" customHeight="1">
      <c r="D2793" s="12" t="str">
        <f>IF(C2793&gt;0,(VLOOKUP(C2793,'Blnct AR'!$C$2:$D$2255,2,0))," ")</f>
        <v xml:space="preserve"> </v>
      </c>
      <c r="F2793" s="19"/>
      <c r="G2793" s="19"/>
      <c r="I2793" s="37"/>
    </row>
    <row r="2794" spans="4:9" s="14" customFormat="1" ht="15" customHeight="1">
      <c r="D2794" s="12" t="str">
        <f>IF(C2794&gt;0,(VLOOKUP(C2794,'Blnct AR'!$C$2:$D$2255,2,0))," ")</f>
        <v xml:space="preserve"> </v>
      </c>
      <c r="F2794" s="19"/>
      <c r="G2794" s="19"/>
      <c r="I2794" s="37"/>
    </row>
    <row r="2795" spans="4:9" s="14" customFormat="1" ht="15" customHeight="1">
      <c r="D2795" s="12" t="str">
        <f>IF(C2795&gt;0,(VLOOKUP(C2795,'Blnct AR'!$C$2:$D$2255,2,0))," ")</f>
        <v xml:space="preserve"> </v>
      </c>
      <c r="F2795" s="19"/>
      <c r="G2795" s="19"/>
      <c r="I2795" s="37"/>
    </row>
    <row r="2796" spans="4:9" s="14" customFormat="1" ht="15" customHeight="1">
      <c r="D2796" s="12" t="str">
        <f>IF(C2796&gt;0,(VLOOKUP(C2796,'Blnct AR'!$C$2:$D$2255,2,0))," ")</f>
        <v xml:space="preserve"> </v>
      </c>
      <c r="F2796" s="19"/>
      <c r="G2796" s="19"/>
      <c r="I2796" s="37"/>
    </row>
    <row r="2797" spans="4:9" s="14" customFormat="1" ht="15" customHeight="1">
      <c r="D2797" s="12" t="str">
        <f>IF(C2797&gt;0,(VLOOKUP(C2797,'Blnct AR'!$C$2:$D$2255,2,0))," ")</f>
        <v xml:space="preserve"> </v>
      </c>
      <c r="F2797" s="19"/>
      <c r="G2797" s="19"/>
      <c r="I2797" s="37"/>
    </row>
    <row r="2798" spans="4:9" s="14" customFormat="1" ht="15" customHeight="1">
      <c r="D2798" s="12" t="str">
        <f>IF(C2798&gt;0,(VLOOKUP(C2798,'Blnct AR'!$C$2:$D$2255,2,0))," ")</f>
        <v xml:space="preserve"> </v>
      </c>
      <c r="F2798" s="19"/>
      <c r="G2798" s="19"/>
      <c r="I2798" s="37"/>
    </row>
    <row r="2799" spans="4:9" s="14" customFormat="1" ht="15" customHeight="1">
      <c r="D2799" s="12" t="str">
        <f>IF(C2799&gt;0,(VLOOKUP(C2799,'Blnct AR'!$C$2:$D$2255,2,0))," ")</f>
        <v xml:space="preserve"> </v>
      </c>
      <c r="F2799" s="19"/>
      <c r="G2799" s="19"/>
      <c r="I2799" s="37"/>
    </row>
    <row r="2800" spans="4:9" s="14" customFormat="1" ht="15" customHeight="1">
      <c r="D2800" s="12" t="str">
        <f>IF(C2800&gt;0,(VLOOKUP(C2800,'Blnct AR'!$C$2:$D$2255,2,0))," ")</f>
        <v xml:space="preserve"> </v>
      </c>
      <c r="F2800" s="19"/>
      <c r="G2800" s="19"/>
      <c r="I2800" s="37"/>
    </row>
    <row r="2801" spans="4:9" s="14" customFormat="1" ht="15" customHeight="1">
      <c r="D2801" s="12" t="str">
        <f>IF(C2801&gt;0,(VLOOKUP(C2801,'Blnct AR'!$C$2:$D$2255,2,0))," ")</f>
        <v xml:space="preserve"> </v>
      </c>
      <c r="F2801" s="19"/>
      <c r="G2801" s="19"/>
      <c r="I2801" s="37"/>
    </row>
    <row r="2802" spans="4:9" s="14" customFormat="1" ht="15" customHeight="1">
      <c r="D2802" s="12" t="str">
        <f>IF(C2804&gt;0,(VLOOKUP(C2804,'Blnct AR'!$C$2:$D$2255,2,0))," ")</f>
        <v xml:space="preserve"> </v>
      </c>
      <c r="F2802" s="19"/>
      <c r="G2802" s="19"/>
      <c r="I2802" s="37"/>
    </row>
    <row r="2803" spans="4:9" s="14" customFormat="1" ht="15" customHeight="1">
      <c r="D2803" s="12" t="str">
        <f>IF(C2803&gt;0,(VLOOKUP(C2803,'Blnct AR'!$C$2:$D$2255,2,0))," ")</f>
        <v xml:space="preserve"> </v>
      </c>
      <c r="F2803" s="19"/>
      <c r="G2803" s="19"/>
      <c r="I2803" s="37"/>
    </row>
    <row r="2804" spans="4:9" s="14" customFormat="1" ht="15" customHeight="1">
      <c r="D2804" s="12" t="str">
        <f>IF(C2804&gt;0,(VLOOKUP(C2804,'Blnct AR'!$C$2:$D$2255,2,0))," ")</f>
        <v xml:space="preserve"> </v>
      </c>
      <c r="F2804" s="19"/>
      <c r="G2804" s="19"/>
      <c r="I2804" s="37"/>
    </row>
    <row r="2805" spans="4:9" s="14" customFormat="1" ht="15" customHeight="1">
      <c r="D2805" s="12" t="str">
        <f>IF(C2805&gt;0,(VLOOKUP(C2805,'Blnct AR'!$C$2:$D$2255,2,0))," ")</f>
        <v xml:space="preserve"> </v>
      </c>
      <c r="F2805" s="19"/>
      <c r="G2805" s="19"/>
      <c r="I2805" s="37"/>
    </row>
    <row r="2806" spans="4:9" s="14" customFormat="1" ht="15" customHeight="1">
      <c r="D2806" s="12" t="str">
        <f>IF(C2806&gt;0,(VLOOKUP(C2806,'Blnct AR'!$C$2:$D$2255,2,0))," ")</f>
        <v xml:space="preserve"> </v>
      </c>
      <c r="F2806" s="19"/>
      <c r="G2806" s="19"/>
      <c r="I2806" s="37"/>
    </row>
    <row r="2807" spans="4:9" s="14" customFormat="1" ht="15" customHeight="1">
      <c r="D2807" s="12" t="str">
        <f>IF(C2807&gt;0,(VLOOKUP(C2807,'Blnct AR'!$C$2:$D$2255,2,0))," ")</f>
        <v xml:space="preserve"> </v>
      </c>
      <c r="F2807" s="19"/>
      <c r="G2807" s="19"/>
      <c r="I2807" s="37"/>
    </row>
    <row r="2808" spans="4:9" s="14" customFormat="1" ht="15" customHeight="1">
      <c r="D2808" s="12" t="str">
        <f>IF(C2808&gt;0,(VLOOKUP(C2808,'Blnct AR'!$C$2:$D$2255,2,0))," ")</f>
        <v xml:space="preserve"> </v>
      </c>
      <c r="F2808" s="19"/>
      <c r="G2808" s="19"/>
      <c r="I2808" s="37"/>
    </row>
    <row r="2809" spans="4:9" s="14" customFormat="1" ht="15" customHeight="1">
      <c r="D2809" s="12" t="str">
        <f>IF(C2809&gt;0,(VLOOKUP(C2809,'Blnct AR'!$C$2:$D$2255,2,0))," ")</f>
        <v xml:space="preserve"> </v>
      </c>
      <c r="F2809" s="19"/>
      <c r="G2809" s="19"/>
      <c r="I2809" s="37"/>
    </row>
    <row r="2810" spans="4:9" s="14" customFormat="1" ht="15" customHeight="1">
      <c r="D2810" s="12" t="str">
        <f>IF(C2810&gt;0,(VLOOKUP(C2810,'Blnct AR'!$C$2:$D$2255,2,0))," ")</f>
        <v xml:space="preserve"> </v>
      </c>
      <c r="F2810" s="19"/>
      <c r="G2810" s="19"/>
      <c r="I2810" s="37"/>
    </row>
    <row r="2811" spans="4:9" s="14" customFormat="1" ht="15" customHeight="1">
      <c r="D2811" s="12" t="str">
        <f>IF(C2811&gt;0,(VLOOKUP(C2811,'Blnct AR'!$C$2:$D$2255,2,0))," ")</f>
        <v xml:space="preserve"> </v>
      </c>
      <c r="F2811" s="19"/>
      <c r="G2811" s="19"/>
      <c r="I2811" s="37"/>
    </row>
    <row r="2812" spans="4:9" s="14" customFormat="1" ht="15" customHeight="1">
      <c r="D2812" s="12" t="str">
        <f>IF(C2812&gt;0,(VLOOKUP(C2812,'Blnct AR'!$C$2:$D$2255,2,0))," ")</f>
        <v xml:space="preserve"> </v>
      </c>
      <c r="F2812" s="19"/>
      <c r="G2812" s="19"/>
      <c r="I2812" s="37"/>
    </row>
    <row r="2813" spans="4:9" s="14" customFormat="1" ht="15" customHeight="1">
      <c r="D2813" s="12" t="str">
        <f>IF(C2813&gt;0,(VLOOKUP(C2813,'Blnct AR'!$C$2:$D$2255,2,0))," ")</f>
        <v xml:space="preserve"> </v>
      </c>
      <c r="F2813" s="19"/>
      <c r="G2813" s="19"/>
      <c r="I2813" s="37"/>
    </row>
    <row r="2814" spans="4:9" s="14" customFormat="1" ht="15" customHeight="1">
      <c r="D2814" s="12" t="str">
        <f>IF(C2814&gt;0,(VLOOKUP(C2814,'Blnct AR'!$C$2:$D$2255,2,0))," ")</f>
        <v xml:space="preserve"> </v>
      </c>
      <c r="F2814" s="19"/>
      <c r="G2814" s="19"/>
      <c r="I2814" s="37"/>
    </row>
    <row r="2815" spans="4:9" s="14" customFormat="1" ht="15" customHeight="1">
      <c r="D2815" s="12" t="str">
        <f>IF(C2815&gt;0,(VLOOKUP(C2815,'Blnct AR'!$C$2:$D$2255,2,0))," ")</f>
        <v xml:space="preserve"> </v>
      </c>
      <c r="F2815" s="19"/>
      <c r="G2815" s="19"/>
      <c r="I2815" s="37"/>
    </row>
    <row r="2816" spans="4:9" s="14" customFormat="1" ht="15" customHeight="1">
      <c r="D2816" s="12" t="str">
        <f>IF(C2816&gt;0,(VLOOKUP(C2816,'Blnct AR'!$C$2:$D$2255,2,0))," ")</f>
        <v xml:space="preserve"> </v>
      </c>
      <c r="F2816" s="19"/>
      <c r="G2816" s="19"/>
      <c r="I2816" s="37"/>
    </row>
    <row r="2817" spans="4:9" s="14" customFormat="1" ht="15" customHeight="1">
      <c r="D2817" s="12" t="str">
        <f>IF(C2817&gt;0,(VLOOKUP(C2817,'Blnct AR'!$C$2:$D$2255,2,0))," ")</f>
        <v xml:space="preserve"> </v>
      </c>
      <c r="F2817" s="19"/>
      <c r="G2817" s="19"/>
      <c r="I2817" s="37"/>
    </row>
    <row r="2818" spans="4:9" s="14" customFormat="1" ht="15" customHeight="1">
      <c r="D2818" s="12" t="str">
        <f>IF(C2818&gt;0,(VLOOKUP(C2818,'Blnct AR'!$C$2:$D$2255,2,0))," ")</f>
        <v xml:space="preserve"> </v>
      </c>
      <c r="F2818" s="19"/>
      <c r="G2818" s="19"/>
      <c r="I2818" s="37"/>
    </row>
    <row r="2819" spans="4:9" s="14" customFormat="1" ht="15" customHeight="1">
      <c r="D2819" s="12" t="str">
        <f>IF(C2819&gt;0,(VLOOKUP(C2819,'Blnct AR'!$C$2:$D$2255,2,0))," ")</f>
        <v xml:space="preserve"> </v>
      </c>
      <c r="F2819" s="19"/>
      <c r="G2819" s="19"/>
      <c r="I2819" s="37"/>
    </row>
    <row r="2820" spans="4:9" s="14" customFormat="1" ht="15" customHeight="1">
      <c r="D2820" s="12" t="str">
        <f>IF(C2820&gt;0,(VLOOKUP(C2820,'Blnct AR'!$C$2:$D$2255,2,0))," ")</f>
        <v xml:space="preserve"> </v>
      </c>
      <c r="F2820" s="19"/>
      <c r="G2820" s="19"/>
      <c r="I2820" s="37"/>
    </row>
    <row r="2821" spans="4:9" s="14" customFormat="1" ht="15" customHeight="1">
      <c r="D2821" s="12" t="str">
        <f>IF(C2821&gt;0,(VLOOKUP(C2821,'Blnct AR'!$C$2:$D$2255,2,0))," ")</f>
        <v xml:space="preserve"> </v>
      </c>
      <c r="F2821" s="19"/>
      <c r="G2821" s="19"/>
      <c r="I2821" s="37"/>
    </row>
    <row r="2822" spans="4:9" s="14" customFormat="1" ht="15" customHeight="1">
      <c r="D2822" s="12" t="str">
        <f>IF(C2822&gt;0,(VLOOKUP(C2822,'Blnct AR'!$C$2:$D$2255,2,0))," ")</f>
        <v xml:space="preserve"> </v>
      </c>
      <c r="F2822" s="19"/>
      <c r="G2822" s="19"/>
      <c r="I2822" s="37"/>
    </row>
    <row r="2823" spans="4:9" s="14" customFormat="1" ht="15" customHeight="1">
      <c r="D2823" s="12" t="str">
        <f>IF(C2823&gt;0,(VLOOKUP(C2823,'Blnct AR'!$C$2:$D$2255,2,0))," ")</f>
        <v xml:space="preserve"> </v>
      </c>
      <c r="F2823" s="19"/>
      <c r="G2823" s="19"/>
      <c r="I2823" s="37"/>
    </row>
    <row r="2824" spans="4:9" s="14" customFormat="1" ht="15" customHeight="1">
      <c r="D2824" s="12" t="str">
        <f>IF(C2824&gt;0,(VLOOKUP(C2824,'Blnct AR'!$C$2:$D$2255,2,0))," ")</f>
        <v xml:space="preserve"> </v>
      </c>
      <c r="F2824" s="19"/>
      <c r="G2824" s="19"/>
      <c r="I2824" s="37"/>
    </row>
    <row r="2825" spans="4:9" s="14" customFormat="1" ht="15" customHeight="1">
      <c r="D2825" s="12" t="str">
        <f>IF(C2825&gt;0,(VLOOKUP(C2825,'Blnct AR'!$C$2:$D$2255,2,0))," ")</f>
        <v xml:space="preserve"> </v>
      </c>
      <c r="F2825" s="19"/>
      <c r="G2825" s="19"/>
      <c r="I2825" s="37"/>
    </row>
    <row r="2826" spans="4:9" s="14" customFormat="1" ht="15" customHeight="1">
      <c r="D2826" s="12" t="str">
        <f>IF(C2826&gt;0,(VLOOKUP(C2826,'Blnct AR'!$C$2:$D$2255,2,0))," ")</f>
        <v xml:space="preserve"> </v>
      </c>
      <c r="F2826" s="19"/>
      <c r="G2826" s="19"/>
      <c r="I2826" s="37"/>
    </row>
    <row r="2827" spans="4:9" s="14" customFormat="1" ht="15" customHeight="1">
      <c r="D2827" s="12" t="str">
        <f>IF(C2827&gt;0,(VLOOKUP(C2827,'Blnct AR'!$C$2:$D$2255,2,0))," ")</f>
        <v xml:space="preserve"> </v>
      </c>
      <c r="F2827" s="19"/>
      <c r="G2827" s="19"/>
      <c r="I2827" s="37"/>
    </row>
    <row r="2828" spans="4:9" s="14" customFormat="1" ht="15" customHeight="1">
      <c r="D2828" s="12" t="str">
        <f>IF(C2828&gt;0,(VLOOKUP(C2828,'Blnct AR'!$C$2:$D$2255,2,0))," ")</f>
        <v xml:space="preserve"> </v>
      </c>
      <c r="F2828" s="19"/>
      <c r="G2828" s="19"/>
      <c r="I2828" s="37"/>
    </row>
    <row r="2829" spans="4:9" s="14" customFormat="1" ht="15" customHeight="1">
      <c r="D2829" s="12" t="str">
        <f>IF(C2829&gt;0,(VLOOKUP(C2829,'Blnct AR'!$C$2:$D$2255,2,0))," ")</f>
        <v xml:space="preserve"> </v>
      </c>
      <c r="F2829" s="19"/>
      <c r="G2829" s="19"/>
      <c r="I2829" s="37"/>
    </row>
    <row r="2830" spans="4:9" s="14" customFormat="1" ht="15" customHeight="1">
      <c r="D2830" s="12" t="str">
        <f>IF(C2830&gt;0,(VLOOKUP(C2830,'Blnct AR'!$C$2:$D$2255,2,0))," ")</f>
        <v xml:space="preserve"> </v>
      </c>
      <c r="F2830" s="19"/>
      <c r="G2830" s="19"/>
      <c r="I2830" s="37"/>
    </row>
    <row r="2831" spans="4:9" s="14" customFormat="1" ht="15" customHeight="1">
      <c r="D2831" s="12" t="str">
        <f>IF(C2831&gt;0,(VLOOKUP(C2831,'Blnct AR'!$C$2:$D$2255,2,0))," ")</f>
        <v xml:space="preserve"> </v>
      </c>
      <c r="F2831" s="19"/>
      <c r="G2831" s="19"/>
      <c r="I2831" s="37"/>
    </row>
    <row r="2832" spans="4:9" s="14" customFormat="1" ht="15" customHeight="1">
      <c r="D2832" s="12" t="str">
        <f>IF(C2832&gt;0,(VLOOKUP(C2832,'Blnct AR'!$C$2:$D$2255,2,0))," ")</f>
        <v xml:space="preserve"> </v>
      </c>
      <c r="F2832" s="19"/>
      <c r="G2832" s="19"/>
      <c r="I2832" s="37"/>
    </row>
    <row r="2833" spans="4:9" s="14" customFormat="1" ht="15" customHeight="1">
      <c r="D2833" s="12" t="str">
        <f>IF(C2833&gt;0,(VLOOKUP(C2833,'Blnct AR'!$C$2:$D$2255,2,0))," ")</f>
        <v xml:space="preserve"> </v>
      </c>
      <c r="F2833" s="19"/>
      <c r="G2833" s="19"/>
      <c r="I2833" s="37"/>
    </row>
    <row r="2834" spans="4:9" s="14" customFormat="1" ht="15" customHeight="1">
      <c r="D2834" s="12" t="str">
        <f>IF(C2834&gt;0,(VLOOKUP(C2834,'Blnct AR'!$C$2:$D$2255,2,0))," ")</f>
        <v xml:space="preserve"> </v>
      </c>
      <c r="F2834" s="19"/>
      <c r="G2834" s="19"/>
      <c r="I2834" s="37"/>
    </row>
    <row r="2835" spans="4:9" s="14" customFormat="1" ht="15" customHeight="1">
      <c r="D2835" s="12" t="str">
        <f>IF(C2835&gt;0,(VLOOKUP(C2835,'Blnct AR'!$C$2:$D$2255,2,0))," ")</f>
        <v xml:space="preserve"> </v>
      </c>
      <c r="F2835" s="19"/>
      <c r="G2835" s="19"/>
      <c r="I2835" s="37"/>
    </row>
    <row r="2836" spans="4:9" s="14" customFormat="1" ht="15" customHeight="1">
      <c r="D2836" s="12" t="str">
        <f>IF(C2836&gt;0,(VLOOKUP(C2836,'Blnct AR'!$C$2:$D$2255,2,0))," ")</f>
        <v xml:space="preserve"> </v>
      </c>
      <c r="F2836" s="19"/>
      <c r="G2836" s="19"/>
      <c r="I2836" s="37"/>
    </row>
    <row r="2837" spans="4:9" s="14" customFormat="1" ht="15" customHeight="1">
      <c r="D2837" s="12" t="str">
        <f>IF(C2837&gt;0,(VLOOKUP(C2837,'Blnct AR'!$C$2:$D$2255,2,0))," ")</f>
        <v xml:space="preserve"> </v>
      </c>
      <c r="F2837" s="19"/>
      <c r="G2837" s="19"/>
      <c r="I2837" s="37"/>
    </row>
    <row r="2838" spans="4:9" s="14" customFormat="1" ht="15" customHeight="1">
      <c r="D2838" s="12" t="str">
        <f>IF(C2838&gt;0,(VLOOKUP(C2838,'Blnct AR'!$C$2:$D$2255,2,0))," ")</f>
        <v xml:space="preserve"> </v>
      </c>
      <c r="F2838" s="19"/>
      <c r="G2838" s="19"/>
      <c r="I2838" s="37"/>
    </row>
    <row r="2839" spans="4:9" s="14" customFormat="1" ht="15" customHeight="1">
      <c r="D2839" s="12" t="str">
        <f>IF(C2839&gt;0,(VLOOKUP(C2839,'Blnct AR'!$C$2:$D$2255,2,0))," ")</f>
        <v xml:space="preserve"> </v>
      </c>
      <c r="F2839" s="19"/>
      <c r="G2839" s="19"/>
      <c r="I2839" s="37"/>
    </row>
    <row r="2840" spans="4:9" s="14" customFormat="1" ht="15" customHeight="1">
      <c r="D2840" s="12" t="str">
        <f>IF(C2840&gt;0,(VLOOKUP(C2840,'Blnct AR'!$C$2:$D$2255,2,0))," ")</f>
        <v xml:space="preserve"> </v>
      </c>
      <c r="F2840" s="19"/>
      <c r="G2840" s="19"/>
      <c r="I2840" s="37"/>
    </row>
    <row r="2841" spans="4:9" s="14" customFormat="1" ht="15" customHeight="1">
      <c r="D2841" s="12" t="str">
        <f>IF(C2841&gt;0,(VLOOKUP(C2841,'Blnct AR'!$C$2:$D$2255,2,0))," ")</f>
        <v xml:space="preserve"> </v>
      </c>
      <c r="F2841" s="19"/>
      <c r="G2841" s="19"/>
      <c r="I2841" s="37"/>
    </row>
    <row r="2842" spans="4:9" s="14" customFormat="1" ht="15" customHeight="1">
      <c r="D2842" s="12" t="str">
        <f>IF(C2842&gt;0,(VLOOKUP(C2842,'Blnct AR'!$C$2:$D$2255,2,0))," ")</f>
        <v xml:space="preserve"> </v>
      </c>
      <c r="F2842" s="19"/>
      <c r="G2842" s="19"/>
      <c r="I2842" s="37"/>
    </row>
    <row r="2843" spans="4:9" s="14" customFormat="1" ht="15" customHeight="1">
      <c r="D2843" s="12" t="str">
        <f>IF(C2843&gt;0,(VLOOKUP(C2843,'Blnct AR'!$C$2:$D$2255,2,0))," ")</f>
        <v xml:space="preserve"> </v>
      </c>
      <c r="F2843" s="19"/>
      <c r="G2843" s="19"/>
      <c r="I2843" s="37"/>
    </row>
    <row r="2844" spans="4:9" s="14" customFormat="1" ht="15" customHeight="1">
      <c r="D2844" s="12" t="str">
        <f>IF(C2844&gt;0,(VLOOKUP(C2844,'Blnct AR'!$C$2:$D$2255,2,0))," ")</f>
        <v xml:space="preserve"> </v>
      </c>
      <c r="F2844" s="19"/>
      <c r="G2844" s="19"/>
      <c r="I2844" s="37"/>
    </row>
    <row r="2845" spans="4:9" s="14" customFormat="1" ht="15" customHeight="1">
      <c r="D2845" s="12" t="str">
        <f>IF(C2845&gt;0,(VLOOKUP(C2845,'Blnct AR'!$C$2:$D$2255,2,0))," ")</f>
        <v xml:space="preserve"> </v>
      </c>
      <c r="F2845" s="19"/>
      <c r="G2845" s="19"/>
      <c r="I2845" s="37"/>
    </row>
    <row r="2846" spans="4:9" s="14" customFormat="1" ht="15" customHeight="1">
      <c r="D2846" s="12" t="str">
        <f>IF(C2846&gt;0,(VLOOKUP(C2846,'Blnct AR'!$C$2:$D$2255,2,0))," ")</f>
        <v xml:space="preserve"> </v>
      </c>
      <c r="F2846" s="19"/>
      <c r="G2846" s="19"/>
      <c r="I2846" s="37"/>
    </row>
    <row r="2847" spans="4:9" s="14" customFormat="1" ht="15" customHeight="1">
      <c r="D2847" s="12" t="str">
        <f>IF(C2847&gt;0,(VLOOKUP(C2847,'Blnct AR'!$C$2:$D$2255,2,0))," ")</f>
        <v xml:space="preserve"> </v>
      </c>
      <c r="F2847" s="19"/>
      <c r="G2847" s="19"/>
      <c r="I2847" s="37"/>
    </row>
    <row r="2848" spans="4:9" s="14" customFormat="1" ht="15" customHeight="1">
      <c r="D2848" s="12" t="str">
        <f>IF(C2848&gt;0,(VLOOKUP(C2848,'Blnct AR'!$C$2:$D$2255,2,0))," ")</f>
        <v xml:space="preserve"> </v>
      </c>
      <c r="F2848" s="19"/>
      <c r="G2848" s="19"/>
      <c r="I2848" s="37"/>
    </row>
    <row r="2849" spans="4:9" s="14" customFormat="1" ht="15" customHeight="1">
      <c r="D2849" s="12" t="str">
        <f>IF(C2849&gt;0,(VLOOKUP(C2849,'Blnct AR'!$C$2:$D$2255,2,0))," ")</f>
        <v xml:space="preserve"> </v>
      </c>
      <c r="F2849" s="19"/>
      <c r="G2849" s="19"/>
      <c r="I2849" s="37"/>
    </row>
    <row r="2850" spans="4:9" s="14" customFormat="1" ht="15" customHeight="1">
      <c r="D2850" s="12" t="str">
        <f>IF(C2850&gt;0,(VLOOKUP(C2850,'Blnct AR'!$C$2:$D$2255,2,0))," ")</f>
        <v xml:space="preserve"> </v>
      </c>
      <c r="F2850" s="19"/>
      <c r="G2850" s="19"/>
      <c r="I2850" s="37"/>
    </row>
    <row r="2851" spans="4:9" s="14" customFormat="1" ht="15" customHeight="1">
      <c r="D2851" s="12" t="str">
        <f>IF(C2851&gt;0,(VLOOKUP(C2851,'Blnct AR'!$C$2:$D$2255,2,0))," ")</f>
        <v xml:space="preserve"> </v>
      </c>
      <c r="F2851" s="19"/>
      <c r="G2851" s="19"/>
      <c r="I2851" s="37"/>
    </row>
    <row r="2852" spans="4:9" s="14" customFormat="1" ht="15" customHeight="1">
      <c r="D2852" s="12" t="str">
        <f>IF(C2852&gt;0,(VLOOKUP(C2852,'Blnct AR'!$C$2:$D$2255,2,0))," ")</f>
        <v xml:space="preserve"> </v>
      </c>
      <c r="F2852" s="19"/>
      <c r="G2852" s="19"/>
      <c r="I2852" s="37"/>
    </row>
    <row r="2853" spans="4:9" s="14" customFormat="1" ht="15" customHeight="1">
      <c r="D2853" s="12" t="str">
        <f>IF(C2853&gt;0,(VLOOKUP(C2853,'Blnct AR'!$C$2:$D$2255,2,0))," ")</f>
        <v xml:space="preserve"> </v>
      </c>
      <c r="F2853" s="19"/>
      <c r="G2853" s="19"/>
      <c r="I2853" s="37"/>
    </row>
    <row r="2854" spans="4:9" s="14" customFormat="1" ht="15" customHeight="1">
      <c r="D2854" s="12" t="str">
        <f>IF(C2854&gt;0,(VLOOKUP(C2854,'Blnct AR'!$C$2:$D$2255,2,0))," ")</f>
        <v xml:space="preserve"> </v>
      </c>
      <c r="F2854" s="19"/>
      <c r="G2854" s="19"/>
      <c r="I2854" s="37"/>
    </row>
    <row r="2855" spans="4:9" s="14" customFormat="1" ht="15" customHeight="1">
      <c r="D2855" s="12" t="str">
        <f>IF(C2855&gt;0,(VLOOKUP(C2855,'Blnct AR'!$C$2:$D$2255,2,0))," ")</f>
        <v xml:space="preserve"> </v>
      </c>
      <c r="F2855" s="19"/>
      <c r="G2855" s="19"/>
      <c r="I2855" s="37"/>
    </row>
    <row r="2856" spans="4:9" s="14" customFormat="1" ht="15" customHeight="1">
      <c r="D2856" s="12" t="str">
        <f>IF(C2856&gt;0,(VLOOKUP(C2856,'Blnct AR'!$C$2:$D$2255,2,0))," ")</f>
        <v xml:space="preserve"> </v>
      </c>
      <c r="F2856" s="19"/>
      <c r="G2856" s="19"/>
      <c r="I2856" s="37"/>
    </row>
    <row r="2857" spans="4:9" s="14" customFormat="1" ht="15" customHeight="1">
      <c r="D2857" s="12" t="str">
        <f>IF(C2857&gt;0,(VLOOKUP(C2857,'Blnct AR'!$C$2:$D$2255,2,0))," ")</f>
        <v xml:space="preserve"> </v>
      </c>
      <c r="F2857" s="19"/>
      <c r="G2857" s="19"/>
      <c r="I2857" s="37"/>
    </row>
    <row r="2858" spans="4:9" s="14" customFormat="1" ht="15" customHeight="1">
      <c r="D2858" s="12" t="str">
        <f>IF(C2858&gt;0,(VLOOKUP(C2858,'Blnct AR'!$C$2:$D$2255,2,0))," ")</f>
        <v xml:space="preserve"> </v>
      </c>
      <c r="F2858" s="19"/>
      <c r="G2858" s="19"/>
      <c r="I2858" s="37"/>
    </row>
    <row r="2859" spans="4:9" s="14" customFormat="1" ht="15" customHeight="1">
      <c r="D2859" s="12" t="str">
        <f>IF(C2859&gt;0,(VLOOKUP(C2859,'Blnct AR'!$C$2:$D$2255,2,0))," ")</f>
        <v xml:space="preserve"> </v>
      </c>
      <c r="F2859" s="19"/>
      <c r="G2859" s="19"/>
      <c r="I2859" s="37"/>
    </row>
    <row r="2860" spans="4:9" s="14" customFormat="1" ht="15" customHeight="1">
      <c r="D2860" s="12" t="str">
        <f>IF(C2860&gt;0,(VLOOKUP(C2860,'Blnct AR'!$C$2:$D$2255,2,0))," ")</f>
        <v xml:space="preserve"> </v>
      </c>
      <c r="F2860" s="19"/>
      <c r="G2860" s="19"/>
      <c r="I2860" s="37"/>
    </row>
    <row r="2861" spans="4:9" s="14" customFormat="1" ht="15" customHeight="1">
      <c r="D2861" s="12" t="str">
        <f>IF(C2861&gt;0,(VLOOKUP(C2861,'Blnct AR'!$C$2:$D$2255,2,0))," ")</f>
        <v xml:space="preserve"> </v>
      </c>
      <c r="F2861" s="19"/>
      <c r="G2861" s="19"/>
      <c r="I2861" s="37"/>
    </row>
    <row r="2862" spans="4:9" s="14" customFormat="1" ht="15" customHeight="1">
      <c r="D2862" s="12" t="str">
        <f>IF(C2862&gt;0,(VLOOKUP(C2862,'Blnct AR'!$C$2:$D$2255,2,0))," ")</f>
        <v xml:space="preserve"> </v>
      </c>
      <c r="F2862" s="19"/>
      <c r="G2862" s="19"/>
      <c r="I2862" s="37"/>
    </row>
    <row r="2863" spans="4:9" s="14" customFormat="1" ht="15" customHeight="1">
      <c r="D2863" s="12" t="str">
        <f>IF(C2863&gt;0,(VLOOKUP(C2863,'Blnct AR'!$C$2:$D$2255,2,0))," ")</f>
        <v xml:space="preserve"> </v>
      </c>
      <c r="F2863" s="19"/>
      <c r="G2863" s="19"/>
      <c r="I2863" s="37"/>
    </row>
    <row r="2864" spans="4:9" s="14" customFormat="1" ht="15" customHeight="1">
      <c r="D2864" s="12" t="str">
        <f>IF(C2864&gt;0,(VLOOKUP(C2864,'Blnct AR'!$C$2:$D$2255,2,0))," ")</f>
        <v xml:space="preserve"> </v>
      </c>
      <c r="F2864" s="19"/>
      <c r="G2864" s="19"/>
      <c r="I2864" s="37"/>
    </row>
    <row r="2865" spans="4:9" s="14" customFormat="1" ht="15" customHeight="1">
      <c r="D2865" s="12" t="str">
        <f>IF(C2865&gt;0,(VLOOKUP(C2865,'Blnct AR'!$C$2:$D$2255,2,0))," ")</f>
        <v xml:space="preserve"> </v>
      </c>
      <c r="F2865" s="19"/>
      <c r="G2865" s="19"/>
      <c r="I2865" s="37"/>
    </row>
    <row r="2866" spans="4:9" s="14" customFormat="1" ht="15" customHeight="1">
      <c r="D2866" s="12" t="str">
        <f>IF(C2866&gt;0,(VLOOKUP(C2866,'Blnct AR'!$C$2:$D$2255,2,0))," ")</f>
        <v xml:space="preserve"> </v>
      </c>
      <c r="F2866" s="19"/>
      <c r="G2866" s="19"/>
      <c r="I2866" s="37"/>
    </row>
    <row r="2867" spans="4:9" s="14" customFormat="1" ht="15" customHeight="1">
      <c r="D2867" s="12" t="str">
        <f>IF(C2867&gt;0,(VLOOKUP(C2867,'Blnct AR'!$C$2:$D$2255,2,0))," ")</f>
        <v xml:space="preserve"> </v>
      </c>
      <c r="F2867" s="19"/>
      <c r="G2867" s="19"/>
      <c r="I2867" s="37"/>
    </row>
    <row r="2868" spans="4:9" s="14" customFormat="1" ht="15" customHeight="1">
      <c r="D2868" s="12" t="str">
        <f>IF(C2868&gt;0,(VLOOKUP(C2868,'Blnct AR'!$C$2:$D$2255,2,0))," ")</f>
        <v xml:space="preserve"> </v>
      </c>
      <c r="F2868" s="19"/>
      <c r="G2868" s="19"/>
      <c r="I2868" s="37"/>
    </row>
    <row r="2869" spans="4:9" s="14" customFormat="1" ht="15" customHeight="1">
      <c r="D2869" s="12" t="str">
        <f>IF(C2869&gt;0,(VLOOKUP(C2869,'Blnct AR'!$C$2:$D$2255,2,0))," ")</f>
        <v xml:space="preserve"> </v>
      </c>
      <c r="F2869" s="19"/>
      <c r="G2869" s="19"/>
      <c r="I2869" s="37"/>
    </row>
    <row r="2870" spans="4:9" s="14" customFormat="1" ht="15" customHeight="1">
      <c r="D2870" s="12" t="str">
        <f>IF(C2870&gt;0,(VLOOKUP(C2870,'Blnct AR'!$C$2:$D$2255,2,0))," ")</f>
        <v xml:space="preserve"> </v>
      </c>
      <c r="F2870" s="19"/>
      <c r="G2870" s="19"/>
      <c r="I2870" s="37"/>
    </row>
    <row r="2871" spans="4:9" s="14" customFormat="1" ht="15" customHeight="1">
      <c r="D2871" s="12" t="str">
        <f>IF(C2871&gt;0,(VLOOKUP(C2871,'Blnct AR'!$C$2:$D$2255,2,0))," ")</f>
        <v xml:space="preserve"> </v>
      </c>
      <c r="F2871" s="19"/>
      <c r="G2871" s="19"/>
      <c r="I2871" s="37"/>
    </row>
    <row r="2872" spans="4:9" s="14" customFormat="1" ht="15" customHeight="1">
      <c r="D2872" s="12" t="str">
        <f>IF(C2872&gt;0,(VLOOKUP(C2872,'Blnct AR'!$C$2:$D$2255,2,0))," ")</f>
        <v xml:space="preserve"> </v>
      </c>
      <c r="F2872" s="19"/>
      <c r="G2872" s="19"/>
      <c r="I2872" s="37"/>
    </row>
    <row r="2873" spans="4:9" s="14" customFormat="1" ht="15" customHeight="1">
      <c r="D2873" s="12" t="str">
        <f>IF(C2873&gt;0,(VLOOKUP(C2873,'Blnct AR'!$C$2:$D$2255,2,0))," ")</f>
        <v xml:space="preserve"> </v>
      </c>
      <c r="F2873" s="19"/>
      <c r="G2873" s="19"/>
      <c r="I2873" s="37"/>
    </row>
    <row r="2874" spans="4:9" s="14" customFormat="1" ht="15" customHeight="1">
      <c r="D2874" s="12" t="str">
        <f>IF(C2874&gt;0,(VLOOKUP(C2874,'Blnct AR'!$C$2:$D$2255,2,0))," ")</f>
        <v xml:space="preserve"> </v>
      </c>
      <c r="F2874" s="19"/>
      <c r="G2874" s="19"/>
      <c r="I2874" s="37"/>
    </row>
    <row r="2875" spans="4:9" s="14" customFormat="1" ht="15" customHeight="1">
      <c r="D2875" s="12" t="str">
        <f>IF(C2875&gt;0,(VLOOKUP(C2875,'Blnct AR'!$C$2:$D$2255,2,0))," ")</f>
        <v xml:space="preserve"> </v>
      </c>
      <c r="F2875" s="19"/>
      <c r="G2875" s="19"/>
      <c r="I2875" s="37"/>
    </row>
    <row r="2876" spans="4:9" s="14" customFormat="1" ht="15" customHeight="1">
      <c r="D2876" s="12" t="str">
        <f>IF(C2876&gt;0,(VLOOKUP(C2876,'Blnct AR'!$C$2:$D$2255,2,0))," ")</f>
        <v xml:space="preserve"> </v>
      </c>
      <c r="F2876" s="19"/>
      <c r="G2876" s="19"/>
      <c r="I2876" s="37"/>
    </row>
    <row r="2877" spans="4:9" s="14" customFormat="1" ht="15" customHeight="1">
      <c r="D2877" s="12" t="str">
        <f>IF(C2877&gt;0,(VLOOKUP(C2877,'Blnct AR'!$C$2:$D$2255,2,0))," ")</f>
        <v xml:space="preserve"> </v>
      </c>
      <c r="F2877" s="19"/>
      <c r="G2877" s="19"/>
      <c r="I2877" s="37"/>
    </row>
    <row r="2878" spans="4:9" s="14" customFormat="1" ht="15" customHeight="1">
      <c r="D2878" s="12" t="str">
        <f>IF(C2878&gt;0,(VLOOKUP(C2878,'Blnct AR'!$C$2:$D$2255,2,0))," ")</f>
        <v xml:space="preserve"> </v>
      </c>
      <c r="F2878" s="19"/>
      <c r="G2878" s="19"/>
      <c r="I2878" s="37"/>
    </row>
    <row r="2879" spans="4:9" s="14" customFormat="1" ht="15" customHeight="1">
      <c r="D2879" s="12" t="str">
        <f>IF(C2879&gt;0,(VLOOKUP(C2879,'Blnct AR'!$C$2:$D$2255,2,0))," ")</f>
        <v xml:space="preserve"> </v>
      </c>
      <c r="F2879" s="19"/>
      <c r="G2879" s="19"/>
      <c r="I2879" s="37"/>
    </row>
    <row r="2880" spans="4:9" s="14" customFormat="1" ht="15" customHeight="1">
      <c r="D2880" s="12" t="str">
        <f>IF(C2880&gt;0,(VLOOKUP(C2880,'Blnct AR'!$C$2:$D$2255,2,0))," ")</f>
        <v xml:space="preserve"> </v>
      </c>
      <c r="F2880" s="19"/>
      <c r="G2880" s="19"/>
      <c r="I2880" s="37"/>
    </row>
    <row r="2881" spans="4:9" s="14" customFormat="1" ht="15" customHeight="1">
      <c r="D2881" s="12" t="str">
        <f>IF(C2881&gt;0,(VLOOKUP(C2881,'Blnct AR'!$C$2:$D$2255,2,0))," ")</f>
        <v xml:space="preserve"> </v>
      </c>
      <c r="F2881" s="19"/>
      <c r="G2881" s="19"/>
      <c r="I2881" s="37"/>
    </row>
    <row r="2882" spans="4:9" s="14" customFormat="1" ht="15" customHeight="1">
      <c r="D2882" s="12" t="str">
        <f>IF(C2882&gt;0,(VLOOKUP(C2882,'Blnct AR'!$C$2:$D$2255,2,0))," ")</f>
        <v xml:space="preserve"> </v>
      </c>
      <c r="F2882" s="19"/>
      <c r="G2882" s="19"/>
      <c r="I2882" s="37"/>
    </row>
    <row r="2883" spans="4:9" s="14" customFormat="1" ht="15" customHeight="1">
      <c r="D2883" s="12" t="str">
        <f>IF(C2883&gt;0,(VLOOKUP(C2883,'Blnct AR'!$C$2:$D$2255,2,0))," ")</f>
        <v xml:space="preserve"> </v>
      </c>
      <c r="F2883" s="19"/>
      <c r="G2883" s="19"/>
      <c r="I2883" s="37"/>
    </row>
    <row r="2884" spans="4:9" s="14" customFormat="1" ht="15" customHeight="1">
      <c r="D2884" s="12" t="str">
        <f>IF(C2884&gt;0,(VLOOKUP(C2884,'Blnct AR'!$C$2:$D$2255,2,0))," ")</f>
        <v xml:space="preserve"> </v>
      </c>
      <c r="F2884" s="19"/>
      <c r="G2884" s="19"/>
      <c r="I2884" s="37"/>
    </row>
    <row r="2885" spans="4:9" s="14" customFormat="1" ht="15" customHeight="1">
      <c r="D2885" s="12" t="str">
        <f>IF(C2885&gt;0,(VLOOKUP(C2885,'Blnct AR'!$C$2:$D$2255,2,0))," ")</f>
        <v xml:space="preserve"> </v>
      </c>
      <c r="F2885" s="19"/>
      <c r="G2885" s="19"/>
      <c r="I2885" s="37"/>
    </row>
    <row r="2886" spans="4:9" s="14" customFormat="1" ht="15" customHeight="1">
      <c r="D2886" s="12" t="str">
        <f>IF(C2886&gt;0,(VLOOKUP(C2886,'Blnct AR'!$C$2:$D$2255,2,0))," ")</f>
        <v xml:space="preserve"> </v>
      </c>
      <c r="F2886" s="19"/>
      <c r="G2886" s="19"/>
      <c r="I2886" s="37"/>
    </row>
    <row r="2887" spans="4:9" s="14" customFormat="1" ht="15" customHeight="1">
      <c r="D2887" s="12" t="str">
        <f>IF(C2887&gt;0,(VLOOKUP(C2887,'Blnct AR'!$C$2:$D$2255,2,0))," ")</f>
        <v xml:space="preserve"> </v>
      </c>
      <c r="F2887" s="19"/>
      <c r="G2887" s="19"/>
      <c r="I2887" s="37"/>
    </row>
    <row r="2888" spans="4:9" s="14" customFormat="1" ht="15" customHeight="1">
      <c r="D2888" s="12" t="str">
        <f>IF(C2888&gt;0,(VLOOKUP(C2888,'Blnct AR'!$C$2:$D$2255,2,0))," ")</f>
        <v xml:space="preserve"> </v>
      </c>
      <c r="F2888" s="19"/>
      <c r="G2888" s="19"/>
      <c r="I2888" s="37"/>
    </row>
    <row r="2889" spans="4:9" s="14" customFormat="1" ht="15" customHeight="1">
      <c r="D2889" s="12" t="str">
        <f>IF(C2889&gt;0,(VLOOKUP(C2889,'Blnct AR'!$C$2:$D$2255,2,0))," ")</f>
        <v xml:space="preserve"> </v>
      </c>
      <c r="F2889" s="19"/>
      <c r="G2889" s="19"/>
      <c r="I2889" s="37"/>
    </row>
    <row r="2890" spans="4:9" s="14" customFormat="1" ht="15" customHeight="1">
      <c r="D2890" s="12" t="str">
        <f>IF(C2890&gt;0,(VLOOKUP(C2890,'Blnct AR'!$C$2:$D$2255,2,0))," ")</f>
        <v xml:space="preserve"> </v>
      </c>
      <c r="F2890" s="19"/>
      <c r="G2890" s="19"/>
      <c r="I2890" s="37"/>
    </row>
    <row r="2891" spans="4:9" s="14" customFormat="1" ht="15" customHeight="1">
      <c r="D2891" s="12" t="str">
        <f>IF(C2891&gt;0,(VLOOKUP(C2891,'Blnct AR'!$C$2:$D$2255,2,0))," ")</f>
        <v xml:space="preserve"> </v>
      </c>
      <c r="F2891" s="19"/>
      <c r="G2891" s="19"/>
      <c r="I2891" s="37"/>
    </row>
    <row r="2892" spans="4:9" s="14" customFormat="1" ht="15" customHeight="1">
      <c r="D2892" s="12" t="str">
        <f>IF(C2892&gt;0,(VLOOKUP(C2892,'Blnct AR'!$C$2:$D$2255,2,0))," ")</f>
        <v xml:space="preserve"> </v>
      </c>
      <c r="F2892" s="19"/>
      <c r="G2892" s="19"/>
      <c r="I2892" s="37"/>
    </row>
    <row r="2893" spans="4:9" s="14" customFormat="1" ht="15" customHeight="1">
      <c r="D2893" s="12" t="str">
        <f>IF(C2893&gt;0,(VLOOKUP(C2893,'Blnct AR'!$C$2:$D$2255,2,0))," ")</f>
        <v xml:space="preserve"> </v>
      </c>
      <c r="F2893" s="19"/>
      <c r="G2893" s="19"/>
      <c r="I2893" s="37"/>
    </row>
    <row r="2894" spans="4:9" s="14" customFormat="1" ht="15" customHeight="1">
      <c r="D2894" s="12" t="str">
        <f>IF(C2894&gt;0,(VLOOKUP(C2894,'Blnct AR'!$C$2:$D$2255,2,0))," ")</f>
        <v xml:space="preserve"> </v>
      </c>
      <c r="F2894" s="19"/>
      <c r="G2894" s="19"/>
      <c r="I2894" s="37"/>
    </row>
    <row r="2895" spans="4:9" s="14" customFormat="1" ht="15" customHeight="1">
      <c r="D2895" s="12" t="str">
        <f>IF(C2895&gt;0,(VLOOKUP(C2895,'Blnct AR'!$C$2:$D$2255,2,0))," ")</f>
        <v xml:space="preserve"> </v>
      </c>
      <c r="F2895" s="19"/>
      <c r="G2895" s="19"/>
      <c r="I2895" s="37"/>
    </row>
    <row r="2896" spans="4:9" s="14" customFormat="1" ht="15" customHeight="1">
      <c r="D2896" s="12" t="str">
        <f>IF(C2896&gt;0,(VLOOKUP(C2896,'Blnct AR'!$C$2:$D$2255,2,0))," ")</f>
        <v xml:space="preserve"> </v>
      </c>
      <c r="F2896" s="19"/>
      <c r="G2896" s="19"/>
      <c r="I2896" s="37"/>
    </row>
    <row r="2897" spans="4:9" s="14" customFormat="1" ht="15" customHeight="1">
      <c r="D2897" s="12" t="str">
        <f>IF(C2897&gt;0,(VLOOKUP(C2897,'Blnct AR'!$C$2:$D$2255,2,0))," ")</f>
        <v xml:space="preserve"> </v>
      </c>
      <c r="F2897" s="19"/>
      <c r="G2897" s="19"/>
      <c r="I2897" s="37"/>
    </row>
    <row r="2898" spans="4:9" s="14" customFormat="1" ht="15" customHeight="1">
      <c r="D2898" s="12" t="str">
        <f>IF(C2898&gt;0,(VLOOKUP(C2898,'Blnct AR'!$C$2:$D$2255,2,0))," ")</f>
        <v xml:space="preserve"> </v>
      </c>
      <c r="F2898" s="19"/>
      <c r="G2898" s="19"/>
      <c r="I2898" s="37"/>
    </row>
    <row r="2899" spans="4:9" s="14" customFormat="1" ht="15" customHeight="1">
      <c r="D2899" s="12" t="str">
        <f>IF(C2899&gt;0,(VLOOKUP(C2899,'Blnct AR'!$C$2:$D$2255,2,0))," ")</f>
        <v xml:space="preserve"> </v>
      </c>
      <c r="F2899" s="19"/>
      <c r="G2899" s="19"/>
      <c r="I2899" s="37"/>
    </row>
    <row r="2900" spans="4:9" s="14" customFormat="1" ht="15" customHeight="1">
      <c r="D2900" s="12" t="str">
        <f>IF(C2900&gt;0,(VLOOKUP(C2900,'Blnct AR'!$C$2:$D$2255,2,0))," ")</f>
        <v xml:space="preserve"> </v>
      </c>
      <c r="F2900" s="19"/>
      <c r="G2900" s="19"/>
      <c r="I2900" s="37"/>
    </row>
    <row r="2901" spans="4:9" s="14" customFormat="1" ht="15" customHeight="1">
      <c r="D2901" s="12" t="str">
        <f>IF(C2901&gt;0,(VLOOKUP(C2901,'Blnct AR'!$C$2:$D$2255,2,0))," ")</f>
        <v xml:space="preserve"> </v>
      </c>
      <c r="F2901" s="19"/>
      <c r="G2901" s="19"/>
      <c r="I2901" s="37"/>
    </row>
    <row r="2902" spans="4:9" s="14" customFormat="1" ht="15" customHeight="1">
      <c r="D2902" s="12" t="str">
        <f>IF(C2902&gt;0,(VLOOKUP(C2902,'Blnct AR'!$C$2:$D$2255,2,0))," ")</f>
        <v xml:space="preserve"> </v>
      </c>
      <c r="F2902" s="19"/>
      <c r="G2902" s="19"/>
      <c r="I2902" s="37"/>
    </row>
    <row r="2903" spans="4:9" s="14" customFormat="1" ht="15" customHeight="1">
      <c r="D2903" s="12" t="str">
        <f>IF(C2903&gt;0,(VLOOKUP(C2903,'Blnct AR'!$C$2:$D$2255,2,0))," ")</f>
        <v xml:space="preserve"> </v>
      </c>
      <c r="F2903" s="19"/>
      <c r="G2903" s="19"/>
      <c r="I2903" s="37"/>
    </row>
    <row r="2904" spans="4:9" s="14" customFormat="1" ht="15" customHeight="1">
      <c r="D2904" s="12" t="str">
        <f>IF(C2904&gt;0,(VLOOKUP(C2904,'Blnct AR'!$C$2:$D$2255,2,0))," ")</f>
        <v xml:space="preserve"> </v>
      </c>
      <c r="F2904" s="19"/>
      <c r="G2904" s="19"/>
      <c r="I2904" s="37"/>
    </row>
    <row r="2905" spans="4:9" s="14" customFormat="1" ht="15" customHeight="1">
      <c r="D2905" s="12" t="str">
        <f>IF(C2905&gt;0,(VLOOKUP(C2905,'Blnct AR'!$C$2:$D$2255,2,0))," ")</f>
        <v xml:space="preserve"> </v>
      </c>
      <c r="F2905" s="19"/>
      <c r="G2905" s="19"/>
      <c r="I2905" s="37"/>
    </row>
    <row r="2906" spans="4:9" s="14" customFormat="1" ht="15" customHeight="1">
      <c r="D2906" s="12" t="str">
        <f>IF(C2906&gt;0,(VLOOKUP(C2906,'Blnct AR'!$C$2:$D$2255,2,0))," ")</f>
        <v xml:space="preserve"> </v>
      </c>
      <c r="F2906" s="19"/>
      <c r="G2906" s="19"/>
      <c r="I2906" s="37"/>
    </row>
    <row r="2907" spans="4:9" s="14" customFormat="1" ht="15" customHeight="1">
      <c r="D2907" s="12" t="str">
        <f>IF(C2907&gt;0,(VLOOKUP(C2907,'Blnct AR'!$C$2:$D$2255,2,0))," ")</f>
        <v xml:space="preserve"> </v>
      </c>
      <c r="F2907" s="19"/>
      <c r="G2907" s="19"/>
      <c r="I2907" s="37"/>
    </row>
    <row r="2908" spans="4:9" s="14" customFormat="1" ht="15" customHeight="1">
      <c r="D2908" s="12" t="str">
        <f>IF(C2908&gt;0,(VLOOKUP(C2908,'Blnct AR'!$C$2:$D$2255,2,0))," ")</f>
        <v xml:space="preserve"> </v>
      </c>
      <c r="F2908" s="19"/>
      <c r="G2908" s="19"/>
      <c r="I2908" s="37"/>
    </row>
    <row r="2909" spans="4:9" s="14" customFormat="1" ht="15" customHeight="1">
      <c r="D2909" s="12" t="str">
        <f>IF(C2909&gt;0,(VLOOKUP(C2909,'Blnct AR'!$C$2:$D$2255,2,0))," ")</f>
        <v xml:space="preserve"> </v>
      </c>
      <c r="F2909" s="19"/>
      <c r="G2909" s="19"/>
      <c r="I2909" s="37"/>
    </row>
    <row r="2910" spans="4:9" s="14" customFormat="1" ht="15" customHeight="1">
      <c r="D2910" s="12" t="str">
        <f>IF(C2910&gt;0,(VLOOKUP(C2910,'Blnct AR'!$C$2:$D$2255,2,0))," ")</f>
        <v xml:space="preserve"> </v>
      </c>
      <c r="F2910" s="19"/>
      <c r="G2910" s="19"/>
      <c r="I2910" s="37"/>
    </row>
    <row r="2911" spans="4:9" s="14" customFormat="1" ht="15" customHeight="1">
      <c r="D2911" s="12" t="str">
        <f>IF(C2911&gt;0,(VLOOKUP(C2911,'Blnct AR'!$C$2:$D$2255,2,0))," ")</f>
        <v xml:space="preserve"> </v>
      </c>
      <c r="F2911" s="19"/>
      <c r="G2911" s="19"/>
      <c r="I2911" s="37"/>
    </row>
    <row r="2912" spans="4:9" s="14" customFormat="1" ht="15" customHeight="1">
      <c r="D2912" s="12" t="str">
        <f>IF(C2912&gt;0,(VLOOKUP(C2912,'Blnct AR'!$C$2:$D$2255,2,0))," ")</f>
        <v xml:space="preserve"> </v>
      </c>
      <c r="F2912" s="19"/>
      <c r="G2912" s="19"/>
      <c r="I2912" s="37"/>
    </row>
    <row r="2913" spans="4:9" s="14" customFormat="1" ht="15" customHeight="1">
      <c r="D2913" s="12" t="str">
        <f>IF(C2913&gt;0,(VLOOKUP(C2913,'Blnct AR'!$C$2:$D$2255,2,0))," ")</f>
        <v xml:space="preserve"> </v>
      </c>
      <c r="F2913" s="19"/>
      <c r="G2913" s="19"/>
      <c r="I2913" s="37"/>
    </row>
    <row r="2914" spans="4:9" s="14" customFormat="1" ht="15" customHeight="1">
      <c r="D2914" s="12" t="str">
        <f>IF(C2914&gt;0,(VLOOKUP(C2914,'Blnct AR'!$C$2:$D$2255,2,0))," ")</f>
        <v xml:space="preserve"> </v>
      </c>
      <c r="F2914" s="19"/>
      <c r="G2914" s="19"/>
      <c r="I2914" s="37"/>
    </row>
    <row r="2915" spans="4:9" s="14" customFormat="1" ht="15" customHeight="1">
      <c r="D2915" s="12" t="str">
        <f>IF(C2915&gt;0,(VLOOKUP(C2915,'Blnct AR'!$C$2:$D$2255,2,0))," ")</f>
        <v xml:space="preserve"> </v>
      </c>
      <c r="F2915" s="19"/>
      <c r="G2915" s="19"/>
      <c r="I2915" s="37"/>
    </row>
    <row r="2916" spans="4:9" s="14" customFormat="1" ht="15" customHeight="1">
      <c r="D2916" s="12" t="str">
        <f>IF(C2916&gt;0,(VLOOKUP(C2916,'Blnct AR'!$C$2:$D$2255,2,0))," ")</f>
        <v xml:space="preserve"> </v>
      </c>
      <c r="F2916" s="19"/>
      <c r="G2916" s="19"/>
      <c r="I2916" s="37"/>
    </row>
    <row r="2917" spans="4:9" s="14" customFormat="1" ht="15" customHeight="1">
      <c r="D2917" s="12" t="str">
        <f>IF(C2917&gt;0,(VLOOKUP(C2917,'Blnct AR'!$C$2:$D$2255,2,0))," ")</f>
        <v xml:space="preserve"> </v>
      </c>
      <c r="F2917" s="19"/>
      <c r="G2917" s="19"/>
      <c r="I2917" s="37"/>
    </row>
    <row r="2918" spans="4:9" s="14" customFormat="1" ht="15" customHeight="1">
      <c r="D2918" s="12" t="str">
        <f>IF(C2918&gt;0,(VLOOKUP(C2918,'Blnct AR'!$C$2:$D$2255,2,0))," ")</f>
        <v xml:space="preserve"> </v>
      </c>
      <c r="F2918" s="19"/>
      <c r="G2918" s="19"/>
      <c r="I2918" s="37"/>
    </row>
    <row r="2919" spans="4:9" s="14" customFormat="1" ht="15" customHeight="1">
      <c r="D2919" s="12" t="str">
        <f>IF(C2919&gt;0,(VLOOKUP(C2919,'Blnct AR'!$C$2:$D$2255,2,0))," ")</f>
        <v xml:space="preserve"> </v>
      </c>
      <c r="F2919" s="19"/>
      <c r="G2919" s="19"/>
      <c r="I2919" s="37"/>
    </row>
    <row r="2920" spans="4:9" s="14" customFormat="1" ht="15" customHeight="1">
      <c r="D2920" s="12" t="str">
        <f>IF(C2920&gt;0,(VLOOKUP(C2920,'Blnct AR'!$C$2:$D$2255,2,0))," ")</f>
        <v xml:space="preserve"> </v>
      </c>
      <c r="F2920" s="19"/>
      <c r="G2920" s="19"/>
      <c r="I2920" s="37"/>
    </row>
    <row r="2921" spans="4:9" s="14" customFormat="1" ht="15" customHeight="1">
      <c r="D2921" s="12" t="str">
        <f>IF(C2921&gt;0,(VLOOKUP(C2921,'Blnct AR'!$C$2:$D$2255,2,0))," ")</f>
        <v xml:space="preserve"> </v>
      </c>
      <c r="F2921" s="19"/>
      <c r="G2921" s="19"/>
      <c r="I2921" s="37"/>
    </row>
    <row r="2922" spans="4:9" s="14" customFormat="1" ht="15" customHeight="1">
      <c r="D2922" s="12" t="str">
        <f>IF(C2922&gt;0,(VLOOKUP(C2922,'Blnct AR'!$C$2:$D$2255,2,0))," ")</f>
        <v xml:space="preserve"> </v>
      </c>
      <c r="F2922" s="19"/>
      <c r="G2922" s="19"/>
      <c r="I2922" s="37"/>
    </row>
    <row r="2923" spans="4:9" s="14" customFormat="1" ht="15" customHeight="1">
      <c r="D2923" s="12" t="str">
        <f>IF(C2923&gt;0,(VLOOKUP(C2923,'Blnct AR'!$C$2:$D$2255,2,0))," ")</f>
        <v xml:space="preserve"> </v>
      </c>
      <c r="F2923" s="19"/>
      <c r="G2923" s="19"/>
      <c r="I2923" s="37"/>
    </row>
    <row r="2924" spans="4:9" s="14" customFormat="1" ht="15" customHeight="1">
      <c r="D2924" s="12" t="str">
        <f>IF(C2924&gt;0,(VLOOKUP(C2924,'Blnct AR'!$C$2:$D$2255,2,0))," ")</f>
        <v xml:space="preserve"> </v>
      </c>
      <c r="F2924" s="19"/>
      <c r="G2924" s="19"/>
      <c r="I2924" s="37"/>
    </row>
    <row r="2925" spans="4:9" s="14" customFormat="1" ht="15" customHeight="1">
      <c r="D2925" s="12" t="str">
        <f>IF(C2925&gt;0,(VLOOKUP(C2925,'Blnct AR'!$C$2:$D$2255,2,0))," ")</f>
        <v xml:space="preserve"> </v>
      </c>
      <c r="F2925" s="19"/>
      <c r="G2925" s="19"/>
      <c r="I2925" s="37"/>
    </row>
    <row r="2926" spans="4:9" s="14" customFormat="1" ht="15" customHeight="1">
      <c r="D2926" s="12" t="str">
        <f>IF(C2926&gt;0,(VLOOKUP(C2926,'Blnct AR'!$C$2:$D$2255,2,0))," ")</f>
        <v xml:space="preserve"> </v>
      </c>
      <c r="F2926" s="19"/>
      <c r="G2926" s="19"/>
      <c r="I2926" s="37"/>
    </row>
    <row r="2927" spans="4:9" s="14" customFormat="1" ht="15" customHeight="1">
      <c r="D2927" s="12" t="str">
        <f>IF(C2927&gt;0,(VLOOKUP(C2927,'Blnct AR'!$C$2:$D$2255,2,0))," ")</f>
        <v xml:space="preserve"> </v>
      </c>
      <c r="F2927" s="19"/>
      <c r="G2927" s="19"/>
      <c r="I2927" s="37"/>
    </row>
    <row r="2928" spans="4:9" s="14" customFormat="1" ht="15" customHeight="1">
      <c r="D2928" s="12" t="str">
        <f>IF(C2928&gt;0,(VLOOKUP(C2928,'Blnct AR'!$C$2:$D$2255,2,0))," ")</f>
        <v xml:space="preserve"> </v>
      </c>
      <c r="F2928" s="19"/>
      <c r="G2928" s="19"/>
      <c r="I2928" s="37"/>
    </row>
    <row r="2929" spans="4:9" s="14" customFormat="1" ht="15" customHeight="1">
      <c r="D2929" s="12" t="str">
        <f>IF(C2929&gt;0,(VLOOKUP(C2929,'Blnct AR'!$C$2:$D$2255,2,0))," ")</f>
        <v xml:space="preserve"> </v>
      </c>
      <c r="F2929" s="19"/>
      <c r="G2929" s="19"/>
      <c r="I2929" s="37"/>
    </row>
    <row r="2930" spans="4:9" s="14" customFormat="1" ht="15" customHeight="1">
      <c r="D2930" s="12" t="str">
        <f>IF(C2930&gt;0,(VLOOKUP(C2930,'Blnct AR'!$C$2:$D$2255,2,0))," ")</f>
        <v xml:space="preserve"> </v>
      </c>
      <c r="F2930" s="19"/>
      <c r="G2930" s="19"/>
      <c r="I2930" s="37"/>
    </row>
    <row r="2931" spans="4:9" s="14" customFormat="1" ht="15" customHeight="1">
      <c r="D2931" s="12" t="str">
        <f>IF(C2931&gt;0,(VLOOKUP(C2931,'Blnct AR'!$C$2:$D$2255,2,0))," ")</f>
        <v xml:space="preserve"> </v>
      </c>
      <c r="F2931" s="19"/>
      <c r="G2931" s="19"/>
      <c r="I2931" s="37"/>
    </row>
    <row r="2932" spans="4:9" s="14" customFormat="1" ht="15" customHeight="1">
      <c r="D2932" s="12" t="str">
        <f>IF(C2932&gt;0,(VLOOKUP(C2932,'Blnct AR'!$C$2:$D$2255,2,0))," ")</f>
        <v xml:space="preserve"> </v>
      </c>
      <c r="F2932" s="19"/>
      <c r="G2932" s="19"/>
      <c r="I2932" s="37"/>
    </row>
    <row r="2933" spans="4:9" s="14" customFormat="1" ht="15" customHeight="1">
      <c r="D2933" s="12" t="str">
        <f>IF(C2933&gt;0,(VLOOKUP(C2933,'Blnct AR'!$C$2:$D$2255,2,0))," ")</f>
        <v xml:space="preserve"> </v>
      </c>
      <c r="F2933" s="19"/>
      <c r="G2933" s="19"/>
      <c r="I2933" s="37"/>
    </row>
    <row r="2934" spans="4:9" s="14" customFormat="1" ht="15" customHeight="1">
      <c r="D2934" s="12" t="str">
        <f>IF(C2934&gt;0,(VLOOKUP(C2934,'Blnct AR'!$C$2:$D$2255,2,0))," ")</f>
        <v xml:space="preserve"> </v>
      </c>
      <c r="F2934" s="19"/>
      <c r="G2934" s="19"/>
      <c r="I2934" s="37"/>
    </row>
    <row r="2935" spans="4:9" s="14" customFormat="1" ht="15" customHeight="1">
      <c r="D2935" s="12" t="str">
        <f>IF(C2935&gt;0,(VLOOKUP(C2935,'Blnct AR'!$C$2:$D$2255,2,0))," ")</f>
        <v xml:space="preserve"> </v>
      </c>
      <c r="F2935" s="19"/>
      <c r="G2935" s="19"/>
      <c r="I2935" s="37"/>
    </row>
    <row r="2936" spans="4:9" s="14" customFormat="1" ht="15" customHeight="1">
      <c r="D2936" s="12" t="str">
        <f>IF(C2936&gt;0,(VLOOKUP(C2936,'Blnct AR'!$C$2:$D$2255,2,0))," ")</f>
        <v xml:space="preserve"> </v>
      </c>
      <c r="F2936" s="19"/>
      <c r="G2936" s="19"/>
      <c r="I2936" s="37"/>
    </row>
    <row r="2937" spans="4:9" s="14" customFormat="1" ht="15" customHeight="1">
      <c r="D2937" s="12" t="str">
        <f>IF(C2937&gt;0,(VLOOKUP(C2937,'Blnct AR'!$C$2:$D$2255,2,0))," ")</f>
        <v xml:space="preserve"> </v>
      </c>
      <c r="F2937" s="19"/>
      <c r="G2937" s="19"/>
      <c r="I2937" s="37"/>
    </row>
    <row r="2938" spans="4:9" s="14" customFormat="1" ht="15" customHeight="1">
      <c r="D2938" s="12" t="str">
        <f>IF(C2938&gt;0,(VLOOKUP(C2938,'Blnct AR'!$C$2:$D$2255,2,0))," ")</f>
        <v xml:space="preserve"> </v>
      </c>
      <c r="F2938" s="19"/>
      <c r="G2938" s="19"/>
      <c r="I2938" s="37"/>
    </row>
    <row r="2939" spans="4:9" s="14" customFormat="1" ht="15" customHeight="1">
      <c r="D2939" s="12" t="str">
        <f>IF(C2939&gt;0,(VLOOKUP(C2939,'Blnct AR'!$C$2:$D$2255,2,0))," ")</f>
        <v xml:space="preserve"> </v>
      </c>
      <c r="F2939" s="19"/>
      <c r="G2939" s="19"/>
      <c r="I2939" s="37"/>
    </row>
    <row r="2940" spans="4:9" s="14" customFormat="1" ht="15" customHeight="1">
      <c r="D2940" s="12" t="str">
        <f>IF(C2940&gt;0,(VLOOKUP(C2940,'Blnct AR'!$C$2:$D$2255,2,0))," ")</f>
        <v xml:space="preserve"> </v>
      </c>
      <c r="F2940" s="19"/>
      <c r="G2940" s="19"/>
      <c r="I2940" s="37"/>
    </row>
    <row r="2941" spans="4:9" s="14" customFormat="1" ht="15" customHeight="1">
      <c r="D2941" s="12" t="str">
        <f>IF(C2941&gt;0,(VLOOKUP(C2941,'Blnct AR'!$C$2:$D$2255,2,0))," ")</f>
        <v xml:space="preserve"> </v>
      </c>
      <c r="F2941" s="19"/>
      <c r="G2941" s="19"/>
      <c r="I2941" s="37"/>
    </row>
    <row r="2942" spans="4:9" s="14" customFormat="1" ht="15" customHeight="1">
      <c r="D2942" s="12" t="str">
        <f>IF(C2942&gt;0,(VLOOKUP(C2942,'Blnct AR'!$C$2:$D$2255,2,0))," ")</f>
        <v xml:space="preserve"> </v>
      </c>
      <c r="F2942" s="19"/>
      <c r="G2942" s="19"/>
      <c r="I2942" s="37"/>
    </row>
    <row r="2943" spans="4:9" s="14" customFormat="1" ht="15" customHeight="1">
      <c r="D2943" s="12" t="str">
        <f>IF(C2943&gt;0,(VLOOKUP(C2943,'Blnct AR'!$C$2:$D$2255,2,0))," ")</f>
        <v xml:space="preserve"> </v>
      </c>
      <c r="F2943" s="19"/>
      <c r="G2943" s="19"/>
      <c r="I2943" s="37"/>
    </row>
    <row r="2944" spans="4:9" s="14" customFormat="1" ht="15" customHeight="1">
      <c r="D2944" s="12" t="str">
        <f>IF(C2944&gt;0,(VLOOKUP(C2944,'Blnct AR'!$C$2:$D$2255,2,0))," ")</f>
        <v xml:space="preserve"> </v>
      </c>
      <c r="F2944" s="19"/>
      <c r="G2944" s="19"/>
      <c r="I2944" s="37"/>
    </row>
    <row r="2945" spans="4:9" s="14" customFormat="1" ht="15" customHeight="1">
      <c r="D2945" s="12" t="str">
        <f>IF(C2945&gt;0,(VLOOKUP(C2945,'Blnct AR'!$C$2:$D$2255,2,0))," ")</f>
        <v xml:space="preserve"> </v>
      </c>
      <c r="F2945" s="19"/>
      <c r="G2945" s="19"/>
      <c r="I2945" s="37"/>
    </row>
    <row r="2946" spans="4:9" s="14" customFormat="1" ht="15" customHeight="1">
      <c r="D2946" s="12" t="str">
        <f>IF(C2946&gt;0,(VLOOKUP(C2946,'Blnct AR'!$C$2:$D$2255,2,0))," ")</f>
        <v xml:space="preserve"> </v>
      </c>
      <c r="F2946" s="19"/>
      <c r="G2946" s="19"/>
      <c r="I2946" s="37"/>
    </row>
    <row r="2947" spans="4:9" s="14" customFormat="1" ht="15" customHeight="1">
      <c r="D2947" s="12" t="str">
        <f>IF(C2947&gt;0,(VLOOKUP(C2947,'Blnct AR'!$C$2:$D$2255,2,0))," ")</f>
        <v xml:space="preserve"> </v>
      </c>
      <c r="F2947" s="19"/>
      <c r="G2947" s="19"/>
      <c r="I2947" s="37"/>
    </row>
    <row r="2948" spans="4:9" s="14" customFormat="1" ht="15" customHeight="1">
      <c r="D2948" s="12" t="str">
        <f>IF(C2948&gt;0,(VLOOKUP(C2948,'Blnct AR'!$C$2:$D$2255,2,0))," ")</f>
        <v xml:space="preserve"> </v>
      </c>
      <c r="F2948" s="19"/>
      <c r="G2948" s="19"/>
      <c r="I2948" s="37"/>
    </row>
    <row r="2949" spans="4:9" s="14" customFormat="1" ht="15" customHeight="1">
      <c r="D2949" s="12" t="str">
        <f>IF(C2949&gt;0,(VLOOKUP(C2949,'Blnct AR'!$C$2:$D$2255,2,0))," ")</f>
        <v xml:space="preserve"> </v>
      </c>
      <c r="F2949" s="19"/>
      <c r="G2949" s="19"/>
      <c r="I2949" s="37"/>
    </row>
    <row r="2950" spans="4:9" s="14" customFormat="1" ht="15" customHeight="1">
      <c r="D2950" s="12" t="str">
        <f>IF(C2950&gt;0,(VLOOKUP(C2950,'Blnct AR'!$C$2:$D$2255,2,0))," ")</f>
        <v xml:space="preserve"> </v>
      </c>
      <c r="F2950" s="19"/>
      <c r="G2950" s="19"/>
      <c r="I2950" s="37"/>
    </row>
    <row r="2951" spans="4:9" s="14" customFormat="1" ht="15" customHeight="1">
      <c r="D2951" s="12" t="str">
        <f>IF(C2951&gt;0,(VLOOKUP(C2951,'Blnct AR'!$C$2:$D$2255,2,0))," ")</f>
        <v xml:space="preserve"> </v>
      </c>
      <c r="F2951" s="19"/>
      <c r="G2951" s="19"/>
      <c r="I2951" s="37"/>
    </row>
    <row r="2952" spans="4:9" s="14" customFormat="1" ht="15" customHeight="1">
      <c r="D2952" s="12" t="str">
        <f>IF(C2952&gt;0,(VLOOKUP(C2952,'Blnct AR'!$C$2:$D$2255,2,0))," ")</f>
        <v xml:space="preserve"> </v>
      </c>
      <c r="F2952" s="19"/>
      <c r="G2952" s="19"/>
      <c r="I2952" s="37"/>
    </row>
    <row r="2953" spans="4:9" s="14" customFormat="1" ht="15" customHeight="1">
      <c r="D2953" s="12" t="str">
        <f>IF(C2953&gt;0,(VLOOKUP(C2953,'Blnct AR'!$C$2:$D$2255,2,0))," ")</f>
        <v xml:space="preserve"> </v>
      </c>
      <c r="F2953" s="19"/>
      <c r="G2953" s="19"/>
      <c r="I2953" s="37"/>
    </row>
    <row r="2954" spans="4:9" s="14" customFormat="1" ht="15" customHeight="1">
      <c r="D2954" s="12" t="str">
        <f>IF(C2954&gt;0,(VLOOKUP(C2954,'Blnct AR'!$C$2:$D$2255,2,0))," ")</f>
        <v xml:space="preserve"> </v>
      </c>
      <c r="F2954" s="19"/>
      <c r="G2954" s="19"/>
      <c r="I2954" s="37"/>
    </row>
    <row r="2955" spans="4:9" s="14" customFormat="1" ht="15" customHeight="1">
      <c r="D2955" s="12" t="str">
        <f>IF(C2955&gt;0,(VLOOKUP(C2955,'Blnct AR'!$C$2:$D$2255,2,0))," ")</f>
        <v xml:space="preserve"> </v>
      </c>
      <c r="F2955" s="19"/>
      <c r="G2955" s="19"/>
      <c r="I2955" s="37"/>
    </row>
    <row r="2956" spans="4:9" s="14" customFormat="1" ht="15" customHeight="1">
      <c r="D2956" s="12" t="str">
        <f>IF(C2956&gt;0,(VLOOKUP(C2956,'Blnct AR'!$C$2:$D$2255,2,0))," ")</f>
        <v xml:space="preserve"> </v>
      </c>
      <c r="F2956" s="19"/>
      <c r="G2956" s="19"/>
      <c r="I2956" s="37"/>
    </row>
    <row r="2957" spans="4:9" s="14" customFormat="1" ht="15" customHeight="1">
      <c r="D2957" s="12" t="str">
        <f>IF(C2957&gt;0,(VLOOKUP(C2957,'Blnct AR'!$C$2:$D$2255,2,0))," ")</f>
        <v xml:space="preserve"> </v>
      </c>
      <c r="F2957" s="19"/>
      <c r="G2957" s="19"/>
      <c r="I2957" s="37"/>
    </row>
    <row r="2958" spans="4:9" s="14" customFormat="1" ht="15" customHeight="1">
      <c r="D2958" s="12" t="str">
        <f>IF(C2958&gt;0,(VLOOKUP(C2958,'Blnct AR'!$C$2:$D$2255,2,0))," ")</f>
        <v xml:space="preserve"> </v>
      </c>
      <c r="F2958" s="19"/>
      <c r="G2958" s="19"/>
      <c r="I2958" s="37"/>
    </row>
    <row r="2959" spans="4:9" s="14" customFormat="1" ht="15" customHeight="1">
      <c r="D2959" s="12" t="str">
        <f>IF(C2959&gt;0,(VLOOKUP(C2959,'Blnct AR'!$C$2:$D$2255,2,0))," ")</f>
        <v xml:space="preserve"> </v>
      </c>
      <c r="F2959" s="19"/>
      <c r="G2959" s="19"/>
      <c r="I2959" s="37"/>
    </row>
    <row r="2960" spans="4:9" s="14" customFormat="1" ht="15" customHeight="1">
      <c r="D2960" s="12" t="str">
        <f>IF(C2960&gt;0,(VLOOKUP(C2960,'Blnct AR'!$C$2:$D$2255,2,0))," ")</f>
        <v xml:space="preserve"> </v>
      </c>
      <c r="F2960" s="19"/>
      <c r="G2960" s="19"/>
      <c r="I2960" s="37"/>
    </row>
    <row r="2961" spans="4:9" s="14" customFormat="1" ht="15" customHeight="1">
      <c r="D2961" s="12" t="str">
        <f>IF(C2961&gt;0,(VLOOKUP(C2961,'Blnct AR'!$C$2:$D$2255,2,0))," ")</f>
        <v xml:space="preserve"> </v>
      </c>
      <c r="F2961" s="19"/>
      <c r="G2961" s="19"/>
      <c r="I2961" s="37"/>
    </row>
    <row r="2962" spans="4:9" s="14" customFormat="1" ht="15" customHeight="1">
      <c r="D2962" s="12" t="str">
        <f>IF(C2962&gt;0,(VLOOKUP(C2962,'Blnct AR'!$C$2:$D$2255,2,0))," ")</f>
        <v xml:space="preserve"> </v>
      </c>
      <c r="F2962" s="19"/>
      <c r="G2962" s="19"/>
      <c r="I2962" s="37"/>
    </row>
    <row r="2963" spans="4:9" s="14" customFormat="1" ht="15" customHeight="1">
      <c r="D2963" s="12" t="str">
        <f>IF(C2963&gt;0,(VLOOKUP(C2963,'Blnct AR'!$C$2:$D$2255,2,0))," ")</f>
        <v xml:space="preserve"> </v>
      </c>
      <c r="F2963" s="19"/>
      <c r="G2963" s="19"/>
      <c r="I2963" s="37"/>
    </row>
    <row r="2964" spans="4:9" s="14" customFormat="1" ht="15" customHeight="1">
      <c r="D2964" s="12" t="str">
        <f>IF(C2964&gt;0,(VLOOKUP(C2964,'Blnct AR'!$C$2:$D$2255,2,0))," ")</f>
        <v xml:space="preserve"> </v>
      </c>
      <c r="F2964" s="19"/>
      <c r="G2964" s="19"/>
      <c r="I2964" s="37"/>
    </row>
    <row r="2965" spans="4:9" s="14" customFormat="1" ht="15" customHeight="1">
      <c r="D2965" s="12" t="str">
        <f>IF(C2965&gt;0,(VLOOKUP(C2965,'Blnct AR'!$C$2:$D$2255,2,0))," ")</f>
        <v xml:space="preserve"> </v>
      </c>
      <c r="F2965" s="19"/>
      <c r="G2965" s="19"/>
      <c r="I2965" s="37"/>
    </row>
    <row r="2966" spans="4:9" s="14" customFormat="1" ht="15" customHeight="1">
      <c r="D2966" s="12" t="str">
        <f>IF(C2966&gt;0,(VLOOKUP(C2966,'Blnct AR'!$C$2:$D$2255,2,0))," ")</f>
        <v xml:space="preserve"> </v>
      </c>
      <c r="F2966" s="19"/>
      <c r="G2966" s="19"/>
      <c r="I2966" s="37"/>
    </row>
    <row r="2967" spans="4:9" s="14" customFormat="1" ht="15" customHeight="1">
      <c r="D2967" s="12" t="str">
        <f>IF(C2967&gt;0,(VLOOKUP(C2967,'Blnct AR'!$C$2:$D$2255,2,0))," ")</f>
        <v xml:space="preserve"> </v>
      </c>
      <c r="F2967" s="19"/>
      <c r="G2967" s="19"/>
      <c r="I2967" s="37"/>
    </row>
    <row r="2968" spans="4:9" s="14" customFormat="1" ht="15" customHeight="1">
      <c r="D2968" s="12" t="str">
        <f>IF(C2968&gt;0,(VLOOKUP(C2968,'Blnct AR'!$C$2:$D$2255,2,0))," ")</f>
        <v xml:space="preserve"> </v>
      </c>
      <c r="F2968" s="19"/>
      <c r="G2968" s="19"/>
      <c r="I2968" s="37"/>
    </row>
    <row r="2969" spans="4:9" s="14" customFormat="1" ht="15" customHeight="1">
      <c r="D2969" s="12" t="str">
        <f>IF(C2969&gt;0,(VLOOKUP(C2969,'Blnct AR'!$C$2:$D$2255,2,0))," ")</f>
        <v xml:space="preserve"> </v>
      </c>
      <c r="F2969" s="19"/>
      <c r="G2969" s="19"/>
      <c r="I2969" s="37"/>
    </row>
    <row r="2970" spans="4:9" s="14" customFormat="1" ht="15" customHeight="1">
      <c r="D2970" s="12" t="str">
        <f>IF(C2970&gt;0,(VLOOKUP(C2970,'Blnct AR'!$C$2:$D$2255,2,0))," ")</f>
        <v xml:space="preserve"> </v>
      </c>
      <c r="F2970" s="19"/>
      <c r="G2970" s="19"/>
      <c r="I2970" s="37"/>
    </row>
    <row r="2971" spans="4:9" s="14" customFormat="1" ht="15" customHeight="1">
      <c r="D2971" s="12" t="str">
        <f>IF(C2971&gt;0,(VLOOKUP(C2971,'Blnct AR'!$C$2:$D$2255,2,0))," ")</f>
        <v xml:space="preserve"> </v>
      </c>
      <c r="F2971" s="19"/>
      <c r="G2971" s="19"/>
      <c r="I2971" s="37"/>
    </row>
    <row r="2972" spans="4:9" s="14" customFormat="1" ht="15" customHeight="1">
      <c r="D2972" s="12" t="str">
        <f>IF(C2972&gt;0,(VLOOKUP(C2972,'Blnct AR'!$C$2:$D$2255,2,0))," ")</f>
        <v xml:space="preserve"> </v>
      </c>
      <c r="F2972" s="19"/>
      <c r="G2972" s="19"/>
      <c r="I2972" s="37"/>
    </row>
    <row r="2973" spans="4:9" s="14" customFormat="1" ht="15" customHeight="1">
      <c r="D2973" s="12" t="str">
        <f>IF(C2973&gt;0,(VLOOKUP(C2973,'Blnct AR'!$C$2:$D$2255,2,0))," ")</f>
        <v xml:space="preserve"> </v>
      </c>
      <c r="F2973" s="19"/>
      <c r="G2973" s="19"/>
      <c r="I2973" s="37"/>
    </row>
    <row r="2974" spans="4:9" s="14" customFormat="1" ht="15" customHeight="1">
      <c r="D2974" s="12" t="str">
        <f>IF(C2974&gt;0,(VLOOKUP(C2974,'Blnct AR'!$C$2:$D$2255,2,0))," ")</f>
        <v xml:space="preserve"> </v>
      </c>
      <c r="F2974" s="19"/>
      <c r="G2974" s="19"/>
      <c r="I2974" s="37"/>
    </row>
    <row r="2975" spans="4:9" s="14" customFormat="1" ht="15" customHeight="1">
      <c r="D2975" s="12" t="str">
        <f>IF(C2975&gt;0,(VLOOKUP(C2975,'Blnct AR'!$C$2:$D$2255,2,0))," ")</f>
        <v xml:space="preserve"> </v>
      </c>
      <c r="F2975" s="19"/>
      <c r="G2975" s="19"/>
      <c r="I2975" s="37"/>
    </row>
    <row r="2976" spans="4:9" s="14" customFormat="1" ht="15" customHeight="1">
      <c r="D2976" s="12" t="str">
        <f>IF(C2976&gt;0,(VLOOKUP(C2976,'Blnct AR'!$C$2:$D$2255,2,0))," ")</f>
        <v xml:space="preserve"> </v>
      </c>
      <c r="F2976" s="19"/>
      <c r="G2976" s="19"/>
      <c r="I2976" s="37"/>
    </row>
    <row r="2977" spans="3:9" s="14" customFormat="1" ht="15" customHeight="1">
      <c r="C2977" s="24"/>
      <c r="D2977" s="12" t="str">
        <f>IF(C2977&gt;0,(VLOOKUP(C2977,'Blnct AR'!$C$2:$D$2255,2,0))," ")</f>
        <v xml:space="preserve"> </v>
      </c>
      <c r="F2977" s="19"/>
      <c r="G2977" s="19"/>
      <c r="I2977" s="37"/>
    </row>
    <row r="2978" spans="3:9" s="14" customFormat="1" ht="15" customHeight="1">
      <c r="C2978" s="24"/>
      <c r="D2978" s="12" t="str">
        <f>IF(C2978&gt;0,(VLOOKUP(C2978,'Blnct AR'!$C$2:$D$2255,2,0))," ")</f>
        <v xml:space="preserve"> </v>
      </c>
      <c r="F2978" s="19"/>
      <c r="G2978" s="19"/>
      <c r="I2978" s="37"/>
    </row>
    <row r="2979" spans="3:9" s="14" customFormat="1" ht="15" customHeight="1">
      <c r="C2979" s="24"/>
      <c r="D2979" s="12" t="str">
        <f>IF(C2979&gt;0,(VLOOKUP(C2979,'Blnct AR'!$C$2:$D$2255,2,0))," ")</f>
        <v xml:space="preserve"> </v>
      </c>
      <c r="F2979" s="19"/>
      <c r="G2979" s="19"/>
      <c r="I2979" s="37"/>
    </row>
    <row r="2980" spans="3:9" s="14" customFormat="1" ht="15" customHeight="1">
      <c r="C2980" s="24"/>
      <c r="D2980" s="12" t="str">
        <f>IF(C2980&gt;0,(VLOOKUP(C2980,'Blnct AR'!$C$2:$D$2255,2,0))," ")</f>
        <v xml:space="preserve"> </v>
      </c>
      <c r="F2980" s="19"/>
      <c r="G2980" s="19"/>
      <c r="I2980" s="37"/>
    </row>
    <row r="2981" spans="3:9" s="14" customFormat="1" ht="15" customHeight="1">
      <c r="C2981" s="24"/>
      <c r="D2981" s="12" t="str">
        <f>IF(C2981&gt;0,(VLOOKUP(C2981,'Blnct AR'!$C$2:$D$2255,2,0))," ")</f>
        <v xml:space="preserve"> </v>
      </c>
      <c r="F2981" s="19"/>
      <c r="G2981" s="19"/>
      <c r="I2981" s="37"/>
    </row>
    <row r="2982" spans="3:9" s="14" customFormat="1" ht="15" customHeight="1">
      <c r="C2982" s="24"/>
      <c r="D2982" s="12" t="str">
        <f>IF(C2982&gt;0,(VLOOKUP(C2982,'Blnct AR'!$C$2:$D$2255,2,0))," ")</f>
        <v xml:space="preserve"> </v>
      </c>
      <c r="F2982" s="19"/>
      <c r="G2982" s="19"/>
      <c r="I2982" s="37"/>
    </row>
    <row r="2983" spans="3:9" s="14" customFormat="1" ht="15" customHeight="1">
      <c r="C2983" s="24"/>
      <c r="D2983" s="12" t="str">
        <f>IF(C2983&gt;0,(VLOOKUP(C2983,'Blnct AR'!$C$2:$D$2255,2,0))," ")</f>
        <v xml:space="preserve"> </v>
      </c>
      <c r="F2983" s="19"/>
      <c r="G2983" s="19"/>
      <c r="I2983" s="37"/>
    </row>
    <row r="2984" spans="3:9" s="14" customFormat="1" ht="15" customHeight="1">
      <c r="C2984" s="24"/>
      <c r="D2984" s="12" t="str">
        <f>IF(C2984&gt;0,(VLOOKUP(C2984,'Blnct AR'!$C$2:$D$2255,2,0))," ")</f>
        <v xml:space="preserve"> </v>
      </c>
      <c r="F2984" s="19"/>
      <c r="G2984" s="19"/>
      <c r="I2984" s="37"/>
    </row>
    <row r="2985" spans="3:9" s="14" customFormat="1" ht="15" customHeight="1">
      <c r="C2985" s="24"/>
      <c r="D2985" s="12" t="str">
        <f>IF(C2985&gt;0,(VLOOKUP(C2985,'Blnct AR'!$C$2:$D$2255,2,0))," ")</f>
        <v xml:space="preserve"> </v>
      </c>
      <c r="F2985" s="19"/>
      <c r="G2985" s="19"/>
      <c r="I2985" s="37"/>
    </row>
    <row r="2986" spans="3:9" s="14" customFormat="1" ht="15" customHeight="1">
      <c r="C2986" s="24"/>
      <c r="D2986" s="12" t="str">
        <f>IF(C2986&gt;0,(VLOOKUP(C2986,'Blnct AR'!$C$2:$D$2255,2,0))," ")</f>
        <v xml:space="preserve"> </v>
      </c>
      <c r="F2986" s="19"/>
      <c r="G2986" s="19"/>
      <c r="I2986" s="37"/>
    </row>
    <row r="2987" spans="3:9" s="14" customFormat="1" ht="15" customHeight="1">
      <c r="C2987" s="24"/>
      <c r="D2987" s="12" t="str">
        <f>IF(C2987&gt;0,(VLOOKUP(C2987,'Blnct AR'!$C$2:$D$2255,2,0))," ")</f>
        <v xml:space="preserve"> </v>
      </c>
      <c r="F2987" s="19"/>
      <c r="G2987" s="19"/>
      <c r="I2987" s="37"/>
    </row>
    <row r="2988" spans="3:9" s="14" customFormat="1" ht="15" customHeight="1">
      <c r="C2988" s="24"/>
      <c r="D2988" s="12" t="str">
        <f>IF(C2988&gt;0,(VLOOKUP(C2988,'Blnct AR'!$C$2:$D$2255,2,0))," ")</f>
        <v xml:space="preserve"> </v>
      </c>
      <c r="F2988" s="19"/>
      <c r="G2988" s="19"/>
      <c r="I2988" s="37"/>
    </row>
    <row r="2989" spans="3:9" s="14" customFormat="1" ht="15" customHeight="1">
      <c r="C2989" s="24"/>
      <c r="D2989" s="12" t="str">
        <f>IF(C2989&gt;0,(VLOOKUP(C2989,'Blnct AR'!$C$2:$D$2255,2,0))," ")</f>
        <v xml:space="preserve"> </v>
      </c>
      <c r="F2989" s="19"/>
      <c r="G2989" s="19"/>
      <c r="I2989" s="37"/>
    </row>
    <row r="2990" spans="3:9" s="14" customFormat="1" ht="15" customHeight="1">
      <c r="C2990" s="24"/>
      <c r="D2990" s="12" t="str">
        <f>IF(C2990&gt;0,(VLOOKUP(C2990,'Blnct AR'!$C$2:$D$2255,2,0))," ")</f>
        <v xml:space="preserve"> </v>
      </c>
      <c r="F2990" s="19"/>
      <c r="G2990" s="19"/>
      <c r="I2990" s="37"/>
    </row>
    <row r="2991" spans="3:9" s="14" customFormat="1" ht="15" customHeight="1">
      <c r="C2991" s="24"/>
      <c r="D2991" s="12" t="str">
        <f>IF(C2991&gt;0,(VLOOKUP(C2991,'Blnct AR'!$C$2:$D$2255,2,0))," ")</f>
        <v xml:space="preserve"> </v>
      </c>
      <c r="F2991" s="19"/>
      <c r="G2991" s="19"/>
      <c r="I2991" s="37"/>
    </row>
    <row r="2992" spans="3:9" s="14" customFormat="1" ht="15" customHeight="1">
      <c r="C2992" s="24"/>
      <c r="D2992" s="12" t="str">
        <f>IF(C2992&gt;0,(VLOOKUP(C2992,'Blnct AR'!$C$2:$D$2255,2,0))," ")</f>
        <v xml:space="preserve"> </v>
      </c>
      <c r="F2992" s="19"/>
      <c r="G2992" s="19"/>
      <c r="I2992" s="37"/>
    </row>
    <row r="2993" spans="3:9" s="14" customFormat="1" ht="15" customHeight="1">
      <c r="C2993" s="24"/>
      <c r="D2993" s="12" t="str">
        <f>IF(C2993&gt;0,(VLOOKUP(C2993,'Blnct AR'!$C$2:$D$2255,2,0))," ")</f>
        <v xml:space="preserve"> </v>
      </c>
      <c r="F2993" s="19"/>
      <c r="G2993" s="19"/>
      <c r="I2993" s="37"/>
    </row>
    <row r="2994" spans="3:9" s="14" customFormat="1" ht="15" customHeight="1">
      <c r="C2994" s="24"/>
      <c r="D2994" s="12" t="str">
        <f>IF(C2994&gt;0,(VLOOKUP(C2994,'Blnct AR'!$C$2:$D$2255,2,0))," ")</f>
        <v xml:space="preserve"> </v>
      </c>
      <c r="F2994" s="19"/>
      <c r="G2994" s="19"/>
      <c r="I2994" s="37"/>
    </row>
    <row r="2995" spans="3:9" s="14" customFormat="1" ht="15" customHeight="1">
      <c r="C2995" s="24"/>
      <c r="D2995" s="12" t="str">
        <f>IF(C2995&gt;0,(VLOOKUP(C2995,'Blnct AR'!$C$2:$D$2255,2,0))," ")</f>
        <v xml:space="preserve"> </v>
      </c>
      <c r="F2995" s="19"/>
      <c r="G2995" s="19"/>
      <c r="I2995" s="37"/>
    </row>
    <row r="2996" spans="3:9" s="14" customFormat="1" ht="15" customHeight="1">
      <c r="C2996" s="24"/>
      <c r="D2996" s="12" t="str">
        <f>IF(C2996&gt;0,(VLOOKUP(C2996,'Blnct AR'!$C$2:$D$2255,2,0))," ")</f>
        <v xml:space="preserve"> </v>
      </c>
      <c r="F2996" s="19"/>
      <c r="G2996" s="19"/>
      <c r="I2996" s="37"/>
    </row>
    <row r="2997" spans="3:9" s="14" customFormat="1" ht="15" customHeight="1">
      <c r="C2997" s="24"/>
      <c r="D2997" s="12" t="str">
        <f>IF(C2997&gt;0,(VLOOKUP(C2997,'Blnct AR'!$C$2:$D$2255,2,0))," ")</f>
        <v xml:space="preserve"> </v>
      </c>
      <c r="F2997" s="19"/>
      <c r="G2997" s="19"/>
      <c r="I2997" s="37"/>
    </row>
    <row r="2998" spans="3:9" s="14" customFormat="1" ht="15" customHeight="1">
      <c r="C2998" s="24"/>
      <c r="D2998" s="12" t="str">
        <f>IF(C2998&gt;0,(VLOOKUP(C2998,'Blnct AR'!$C$2:$D$2255,2,0))," ")</f>
        <v xml:space="preserve"> </v>
      </c>
      <c r="F2998" s="19"/>
      <c r="G2998" s="19"/>
      <c r="I2998" s="37"/>
    </row>
    <row r="2999" spans="3:9" s="14" customFormat="1" ht="15" customHeight="1">
      <c r="C2999" s="24"/>
      <c r="D2999" s="12" t="str">
        <f>IF(C2999&gt;0,(VLOOKUP(C2999,'Blnct AR'!$C$2:$D$2255,2,0))," ")</f>
        <v xml:space="preserve"> </v>
      </c>
      <c r="F2999" s="19"/>
      <c r="G2999" s="19"/>
      <c r="I2999" s="37"/>
    </row>
    <row r="3000" spans="3:9" s="14" customFormat="1" ht="15" customHeight="1">
      <c r="C3000" s="24"/>
      <c r="D3000" s="12" t="str">
        <f>IF(C3000&gt;0,(VLOOKUP(C3000,'Blnct AR'!$C$2:$D$2255,2,0))," ")</f>
        <v xml:space="preserve"> </v>
      </c>
      <c r="F3000" s="19"/>
      <c r="G3000" s="19"/>
      <c r="I3000" s="37"/>
    </row>
    <row r="3001" spans="3:9" s="14" customFormat="1" ht="15" customHeight="1">
      <c r="C3001" s="24"/>
      <c r="D3001" s="12" t="str">
        <f>IF(C3001&gt;0,(VLOOKUP(C3001,'Blnct AR'!$C$2:$D$2255,2,0))," ")</f>
        <v xml:space="preserve"> </v>
      </c>
      <c r="F3001" s="19"/>
      <c r="G3001" s="19"/>
      <c r="I3001" s="37"/>
    </row>
    <row r="3002" spans="3:9" s="14" customFormat="1" ht="15" customHeight="1">
      <c r="C3002" s="24"/>
      <c r="D3002" s="12" t="str">
        <f>IF(C3002&gt;0,(VLOOKUP(C3002,'Blnct AR'!$C$2:$D$2255,2,0))," ")</f>
        <v xml:space="preserve"> </v>
      </c>
      <c r="F3002" s="19"/>
      <c r="G3002" s="19"/>
      <c r="I3002" s="37"/>
    </row>
    <row r="3003" spans="3:9" s="14" customFormat="1" ht="15" customHeight="1">
      <c r="C3003" s="24"/>
      <c r="D3003" s="12" t="str">
        <f>IF(C3003&gt;0,(VLOOKUP(C3003,'Blnct AR'!$C$2:$D$2255,2,0))," ")</f>
        <v xml:space="preserve"> </v>
      </c>
      <c r="F3003" s="19"/>
      <c r="G3003" s="19"/>
      <c r="I3003" s="37"/>
    </row>
    <row r="3004" spans="3:9" s="14" customFormat="1" ht="15" customHeight="1">
      <c r="C3004" s="24"/>
      <c r="D3004" s="12" t="str">
        <f>IF(C3004&gt;0,(VLOOKUP(C3004,'Blnct AR'!$C$2:$D$2255,2,0))," ")</f>
        <v xml:space="preserve"> </v>
      </c>
      <c r="F3004" s="19"/>
      <c r="G3004" s="19"/>
      <c r="I3004" s="37"/>
    </row>
    <row r="3005" spans="3:9" s="14" customFormat="1" ht="15" customHeight="1">
      <c r="C3005" s="24"/>
      <c r="D3005" s="12" t="str">
        <f>IF(C3005&gt;0,(VLOOKUP(C3005,'Blnct AR'!$C$2:$D$2255,2,0))," ")</f>
        <v xml:space="preserve"> </v>
      </c>
      <c r="F3005" s="19"/>
      <c r="G3005" s="19"/>
      <c r="I3005" s="37"/>
    </row>
    <row r="3006" spans="3:9" s="14" customFormat="1" ht="15" customHeight="1">
      <c r="C3006" s="24"/>
      <c r="D3006" s="12" t="str">
        <f>IF(C3006&gt;0,(VLOOKUP(C3006,'Blnct AR'!$C$2:$D$2255,2,0))," ")</f>
        <v xml:space="preserve"> </v>
      </c>
      <c r="F3006" s="19"/>
      <c r="G3006" s="19"/>
      <c r="I3006" s="37"/>
    </row>
    <row r="3007" spans="3:9" s="14" customFormat="1" ht="15" customHeight="1">
      <c r="C3007" s="24"/>
      <c r="D3007" s="12" t="str">
        <f>IF(C3007&gt;0,(VLOOKUP(C3007,'Blnct AR'!$C$2:$D$2255,2,0))," ")</f>
        <v xml:space="preserve"> </v>
      </c>
      <c r="F3007" s="19"/>
      <c r="G3007" s="19"/>
      <c r="I3007" s="37"/>
    </row>
    <row r="3008" spans="3:9" s="14" customFormat="1" ht="15" customHeight="1">
      <c r="C3008" s="24"/>
      <c r="D3008" s="12" t="str">
        <f>IF(C3008&gt;0,(VLOOKUP(C3008,'Blnct AR'!$C$2:$D$2255,2,0))," ")</f>
        <v xml:space="preserve"> </v>
      </c>
      <c r="F3008" s="19"/>
      <c r="G3008" s="19"/>
      <c r="I3008" s="37"/>
    </row>
    <row r="3009" spans="3:9" s="14" customFormat="1" ht="15" customHeight="1">
      <c r="C3009" s="24"/>
      <c r="D3009" s="12" t="str">
        <f>IF(C3009&gt;0,(VLOOKUP(C3009,'Blnct AR'!$C$2:$D$2255,2,0))," ")</f>
        <v xml:space="preserve"> </v>
      </c>
      <c r="F3009" s="19"/>
      <c r="G3009" s="19"/>
      <c r="I3009" s="37"/>
    </row>
    <row r="3010" spans="3:9" s="14" customFormat="1" ht="15" customHeight="1">
      <c r="C3010" s="24"/>
      <c r="D3010" s="12" t="str">
        <f>IF(C3010&gt;0,(VLOOKUP(C3010,'Blnct AR'!$C$2:$D$2255,2,0))," ")</f>
        <v xml:space="preserve"> </v>
      </c>
      <c r="F3010" s="19"/>
      <c r="G3010" s="19"/>
      <c r="I3010" s="37"/>
    </row>
    <row r="3011" spans="3:9" s="14" customFormat="1" ht="15" customHeight="1">
      <c r="C3011" s="24"/>
      <c r="D3011" s="12" t="str">
        <f>IF(C3011&gt;0,(VLOOKUP(C3011,'Blnct AR'!$C$2:$D$2255,2,0))," ")</f>
        <v xml:space="preserve"> </v>
      </c>
      <c r="F3011" s="19"/>
      <c r="G3011" s="19"/>
      <c r="I3011" s="37"/>
    </row>
    <row r="3012" spans="3:9" s="14" customFormat="1" ht="15" customHeight="1">
      <c r="C3012" s="24"/>
      <c r="D3012" s="12" t="str">
        <f>IF(C3012&gt;0,(VLOOKUP(C3012,'Blnct AR'!$C$2:$D$2255,2,0))," ")</f>
        <v xml:space="preserve"> </v>
      </c>
      <c r="F3012" s="19"/>
      <c r="G3012" s="19"/>
      <c r="I3012" s="37"/>
    </row>
    <row r="3013" spans="3:9" s="14" customFormat="1" ht="15" customHeight="1">
      <c r="C3013" s="24"/>
      <c r="D3013" s="12" t="str">
        <f>IF(C3013&gt;0,(VLOOKUP(C3013,'Blnct AR'!$C$2:$D$2255,2,0))," ")</f>
        <v xml:space="preserve"> </v>
      </c>
      <c r="F3013" s="19"/>
      <c r="G3013" s="19"/>
      <c r="I3013" s="37"/>
    </row>
    <row r="3014" spans="3:9" s="14" customFormat="1" ht="15" customHeight="1">
      <c r="C3014" s="24"/>
      <c r="D3014" s="12" t="str">
        <f>IF(C3014&gt;0,(VLOOKUP(C3014,'Blnct AR'!$C$2:$D$2255,2,0))," ")</f>
        <v xml:space="preserve"> </v>
      </c>
      <c r="F3014" s="19"/>
      <c r="G3014" s="19"/>
      <c r="I3014" s="37"/>
    </row>
    <row r="3015" spans="3:9" s="14" customFormat="1" ht="15" customHeight="1">
      <c r="C3015" s="24"/>
      <c r="D3015" s="12" t="str">
        <f>IF(C3015&gt;0,(VLOOKUP(C3015,'Blnct AR'!$C$2:$D$2255,2,0))," ")</f>
        <v xml:space="preserve"> </v>
      </c>
      <c r="F3015" s="19"/>
      <c r="G3015" s="19"/>
      <c r="I3015" s="37"/>
    </row>
    <row r="3016" spans="3:9" s="14" customFormat="1" ht="15" customHeight="1">
      <c r="C3016" s="24"/>
      <c r="D3016" s="12" t="str">
        <f>IF(C3016&gt;0,(VLOOKUP(C3016,'Blnct AR'!$C$2:$D$2255,2,0))," ")</f>
        <v xml:space="preserve"> </v>
      </c>
      <c r="F3016" s="19"/>
      <c r="G3016" s="19"/>
      <c r="I3016" s="37"/>
    </row>
    <row r="3017" spans="3:9" s="14" customFormat="1" ht="15" customHeight="1">
      <c r="C3017" s="24"/>
      <c r="D3017" s="12" t="str">
        <f>IF(C3017&gt;0,(VLOOKUP(C3017,'Blnct AR'!$C$2:$D$2255,2,0))," ")</f>
        <v xml:space="preserve"> </v>
      </c>
      <c r="F3017" s="19"/>
      <c r="G3017" s="19"/>
      <c r="I3017" s="37"/>
    </row>
    <row r="3018" spans="3:9" s="14" customFormat="1" ht="15" customHeight="1">
      <c r="C3018" s="24"/>
      <c r="D3018" s="12" t="str">
        <f>IF(C3018&gt;0,(VLOOKUP(C3018,'Blnct AR'!$C$2:$D$2255,2,0))," ")</f>
        <v xml:space="preserve"> </v>
      </c>
      <c r="F3018" s="19"/>
      <c r="G3018" s="19"/>
      <c r="I3018" s="37"/>
    </row>
    <row r="3019" spans="3:9" s="14" customFormat="1" ht="15" customHeight="1">
      <c r="C3019" s="24"/>
      <c r="D3019" s="12" t="str">
        <f>IF(C3019&gt;0,(VLOOKUP(C3019,'Blnct AR'!$C$2:$D$2255,2,0))," ")</f>
        <v xml:space="preserve"> </v>
      </c>
      <c r="F3019" s="19"/>
      <c r="G3019" s="19"/>
      <c r="I3019" s="37"/>
    </row>
    <row r="3020" spans="3:9" s="14" customFormat="1" ht="15" customHeight="1">
      <c r="C3020" s="24"/>
      <c r="D3020" s="12" t="str">
        <f>IF(C3020&gt;0,(VLOOKUP(C3020,'Blnct AR'!$C$2:$D$2255,2,0))," ")</f>
        <v xml:space="preserve"> </v>
      </c>
      <c r="F3020" s="19"/>
      <c r="G3020" s="19"/>
      <c r="I3020" s="37"/>
    </row>
    <row r="3021" spans="3:9" s="14" customFormat="1" ht="15" customHeight="1">
      <c r="C3021" s="24"/>
      <c r="D3021" s="12" t="str">
        <f>IF(C3021&gt;0,(VLOOKUP(C3021,'Blnct AR'!$C$2:$D$2255,2,0))," ")</f>
        <v xml:space="preserve"> </v>
      </c>
      <c r="F3021" s="19"/>
      <c r="G3021" s="19"/>
      <c r="I3021" s="37"/>
    </row>
    <row r="3022" spans="3:9" s="14" customFormat="1" ht="15" customHeight="1">
      <c r="C3022" s="24"/>
      <c r="D3022" s="12" t="str">
        <f>IF(C3022&gt;0,(VLOOKUP(C3022,'Blnct AR'!$C$2:$D$2255,2,0))," ")</f>
        <v xml:space="preserve"> </v>
      </c>
      <c r="F3022" s="19"/>
      <c r="G3022" s="19"/>
      <c r="I3022" s="37"/>
    </row>
    <row r="3023" spans="3:9" s="14" customFormat="1" ht="15" customHeight="1">
      <c r="C3023" s="24"/>
      <c r="D3023" s="12" t="str">
        <f>IF(C3023&gt;0,(VLOOKUP(C3023,'Blnct AR'!$C$2:$D$2255,2,0))," ")</f>
        <v xml:space="preserve"> </v>
      </c>
      <c r="F3023" s="19"/>
      <c r="G3023" s="19"/>
      <c r="I3023" s="37"/>
    </row>
    <row r="3024" spans="3:9" s="14" customFormat="1" ht="15" customHeight="1">
      <c r="C3024" s="24"/>
      <c r="D3024" s="12" t="str">
        <f>IF(C3024&gt;0,(VLOOKUP(C3024,'Blnct AR'!$C$2:$D$2255,2,0))," ")</f>
        <v xml:space="preserve"> </v>
      </c>
      <c r="F3024" s="19"/>
      <c r="G3024" s="19"/>
      <c r="I3024" s="37"/>
    </row>
    <row r="3025" spans="3:9" s="14" customFormat="1" ht="15" customHeight="1">
      <c r="C3025" s="24"/>
      <c r="D3025" s="12" t="str">
        <f>IF(C3025&gt;0,(VLOOKUP(C3025,'Blnct AR'!$C$2:$D$2255,2,0))," ")</f>
        <v xml:space="preserve"> </v>
      </c>
      <c r="F3025" s="19"/>
      <c r="G3025" s="19"/>
      <c r="I3025" s="37"/>
    </row>
    <row r="3026" spans="3:9" s="14" customFormat="1" ht="15" customHeight="1">
      <c r="C3026" s="24"/>
      <c r="D3026" s="12" t="str">
        <f>IF(C3026&gt;0,(VLOOKUP(C3026,'Blnct AR'!$C$2:$D$2255,2,0))," ")</f>
        <v xml:space="preserve"> </v>
      </c>
      <c r="F3026" s="19"/>
      <c r="G3026" s="19"/>
      <c r="I3026" s="37"/>
    </row>
    <row r="3027" spans="3:9" s="14" customFormat="1" ht="15" customHeight="1">
      <c r="C3027" s="24"/>
      <c r="D3027" s="12" t="str">
        <f>IF(C3027&gt;0,(VLOOKUP(C3027,'Blnct AR'!$C$2:$D$2255,2,0))," ")</f>
        <v xml:space="preserve"> </v>
      </c>
      <c r="F3027" s="19"/>
      <c r="G3027" s="19"/>
      <c r="I3027" s="37"/>
    </row>
    <row r="3028" spans="3:9" s="14" customFormat="1" ht="15" customHeight="1">
      <c r="C3028" s="24"/>
      <c r="D3028" s="12" t="str">
        <f>IF(C3028&gt;0,(VLOOKUP(C3028,'Blnct AR'!$C$2:$D$2255,2,0))," ")</f>
        <v xml:space="preserve"> </v>
      </c>
      <c r="F3028" s="19"/>
      <c r="G3028" s="19"/>
      <c r="I3028" s="37"/>
    </row>
    <row r="3029" spans="3:9" s="14" customFormat="1" ht="15" customHeight="1">
      <c r="C3029" s="24"/>
      <c r="D3029" s="12" t="str">
        <f>IF(C3029&gt;0,(VLOOKUP(C3029,'Blnct AR'!$C$2:$D$2255,2,0))," ")</f>
        <v xml:space="preserve"> </v>
      </c>
      <c r="F3029" s="19"/>
      <c r="G3029" s="19"/>
      <c r="I3029" s="37"/>
    </row>
    <row r="3030" spans="3:9" s="14" customFormat="1" ht="15" customHeight="1">
      <c r="C3030" s="24"/>
      <c r="D3030" s="12" t="str">
        <f>IF(C3030&gt;0,(VLOOKUP(C3030,'Blnct AR'!$C$2:$D$2255,2,0))," ")</f>
        <v xml:space="preserve"> </v>
      </c>
      <c r="F3030" s="19"/>
      <c r="G3030" s="19"/>
      <c r="I3030" s="37"/>
    </row>
    <row r="3031" spans="3:9" s="14" customFormat="1" ht="15" customHeight="1">
      <c r="C3031" s="24"/>
      <c r="D3031" s="12" t="str">
        <f>IF(C3031&gt;0,(VLOOKUP(C3031,'Blnct AR'!$C$2:$D$2255,2,0))," ")</f>
        <v xml:space="preserve"> </v>
      </c>
      <c r="F3031" s="19"/>
      <c r="G3031" s="19"/>
      <c r="I3031" s="37"/>
    </row>
    <row r="3032" spans="3:9" s="14" customFormat="1" ht="15" customHeight="1">
      <c r="C3032" s="24"/>
      <c r="D3032" s="12" t="str">
        <f>IF(C3032&gt;0,(VLOOKUP(C3032,'Blnct AR'!$C$2:$D$2255,2,0))," ")</f>
        <v xml:space="preserve"> </v>
      </c>
      <c r="F3032" s="19"/>
      <c r="G3032" s="19"/>
      <c r="I3032" s="37"/>
    </row>
    <row r="3033" spans="3:9" s="14" customFormat="1" ht="15" customHeight="1">
      <c r="C3033" s="24"/>
      <c r="D3033" s="12" t="str">
        <f>IF(C3033&gt;0,(VLOOKUP(C3033,'Blnct AR'!$C$2:$D$2255,2,0))," ")</f>
        <v xml:space="preserve"> </v>
      </c>
      <c r="F3033" s="19"/>
      <c r="G3033" s="19"/>
      <c r="I3033" s="37"/>
    </row>
    <row r="3034" spans="3:9" s="14" customFormat="1" ht="15" customHeight="1">
      <c r="C3034" s="24"/>
      <c r="D3034" s="12" t="str">
        <f>IF(C3034&gt;0,(VLOOKUP(C3034,'Blnct AR'!$C$2:$D$2255,2,0))," ")</f>
        <v xml:space="preserve"> </v>
      </c>
      <c r="F3034" s="19"/>
      <c r="G3034" s="19"/>
      <c r="I3034" s="37"/>
    </row>
    <row r="3035" spans="3:9" s="14" customFormat="1" ht="15" customHeight="1">
      <c r="C3035" s="24"/>
      <c r="D3035" s="12" t="str">
        <f>IF(C3035&gt;0,(VLOOKUP(C3035,'Blnct AR'!$C$2:$D$2255,2,0))," ")</f>
        <v xml:space="preserve"> </v>
      </c>
      <c r="F3035" s="19"/>
      <c r="G3035" s="19"/>
      <c r="I3035" s="37"/>
    </row>
    <row r="3036" spans="3:9" s="14" customFormat="1" ht="15" customHeight="1">
      <c r="C3036" s="24"/>
      <c r="D3036" s="12" t="str">
        <f>IF(C3036&gt;0,(VLOOKUP(C3036,'Blnct AR'!$C$2:$D$2255,2,0))," ")</f>
        <v xml:space="preserve"> </v>
      </c>
      <c r="F3036" s="19"/>
      <c r="G3036" s="19"/>
      <c r="I3036" s="37"/>
    </row>
    <row r="3037" spans="3:9" s="14" customFormat="1" ht="15" customHeight="1">
      <c r="C3037" s="24"/>
      <c r="D3037" s="12" t="str">
        <f>IF(C3037&gt;0,(VLOOKUP(C3037,'Blnct AR'!$C$2:$D$2255,2,0))," ")</f>
        <v xml:space="preserve"> </v>
      </c>
      <c r="F3037" s="19"/>
      <c r="G3037" s="19"/>
      <c r="I3037" s="37"/>
    </row>
    <row r="3038" spans="3:9" s="14" customFormat="1" ht="15" customHeight="1">
      <c r="C3038" s="24"/>
      <c r="D3038" s="12" t="str">
        <f>IF(C3038&gt;0,(VLOOKUP(C3038,'Blnct AR'!$C$2:$D$2255,2,0))," ")</f>
        <v xml:space="preserve"> </v>
      </c>
      <c r="F3038" s="19"/>
      <c r="G3038" s="19"/>
      <c r="I3038" s="37"/>
    </row>
    <row r="3039" spans="3:9" s="14" customFormat="1" ht="15" customHeight="1">
      <c r="C3039" s="24"/>
      <c r="D3039" s="12" t="str">
        <f>IF(C3039&gt;0,(VLOOKUP(C3039,'Blnct AR'!$C$2:$D$2255,2,0))," ")</f>
        <v xml:space="preserve"> </v>
      </c>
      <c r="F3039" s="19"/>
      <c r="G3039" s="19"/>
      <c r="I3039" s="37"/>
    </row>
    <row r="3040" spans="3:9" s="14" customFormat="1" ht="15" customHeight="1">
      <c r="C3040" s="24"/>
      <c r="D3040" s="12" t="str">
        <f>IF(C3040&gt;0,(VLOOKUP(C3040,'Blnct AR'!$C$2:$D$2255,2,0))," ")</f>
        <v xml:space="preserve"> </v>
      </c>
      <c r="F3040" s="19"/>
      <c r="G3040" s="19"/>
      <c r="I3040" s="37"/>
    </row>
    <row r="3041" spans="1:9" s="14" customFormat="1" ht="15" customHeight="1">
      <c r="C3041" s="24"/>
      <c r="D3041" s="12" t="str">
        <f>IF(C3041&gt;0,(VLOOKUP(C3041,'Blnct AR'!$C$2:$D$2255,2,0))," ")</f>
        <v xml:space="preserve"> </v>
      </c>
      <c r="F3041" s="19"/>
      <c r="G3041" s="19"/>
      <c r="I3041" s="37"/>
    </row>
    <row r="3042" spans="1:9" s="14" customFormat="1" ht="15" customHeight="1">
      <c r="C3042" s="24"/>
      <c r="D3042" s="12" t="str">
        <f>IF(C3042&gt;0,(VLOOKUP(C3042,'Blnct AR'!$C$2:$D$2255,2,0))," ")</f>
        <v xml:space="preserve"> </v>
      </c>
      <c r="F3042" s="19"/>
      <c r="G3042" s="19"/>
      <c r="H3042" s="14" t="s">
        <v>189</v>
      </c>
      <c r="I3042" s="37"/>
    </row>
    <row r="3043" spans="1:9">
      <c r="A3043" s="14"/>
      <c r="B3043" s="14"/>
      <c r="C3043" s="24"/>
      <c r="D3043" s="12" t="str">
        <f>IF(C3043&gt;0,(VLOOKUP(C3043,'Blnct AR'!$C$2:$D$2255,2,0))," ")</f>
        <v xml:space="preserve"> </v>
      </c>
      <c r="E3043" s="14"/>
      <c r="F3043" s="19"/>
      <c r="G3043" s="19"/>
    </row>
    <row r="3044" spans="1:9">
      <c r="A3044" s="14"/>
      <c r="B3044" s="14" t="s">
        <v>189</v>
      </c>
      <c r="C3044" s="24" t="s">
        <v>189</v>
      </c>
      <c r="D3044" s="14" t="s">
        <v>189</v>
      </c>
      <c r="E3044" s="14" t="s">
        <v>189</v>
      </c>
      <c r="F3044" s="14" t="s">
        <v>189</v>
      </c>
      <c r="G3044" s="14" t="s">
        <v>189</v>
      </c>
    </row>
    <row r="3045" spans="1:9">
      <c r="A3045" s="14"/>
    </row>
    <row r="3046" spans="1:9">
      <c r="A3046" s="14"/>
    </row>
    <row r="3047" spans="1:9">
      <c r="A3047" s="14"/>
    </row>
    <row r="3048" spans="1:9">
      <c r="A3048" s="14" t="s">
        <v>189</v>
      </c>
    </row>
  </sheetData>
  <autoFilter ref="A2:C1344" xr:uid="{FA94C4F9-7342-4931-B798-F5D6E892EDC4}"/>
  <mergeCells count="1">
    <mergeCell ref="F114:G114"/>
  </mergeCells>
  <phoneticPr fontId="36" type="noConversion"/>
  <dataValidations count="2">
    <dataValidation type="date" showInputMessage="1" showErrorMessage="1" sqref="B120 B123:B171 B173:B296" xr:uid="{00000000-0002-0000-0400-000002000000}">
      <formula1>41640</formula1>
      <formula2>43830</formula2>
    </dataValidation>
    <dataValidation type="date" allowBlank="1" showInputMessage="1" showErrorMessage="1" sqref="A1:A1048576" xr:uid="{C1D3E4C8-B703-48A3-B05B-D5E61614BBB7}">
      <formula1>36526</formula1>
      <formula2>47848</formula2>
    </dataValidation>
  </dataValidations>
  <pageMargins left="0.7" right="0.7" top="0.75" bottom="0.75" header="0.51180555555555496" footer="0.51180555555555496"/>
  <pageSetup paperSize="9" scale="54" firstPageNumber="0" orientation="portrait" horizontalDpi="300" verticalDpi="300" r:id="rId1"/>
  <colBreaks count="1" manualBreakCount="1">
    <brk id="8" max="1048575" man="1"/>
  </colBreaks>
  <ignoredErrors>
    <ignoredError sqref="F1246:G1246 F1296:G1296 F353:G353" formulaRange="1"/>
    <ignoredError sqref="D121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2:S2267"/>
  <sheetViews>
    <sheetView showGridLines="0" zoomScaleNormal="100" zoomScaleSheetLayoutView="90" workbookViewId="0">
      <pane ySplit="4" topLeftCell="A26" activePane="bottomLeft" state="frozen"/>
      <selection activeCell="T36" sqref="T36"/>
      <selection pane="bottomLeft" activeCell="D43" sqref="D43"/>
    </sheetView>
  </sheetViews>
  <sheetFormatPr defaultRowHeight="14.4"/>
  <cols>
    <col min="1" max="2" width="6.77734375" customWidth="1"/>
    <col min="3" max="3" width="10.77734375" customWidth="1"/>
    <col min="4" max="4" width="44.88671875" customWidth="1"/>
    <col min="5" max="5" width="17.21875" bestFit="1" customWidth="1"/>
    <col min="6" max="6" width="16.77734375" customWidth="1"/>
    <col min="7" max="7" width="16.21875" customWidth="1"/>
    <col min="8" max="8" width="17.21875" customWidth="1"/>
    <col min="9" max="9" width="16.44140625" customWidth="1"/>
    <col min="10" max="10" width="2.77734375" customWidth="1"/>
    <col min="11" max="12" width="14.21875" customWidth="1"/>
    <col min="13" max="13" width="12.21875" customWidth="1"/>
    <col min="14" max="14" width="17.44140625" customWidth="1"/>
    <col min="15" max="15" width="16.77734375" customWidth="1"/>
    <col min="16" max="16" width="17.44140625" customWidth="1"/>
    <col min="17" max="1025" width="8.44140625" customWidth="1"/>
  </cols>
  <sheetData>
    <row r="2" spans="1:19" ht="18">
      <c r="B2" s="48"/>
      <c r="C2" s="376" t="s">
        <v>190</v>
      </c>
      <c r="D2" s="376"/>
      <c r="E2" s="376"/>
      <c r="F2" s="376"/>
      <c r="G2" s="376"/>
      <c r="H2" s="376"/>
      <c r="I2" s="376"/>
    </row>
    <row r="3" spans="1:19" ht="15.6">
      <c r="E3" s="316">
        <f ca="1">SUBTOTAL(9,E5:E2262)</f>
        <v>-307577455.71693635</v>
      </c>
      <c r="F3" s="316">
        <f>SUBTOTAL(9,F5:F2262)</f>
        <v>7189497636.6146507</v>
      </c>
      <c r="G3" s="316">
        <f ca="1">SUBTOTAL(9,G5:G2262)</f>
        <v>7085325825.6899986</v>
      </c>
      <c r="H3" s="316">
        <f ca="1">SUBTOTAL(9,H5:H2262)</f>
        <v>104171810.92465034</v>
      </c>
      <c r="I3" s="316">
        <f ca="1">SUBTOTAL(9,I5:I2262)</f>
        <v>-203405644.79228705</v>
      </c>
      <c r="R3" s="50"/>
      <c r="S3" s="49">
        <f ca="1">F3-G3</f>
        <v>104171810.9246521</v>
      </c>
    </row>
    <row r="4" spans="1:19" ht="30" customHeight="1">
      <c r="A4" s="167" t="s">
        <v>191</v>
      </c>
      <c r="B4" s="168" t="s">
        <v>192</v>
      </c>
      <c r="C4" s="168" t="s">
        <v>193</v>
      </c>
      <c r="D4" s="168" t="s">
        <v>194</v>
      </c>
      <c r="E4" s="167" t="s">
        <v>195</v>
      </c>
      <c r="F4" s="169" t="s">
        <v>196</v>
      </c>
      <c r="G4" s="169" t="s">
        <v>197</v>
      </c>
      <c r="H4" s="167" t="s">
        <v>198</v>
      </c>
      <c r="I4" s="167" t="s">
        <v>199</v>
      </c>
      <c r="K4" s="51"/>
      <c r="M4" s="52"/>
      <c r="N4" s="53"/>
    </row>
    <row r="5" spans="1:19">
      <c r="A5" s="151">
        <f t="shared" ref="A5:A70" si="0">IF(E5+F5+G5+H5+I5=0,1,0)</f>
        <v>0</v>
      </c>
      <c r="B5" s="152" t="s">
        <v>200</v>
      </c>
      <c r="C5" s="153">
        <v>1</v>
      </c>
      <c r="D5" s="153" t="s">
        <v>201</v>
      </c>
      <c r="E5" s="154">
        <f>SUM(E6,E58,E70,E91,E102,E128)</f>
        <v>24061603.920374751</v>
      </c>
      <c r="F5" s="154">
        <f>SUM(F6,F58,F70,F91,F102,F128)</f>
        <v>15239773.48</v>
      </c>
      <c r="G5" s="154">
        <f>SUM(G6,G58,G70,G91,G102,G128)</f>
        <v>0</v>
      </c>
      <c r="H5" s="154">
        <f t="shared" ref="H5:H70" si="1">(F5)-(G5)</f>
        <v>15239773.48</v>
      </c>
      <c r="I5" s="154">
        <f t="shared" ref="I5:I70" si="2">(E5)+(H5)</f>
        <v>39301377.400374755</v>
      </c>
      <c r="J5" s="55"/>
      <c r="K5" s="55"/>
      <c r="L5" s="55"/>
      <c r="M5" s="55"/>
      <c r="N5" s="55"/>
    </row>
    <row r="6" spans="1:19">
      <c r="A6" s="151">
        <f t="shared" si="0"/>
        <v>0</v>
      </c>
      <c r="B6" s="155" t="s">
        <v>202</v>
      </c>
      <c r="C6" s="156">
        <v>11</v>
      </c>
      <c r="D6" s="157" t="s">
        <v>203</v>
      </c>
      <c r="E6" s="158">
        <f>SUM(E7,E15,E23,E31,E44,E52,E55)</f>
        <v>86785921.350000009</v>
      </c>
      <c r="F6" s="158">
        <f>SUM(F7,F11,F15,F23,F31,F44,F52,F55)</f>
        <v>15239773.48</v>
      </c>
      <c r="G6" s="158">
        <f>SUM(G23,G31,G44,G52,G55)</f>
        <v>0</v>
      </c>
      <c r="H6" s="154">
        <f t="shared" si="1"/>
        <v>15239773.48</v>
      </c>
      <c r="I6" s="154">
        <f t="shared" si="2"/>
        <v>102025694.83000001</v>
      </c>
      <c r="J6" s="1"/>
      <c r="K6" s="1"/>
      <c r="L6" s="1"/>
      <c r="M6" s="1"/>
      <c r="N6" s="1"/>
    </row>
    <row r="7" spans="1:19" hidden="1">
      <c r="A7" s="151">
        <f t="shared" si="0"/>
        <v>1</v>
      </c>
      <c r="B7" s="155" t="s">
        <v>204</v>
      </c>
      <c r="C7" s="156">
        <v>111</v>
      </c>
      <c r="D7" s="157" t="s">
        <v>205</v>
      </c>
      <c r="E7" s="158">
        <f>SUM(E8:E10,E11)</f>
        <v>0</v>
      </c>
      <c r="F7" s="158">
        <f>SUM(F8:F10,F11)</f>
        <v>0</v>
      </c>
      <c r="G7" s="158">
        <f>SUM(G8:G10,G11)</f>
        <v>0</v>
      </c>
      <c r="H7" s="154">
        <f t="shared" si="1"/>
        <v>0</v>
      </c>
      <c r="I7" s="154">
        <f t="shared" si="2"/>
        <v>0</v>
      </c>
    </row>
    <row r="8" spans="1:19" hidden="1">
      <c r="A8" s="151">
        <f t="shared" si="0"/>
        <v>1</v>
      </c>
      <c r="B8" s="151" t="s">
        <v>206</v>
      </c>
      <c r="C8" s="159">
        <v>1111</v>
      </c>
      <c r="D8" s="160" t="s">
        <v>207</v>
      </c>
      <c r="E8" s="161">
        <f>SUM(E9:E10)</f>
        <v>0</v>
      </c>
      <c r="F8" s="161">
        <f>SUMIF(Lanç!$C$115:$C$6504,C8,Lanç!$F$115:$F$6504)</f>
        <v>0</v>
      </c>
      <c r="G8" s="161">
        <f>SUMIF(Lanç!$C$115:$C$6504,C8,Lanç!$G$115:$G$6504)</f>
        <v>0</v>
      </c>
      <c r="H8" s="162">
        <f t="shared" si="1"/>
        <v>0</v>
      </c>
      <c r="I8" s="162">
        <f t="shared" si="2"/>
        <v>0</v>
      </c>
    </row>
    <row r="9" spans="1:19" hidden="1">
      <c r="A9" s="151">
        <f t="shared" si="0"/>
        <v>1</v>
      </c>
      <c r="B9" s="151" t="s">
        <v>206</v>
      </c>
      <c r="C9" s="159">
        <v>1112</v>
      </c>
      <c r="D9" s="160" t="s">
        <v>208</v>
      </c>
      <c r="E9" s="161">
        <f>SUMIF(Lanç!$C$3:$C$114,C9,Lanç!$F$3:$F$114)</f>
        <v>0</v>
      </c>
      <c r="F9" s="161">
        <f>SUMIF(Lanç!$C$115:$C$6504,C9,Lanç!$F$115:$F$6504)</f>
        <v>0</v>
      </c>
      <c r="G9" s="161">
        <f>SUMIF(Lanç!$C$115:$C$6504,C9,Lanç!$G$115:$G$6504)</f>
        <v>0</v>
      </c>
      <c r="H9" s="162">
        <f t="shared" si="1"/>
        <v>0</v>
      </c>
      <c r="I9" s="162">
        <f t="shared" si="2"/>
        <v>0</v>
      </c>
    </row>
    <row r="10" spans="1:19" hidden="1">
      <c r="A10" s="151">
        <f t="shared" si="0"/>
        <v>1</v>
      </c>
      <c r="B10" s="151" t="s">
        <v>206</v>
      </c>
      <c r="C10" s="159">
        <v>1113</v>
      </c>
      <c r="D10" s="160" t="s">
        <v>209</v>
      </c>
      <c r="E10" s="161">
        <f>SUMIF(Lanç!$C$3:$C$114,C10,Lanç!$F$3:$F$114)</f>
        <v>0</v>
      </c>
      <c r="F10" s="161">
        <f>SUMIF(Lanç!$C$115:$C$6504,C10,Lanç!$F$115:$F$6504)</f>
        <v>0</v>
      </c>
      <c r="G10" s="161">
        <f>SUMIF(Lanç!$C$115:$C$6504,C10,Lanç!$G$115:$G$6504)</f>
        <v>0</v>
      </c>
      <c r="H10" s="162">
        <f t="shared" si="1"/>
        <v>0</v>
      </c>
      <c r="I10" s="162">
        <f t="shared" si="2"/>
        <v>0</v>
      </c>
    </row>
    <row r="11" spans="1:19" hidden="1">
      <c r="A11" s="151">
        <f t="shared" si="0"/>
        <v>1</v>
      </c>
      <c r="B11" s="155" t="s">
        <v>204</v>
      </c>
      <c r="C11" s="156">
        <v>1114</v>
      </c>
      <c r="D11" s="157" t="s">
        <v>210</v>
      </c>
      <c r="E11" s="158">
        <f>SUM(E12:E14)</f>
        <v>0</v>
      </c>
      <c r="F11" s="158">
        <f>SUM(F12:F14)</f>
        <v>0</v>
      </c>
      <c r="G11" s="158">
        <f>SUM(G12:G14)</f>
        <v>0</v>
      </c>
      <c r="H11" s="154">
        <f t="shared" si="1"/>
        <v>0</v>
      </c>
      <c r="I11" s="154">
        <f t="shared" si="2"/>
        <v>0</v>
      </c>
      <c r="J11" s="1"/>
      <c r="K11" s="1"/>
      <c r="L11" s="1"/>
      <c r="M11" s="1"/>
      <c r="N11" s="1"/>
    </row>
    <row r="12" spans="1:19" hidden="1">
      <c r="A12" s="151">
        <f t="shared" si="0"/>
        <v>1</v>
      </c>
      <c r="B12" s="151" t="s">
        <v>206</v>
      </c>
      <c r="C12" s="159">
        <v>11141</v>
      </c>
      <c r="D12" s="160" t="s">
        <v>211</v>
      </c>
      <c r="E12" s="161">
        <f>SUMIF(Lanç!$C$3:$C$114,C12,Lanç!$F$3:$F$114)</f>
        <v>0</v>
      </c>
      <c r="F12" s="161">
        <f>SUMIF(Lanç!$C$115:$C$6504,C12,Lanç!$F$115:$F$6504)</f>
        <v>0</v>
      </c>
      <c r="G12" s="161">
        <f>SUMIF(Lanç!$C$115:$C$6504,C12,Lanç!$G$115:$G$6504)</f>
        <v>0</v>
      </c>
      <c r="H12" s="162">
        <f t="shared" si="1"/>
        <v>0</v>
      </c>
      <c r="I12" s="162">
        <f t="shared" si="2"/>
        <v>0</v>
      </c>
    </row>
    <row r="13" spans="1:19" hidden="1">
      <c r="A13" s="151">
        <f t="shared" si="0"/>
        <v>1</v>
      </c>
      <c r="B13" s="151" t="s">
        <v>206</v>
      </c>
      <c r="C13" s="156">
        <v>11142</v>
      </c>
      <c r="D13" s="160" t="s">
        <v>212</v>
      </c>
      <c r="E13" s="161">
        <f>SUMIF(Lanç!$C$3:$C$114,C13,Lanç!$F$3:$F$114)</f>
        <v>0</v>
      </c>
      <c r="F13" s="161">
        <f>SUMIF(Lanç!$C$115:$C$6504,C13,Lanç!$F$115:$F$6504)</f>
        <v>0</v>
      </c>
      <c r="G13" s="161">
        <f>SUMIF(Lanç!$C$115:$C$6504,C13,Lanç!$G$115:$G$6504)</f>
        <v>0</v>
      </c>
      <c r="H13" s="162">
        <f t="shared" si="1"/>
        <v>0</v>
      </c>
      <c r="I13" s="162">
        <f t="shared" si="2"/>
        <v>0</v>
      </c>
    </row>
    <row r="14" spans="1:19" hidden="1">
      <c r="A14" s="151">
        <f t="shared" si="0"/>
        <v>1</v>
      </c>
      <c r="B14" s="151" t="s">
        <v>206</v>
      </c>
      <c r="C14" s="159">
        <v>11143</v>
      </c>
      <c r="D14" s="160" t="s">
        <v>213</v>
      </c>
      <c r="E14" s="161">
        <f>SUMIF(Lanç!$C$3:$C$114,C14,Lanç!$F$3:$F$114)</f>
        <v>0</v>
      </c>
      <c r="F14" s="161">
        <f>SUMIF(Lanç!$C$115:$C$6504,C14,Lanç!$F$115:$F$6504)</f>
        <v>0</v>
      </c>
      <c r="G14" s="161">
        <f>SUMIF(Lanç!$C$115:$C$6504,C14,Lanç!$G$115:$G$6504)</f>
        <v>0</v>
      </c>
      <c r="H14" s="162">
        <f t="shared" si="1"/>
        <v>0</v>
      </c>
      <c r="I14" s="162">
        <f t="shared" si="2"/>
        <v>0</v>
      </c>
    </row>
    <row r="15" spans="1:19">
      <c r="A15" s="151">
        <f t="shared" si="0"/>
        <v>0</v>
      </c>
      <c r="B15" s="155" t="s">
        <v>204</v>
      </c>
      <c r="C15" s="156">
        <v>112</v>
      </c>
      <c r="D15" s="157" t="s">
        <v>214</v>
      </c>
      <c r="E15" s="158">
        <f>SUM(E16:E21)</f>
        <v>33771040.670000002</v>
      </c>
      <c r="F15" s="158">
        <f>SUM(F16:F21)</f>
        <v>0</v>
      </c>
      <c r="G15" s="158">
        <f>SUM(G16:G21)</f>
        <v>0</v>
      </c>
      <c r="H15" s="154">
        <f t="shared" si="1"/>
        <v>0</v>
      </c>
      <c r="I15" s="154">
        <f t="shared" si="2"/>
        <v>33771040.670000002</v>
      </c>
      <c r="J15" s="1"/>
      <c r="K15" s="1"/>
      <c r="L15" s="1"/>
      <c r="M15" s="1"/>
      <c r="N15" s="1"/>
    </row>
    <row r="16" spans="1:19" hidden="1">
      <c r="A16" s="151">
        <f t="shared" si="0"/>
        <v>1</v>
      </c>
      <c r="B16" s="151" t="s">
        <v>206</v>
      </c>
      <c r="C16" s="159">
        <v>1121</v>
      </c>
      <c r="D16" s="160" t="s">
        <v>215</v>
      </c>
      <c r="E16" s="161">
        <f>SUMIF(Lanç!$C$3:$C$114,C16,Lanç!$F$3:$F$114)</f>
        <v>0</v>
      </c>
      <c r="F16" s="161">
        <f>SUMIF(Lanç!$C$115:$C$6504,C16,Lanç!$F$115:$F$6504)</f>
        <v>0</v>
      </c>
      <c r="G16" s="161">
        <f>SUMIF(Lanç!$C$115:$C$6504,C16,Lanç!$G$115:$G$6504)</f>
        <v>0</v>
      </c>
      <c r="H16" s="162">
        <f t="shared" si="1"/>
        <v>0</v>
      </c>
      <c r="I16" s="162">
        <f t="shared" si="2"/>
        <v>0</v>
      </c>
    </row>
    <row r="17" spans="1:14" hidden="1">
      <c r="A17" s="151">
        <f t="shared" si="0"/>
        <v>1</v>
      </c>
      <c r="B17" s="151" t="s">
        <v>206</v>
      </c>
      <c r="C17" s="159">
        <v>11211</v>
      </c>
      <c r="D17" s="160" t="s">
        <v>216</v>
      </c>
      <c r="E17" s="161">
        <f>SUMIF(Lanç!$C$3:$C$114,C17,Lanç!$F$3:$F$114)</f>
        <v>0</v>
      </c>
      <c r="F17" s="161">
        <f>SUMIF(Lanç!$C$115:$C$6504,C17,Lanç!$F$115:$F$6504)</f>
        <v>0</v>
      </c>
      <c r="G17" s="161">
        <f>SUMIF(Lanç!$C$115:$C$6504,C17,Lanç!$G$115:$G$6504)</f>
        <v>0</v>
      </c>
      <c r="H17" s="162">
        <f t="shared" si="1"/>
        <v>0</v>
      </c>
      <c r="I17" s="162">
        <f t="shared" si="2"/>
        <v>0</v>
      </c>
    </row>
    <row r="18" spans="1:14" hidden="1">
      <c r="A18" s="151">
        <f t="shared" si="0"/>
        <v>1</v>
      </c>
      <c r="B18" s="151" t="s">
        <v>206</v>
      </c>
      <c r="C18" s="159">
        <v>11212</v>
      </c>
      <c r="D18" s="160" t="s">
        <v>217</v>
      </c>
      <c r="E18" s="161">
        <f>SUMIF(Lanç!$C$3:$C$114,C18,Lanç!$F$3:$F$114)</f>
        <v>0</v>
      </c>
      <c r="F18" s="161">
        <f>SUMIF(Lanç!$C$115:$C$6504,C18,Lanç!$F$115:$F$6504)</f>
        <v>0</v>
      </c>
      <c r="G18" s="161">
        <f>SUMIF(Lanç!$C$115:$C$6504,C18,Lanç!$G$115:$G$6504)</f>
        <v>0</v>
      </c>
      <c r="H18" s="162">
        <f t="shared" si="1"/>
        <v>0</v>
      </c>
      <c r="I18" s="162">
        <f t="shared" si="2"/>
        <v>0</v>
      </c>
    </row>
    <row r="19" spans="1:14" hidden="1">
      <c r="A19" s="151">
        <f t="shared" si="0"/>
        <v>1</v>
      </c>
      <c r="B19" s="151" t="s">
        <v>206</v>
      </c>
      <c r="C19" s="159">
        <v>11213</v>
      </c>
      <c r="D19" s="160" t="s">
        <v>218</v>
      </c>
      <c r="E19" s="161">
        <f>SUMIF(Lanç!$C$3:$C$114,C19,Lanç!$F$3:$F$114)</f>
        <v>0</v>
      </c>
      <c r="F19" s="161">
        <f>SUMIF(Lanç!$C$115:$C$6504,C19,Lanç!$F$115:$F$6504)</f>
        <v>0</v>
      </c>
      <c r="G19" s="161">
        <f>SUMIF(Lanç!$C$115:$C$6504,C19,Lanç!$G$115:$G$6504)</f>
        <v>0</v>
      </c>
      <c r="H19" s="162">
        <f t="shared" si="1"/>
        <v>0</v>
      </c>
      <c r="I19" s="162">
        <f t="shared" si="2"/>
        <v>0</v>
      </c>
    </row>
    <row r="20" spans="1:14" hidden="1">
      <c r="A20" s="151">
        <f t="shared" si="0"/>
        <v>1</v>
      </c>
      <c r="B20" s="151" t="s">
        <v>206</v>
      </c>
      <c r="C20" s="159">
        <v>11214</v>
      </c>
      <c r="D20" s="160" t="s">
        <v>219</v>
      </c>
      <c r="E20" s="161">
        <f>SUMIF(Lanç!$C$3:$C$114,C20,Lanç!$F$3:$F$114)</f>
        <v>0</v>
      </c>
      <c r="F20" s="161">
        <f>SUMIF(Lanç!$C$115:$C$6504,C20,Lanç!$F$115:$F$6504)</f>
        <v>0</v>
      </c>
      <c r="G20" s="161">
        <f>SUMIF(Lanç!$C$115:$C$6504,C20,Lanç!$G$115:$G$6504)</f>
        <v>0</v>
      </c>
      <c r="H20" s="162">
        <f t="shared" si="1"/>
        <v>0</v>
      </c>
      <c r="I20" s="162">
        <f t="shared" si="2"/>
        <v>0</v>
      </c>
    </row>
    <row r="21" spans="1:14">
      <c r="A21" s="151">
        <f t="shared" si="0"/>
        <v>0</v>
      </c>
      <c r="B21" s="151" t="s">
        <v>206</v>
      </c>
      <c r="C21" s="159">
        <v>1122</v>
      </c>
      <c r="D21" s="160" t="s">
        <v>220</v>
      </c>
      <c r="E21" s="161">
        <f>SUMIF(Lanç!C3:C114,C21,Lanç!F3:F114)</f>
        <v>33771040.670000002</v>
      </c>
      <c r="F21" s="161">
        <f>SUMIF(Lanç!C115:C6504,C21,Lanç!F115:F6504)</f>
        <v>0</v>
      </c>
      <c r="G21" s="161">
        <f>SUMIF(Lanç!C115:C6504,C21,Lanç!G115:G6504)</f>
        <v>0</v>
      </c>
      <c r="H21" s="162">
        <f t="shared" si="1"/>
        <v>0</v>
      </c>
      <c r="I21" s="162">
        <f t="shared" si="2"/>
        <v>33771040.670000002</v>
      </c>
    </row>
    <row r="22" spans="1:14" hidden="1">
      <c r="A22" s="151">
        <f t="shared" si="0"/>
        <v>1</v>
      </c>
      <c r="B22" s="151" t="s">
        <v>206</v>
      </c>
      <c r="C22" s="159">
        <v>1123</v>
      </c>
      <c r="D22" s="160" t="s">
        <v>221</v>
      </c>
      <c r="E22" s="161">
        <f>SUMIF(Lanç!$C$3:$C$114,C22,Lanç!$F$3:$F$114)</f>
        <v>0</v>
      </c>
      <c r="F22" s="161">
        <f>SUMIF(Lanç!$C$115:$C$6504,C22,Lanç!$F$115:$F$6504)</f>
        <v>0</v>
      </c>
      <c r="G22" s="161">
        <f>SUMIF(Lanç!$C$115:$C$6504,C22,Lanç!$G$115:$G$6504)</f>
        <v>0</v>
      </c>
      <c r="H22" s="162">
        <f t="shared" si="1"/>
        <v>0</v>
      </c>
      <c r="I22" s="162">
        <f t="shared" si="2"/>
        <v>0</v>
      </c>
    </row>
    <row r="23" spans="1:14">
      <c r="A23" s="151">
        <f t="shared" si="0"/>
        <v>0</v>
      </c>
      <c r="B23" s="155" t="s">
        <v>204</v>
      </c>
      <c r="C23" s="156">
        <v>113</v>
      </c>
      <c r="D23" s="157" t="s">
        <v>222</v>
      </c>
      <c r="E23" s="158">
        <f>SUM(E24)</f>
        <v>15470973.120000001</v>
      </c>
      <c r="F23" s="158">
        <f>SUM(F24)</f>
        <v>1200000</v>
      </c>
      <c r="G23" s="158">
        <f>SUM(G24)</f>
        <v>0</v>
      </c>
      <c r="H23" s="154">
        <f t="shared" si="1"/>
        <v>1200000</v>
      </c>
      <c r="I23" s="154">
        <f t="shared" si="2"/>
        <v>16670973.120000001</v>
      </c>
      <c r="J23" s="1"/>
      <c r="K23" s="1"/>
      <c r="L23" s="1"/>
      <c r="M23" s="1"/>
      <c r="N23" s="1"/>
    </row>
    <row r="24" spans="1:14">
      <c r="A24" s="151">
        <f t="shared" si="0"/>
        <v>0</v>
      </c>
      <c r="B24" s="155" t="s">
        <v>204</v>
      </c>
      <c r="C24" s="156">
        <v>1131</v>
      </c>
      <c r="D24" s="157" t="s">
        <v>223</v>
      </c>
      <c r="E24" s="158">
        <f>SUM(E25:E30)</f>
        <v>15470973.120000001</v>
      </c>
      <c r="F24" s="158">
        <f>SUM(F25:F30)</f>
        <v>1200000</v>
      </c>
      <c r="G24" s="158">
        <f>SUM(G25:G30)</f>
        <v>0</v>
      </c>
      <c r="H24" s="163">
        <f t="shared" si="1"/>
        <v>1200000</v>
      </c>
      <c r="I24" s="163">
        <f t="shared" si="2"/>
        <v>16670973.120000001</v>
      </c>
    </row>
    <row r="25" spans="1:14">
      <c r="A25" s="151">
        <f t="shared" si="0"/>
        <v>0</v>
      </c>
      <c r="B25" s="151" t="s">
        <v>206</v>
      </c>
      <c r="C25" s="159">
        <v>1131</v>
      </c>
      <c r="D25" s="160" t="s">
        <v>224</v>
      </c>
      <c r="E25" s="161">
        <f>SUMIF(Lanç!C3:C114,C25,Lanç!F3:F114)</f>
        <v>8490739.8200000003</v>
      </c>
      <c r="F25" s="161">
        <f>SUMIF(Lanç!C115:C6504,C25,Lanç!F115:F6504)</f>
        <v>0</v>
      </c>
      <c r="G25" s="161">
        <f>SUMIF(Lanç!C115:C6504,C25,Lanç!G115:G6504)</f>
        <v>0</v>
      </c>
      <c r="H25" s="162">
        <f t="shared" si="1"/>
        <v>0</v>
      </c>
      <c r="I25" s="162">
        <f t="shared" si="2"/>
        <v>8490739.8200000003</v>
      </c>
    </row>
    <row r="26" spans="1:14">
      <c r="A26" s="151">
        <f t="shared" si="0"/>
        <v>0</v>
      </c>
      <c r="B26" s="151" t="s">
        <v>206</v>
      </c>
      <c r="C26" s="159">
        <v>1132</v>
      </c>
      <c r="D26" s="160" t="s">
        <v>225</v>
      </c>
      <c r="E26" s="161">
        <f>SUMIF(Lanç!C3:C114,C26,Lanç!F3:F114)</f>
        <v>1582983.3</v>
      </c>
      <c r="F26" s="161">
        <f>SUMIF(Lanç!C115:C6504,C26,Lanç!F115:F6504)</f>
        <v>0</v>
      </c>
      <c r="G26" s="161">
        <f>SUMIF(Lanç!C115:C6504,C26,Lanç!G115:G6504)</f>
        <v>0</v>
      </c>
      <c r="H26" s="162">
        <f t="shared" si="1"/>
        <v>0</v>
      </c>
      <c r="I26" s="162">
        <f t="shared" si="2"/>
        <v>1582983.3</v>
      </c>
    </row>
    <row r="27" spans="1:14" hidden="1">
      <c r="A27" s="151">
        <f t="shared" si="0"/>
        <v>1</v>
      </c>
      <c r="B27" s="151" t="s">
        <v>206</v>
      </c>
      <c r="C27" s="159">
        <v>1133</v>
      </c>
      <c r="D27" s="160" t="s">
        <v>226</v>
      </c>
      <c r="E27" s="161">
        <f>SUMIF(Lanç!$C$3:$C$114,C27,Lanç!$F$3:$F$114)</f>
        <v>0</v>
      </c>
      <c r="F27" s="161">
        <f>SUMIF(Lanç!$C$115:$C$6504,C27,Lanç!$F$115:$F$6504)</f>
        <v>0</v>
      </c>
      <c r="G27" s="161">
        <f>SUMIF(Lanç!$C$115:$C$6504,C27,Lanç!$G$115:$G$6504)</f>
        <v>0</v>
      </c>
      <c r="H27" s="162">
        <f t="shared" si="1"/>
        <v>0</v>
      </c>
      <c r="I27" s="162">
        <f t="shared" si="2"/>
        <v>0</v>
      </c>
    </row>
    <row r="28" spans="1:14">
      <c r="A28" s="151">
        <f t="shared" si="0"/>
        <v>0</v>
      </c>
      <c r="B28" s="151" t="s">
        <v>206</v>
      </c>
      <c r="C28" s="159">
        <v>1134</v>
      </c>
      <c r="D28" s="160" t="s">
        <v>2089</v>
      </c>
      <c r="E28" s="161">
        <f>SUMIF(Lanç!C3:C114,C28,Lanç!F3:F114)</f>
        <v>3481000</v>
      </c>
      <c r="F28" s="161">
        <f>SUMIF(Lanç!C115:C6504,C28,Lanç!F115:F6504)</f>
        <v>0</v>
      </c>
      <c r="G28" s="161">
        <f>SUMIF(Lanç!C115:C6504,C28,Lanç!G115:G6504)</f>
        <v>0</v>
      </c>
      <c r="H28" s="162">
        <f t="shared" si="1"/>
        <v>0</v>
      </c>
      <c r="I28" s="162">
        <f t="shared" si="2"/>
        <v>3481000</v>
      </c>
    </row>
    <row r="29" spans="1:14">
      <c r="A29" s="151">
        <f t="shared" ref="A29" si="3">IF(E29+F29+G29+H29+I29=0,1,0)</f>
        <v>0</v>
      </c>
      <c r="B29" s="151" t="s">
        <v>206</v>
      </c>
      <c r="C29" s="159">
        <v>1135</v>
      </c>
      <c r="D29" s="160" t="s">
        <v>227</v>
      </c>
      <c r="E29" s="161">
        <f>SUMIF(Lanç!C2:C113,C29,Lanç!F2:F113)</f>
        <v>1916250</v>
      </c>
      <c r="F29" s="161">
        <f>SUMIF(Lanç!C114:C6503,C29,Lanç!F114:F6503)</f>
        <v>0</v>
      </c>
      <c r="G29" s="161">
        <f>SUMIF(Lanç!C114:C6503,C29,Lanç!G114:G6503)</f>
        <v>0</v>
      </c>
      <c r="H29" s="162">
        <f t="shared" ref="H29" si="4">(F29)-(G29)</f>
        <v>0</v>
      </c>
      <c r="I29" s="162">
        <f t="shared" ref="I29" si="5">(E29)+(H29)</f>
        <v>1916250</v>
      </c>
    </row>
    <row r="30" spans="1:14">
      <c r="A30" s="151">
        <f t="shared" si="0"/>
        <v>0</v>
      </c>
      <c r="B30" s="151" t="s">
        <v>206</v>
      </c>
      <c r="C30" s="159">
        <v>1136</v>
      </c>
      <c r="D30" s="160" t="s">
        <v>2090</v>
      </c>
      <c r="E30" s="161">
        <f>SUMIF(Lanç!C3:C114,C30,Lanç!F3:F114)</f>
        <v>0</v>
      </c>
      <c r="F30" s="161">
        <f>SUMIF(Lanç!C115:C6504,C30,Lanç!F115:F6504)</f>
        <v>1200000</v>
      </c>
      <c r="G30" s="161">
        <f>SUMIF(Lanç!C115:C6504,C30,Lanç!G115:G6504)</f>
        <v>0</v>
      </c>
      <c r="H30" s="162">
        <f t="shared" si="1"/>
        <v>1200000</v>
      </c>
      <c r="I30" s="162">
        <f t="shared" si="2"/>
        <v>1200000</v>
      </c>
    </row>
    <row r="31" spans="1:14">
      <c r="A31" s="151">
        <f t="shared" si="0"/>
        <v>0</v>
      </c>
      <c r="B31" s="155" t="s">
        <v>204</v>
      </c>
      <c r="C31" s="156">
        <v>114</v>
      </c>
      <c r="D31" s="157" t="s">
        <v>228</v>
      </c>
      <c r="E31" s="158">
        <f>SUM(E32,E33)</f>
        <v>30341500</v>
      </c>
      <c r="F31" s="158">
        <f>SUM(F32,F33)</f>
        <v>13611615.73</v>
      </c>
      <c r="G31" s="158">
        <f>SUM(G32,G33)</f>
        <v>0</v>
      </c>
      <c r="H31" s="154">
        <f t="shared" si="1"/>
        <v>13611615.73</v>
      </c>
      <c r="I31" s="163">
        <f t="shared" si="2"/>
        <v>43953115.730000004</v>
      </c>
      <c r="J31" s="1"/>
      <c r="K31" s="1"/>
      <c r="L31" s="1"/>
      <c r="M31" s="1"/>
      <c r="N31" s="1"/>
    </row>
    <row r="32" spans="1:14" hidden="1">
      <c r="A32" s="151">
        <f t="shared" si="0"/>
        <v>1</v>
      </c>
      <c r="B32" s="151" t="s">
        <v>206</v>
      </c>
      <c r="C32" s="159">
        <v>1141</v>
      </c>
      <c r="D32" s="160" t="s">
        <v>229</v>
      </c>
      <c r="E32" s="161">
        <f>SUMIF(Lanç!$C$3:$C$114,C32,Lanç!$F$3:$F$114)</f>
        <v>0</v>
      </c>
      <c r="F32" s="161">
        <f>SUMIF(Lanç!$C$115:$C$6504,C32,Lanç!$F$115:$F$6504)</f>
        <v>0</v>
      </c>
      <c r="G32" s="161">
        <f>SUMIF(Lanç!$C$115:$C$6504,C32,Lanç!$G$115:$G$6504)</f>
        <v>0</v>
      </c>
      <c r="H32" s="162">
        <f t="shared" si="1"/>
        <v>0</v>
      </c>
      <c r="I32" s="162">
        <f t="shared" si="2"/>
        <v>0</v>
      </c>
    </row>
    <row r="33" spans="1:14">
      <c r="A33" s="151">
        <f t="shared" si="0"/>
        <v>0</v>
      </c>
      <c r="B33" s="155" t="s">
        <v>204</v>
      </c>
      <c r="C33" s="156">
        <v>1142</v>
      </c>
      <c r="D33" s="157" t="s">
        <v>230</v>
      </c>
      <c r="E33" s="158">
        <f>SUM(E34:E43)</f>
        <v>30341500</v>
      </c>
      <c r="F33" s="158">
        <f>SUM(F34:F43)</f>
        <v>13611615.73</v>
      </c>
      <c r="G33" s="158">
        <f>SUM(G34:G43)</f>
        <v>0</v>
      </c>
      <c r="H33" s="163">
        <f t="shared" si="1"/>
        <v>13611615.73</v>
      </c>
      <c r="I33" s="163">
        <f t="shared" si="2"/>
        <v>43953115.730000004</v>
      </c>
    </row>
    <row r="34" spans="1:14">
      <c r="A34" s="151">
        <f t="shared" si="0"/>
        <v>0</v>
      </c>
      <c r="B34" s="151" t="s">
        <v>206</v>
      </c>
      <c r="C34" s="159">
        <v>114201</v>
      </c>
      <c r="D34" s="160" t="s">
        <v>231</v>
      </c>
      <c r="E34" s="161">
        <f>SUMIF(Lanç!C3:C114,C34,Lanç!F3:F114)</f>
        <v>3152500</v>
      </c>
      <c r="F34" s="161">
        <f>SUMIF(Lanç!C115:C6504,C34,Lanç!F115:F6504)</f>
        <v>0</v>
      </c>
      <c r="G34" s="161">
        <f>SUMIF(Lanç!C115:C6504,C34,Lanç!G115:G6504)</f>
        <v>0</v>
      </c>
      <c r="H34" s="162">
        <f t="shared" si="1"/>
        <v>0</v>
      </c>
      <c r="I34" s="162">
        <f t="shared" si="2"/>
        <v>3152500</v>
      </c>
    </row>
    <row r="35" spans="1:14">
      <c r="A35" s="151">
        <f t="shared" si="0"/>
        <v>0</v>
      </c>
      <c r="B35" s="151" t="s">
        <v>206</v>
      </c>
      <c r="C35" s="159">
        <v>114202</v>
      </c>
      <c r="D35" s="160" t="s">
        <v>232</v>
      </c>
      <c r="E35" s="161">
        <f>SUMIF(Lanç!C3:C114,C35,Lanç!F3:F114)</f>
        <v>4455000</v>
      </c>
      <c r="F35" s="161">
        <f>SUMIF(Lanç!C115:C6504,C35,Lanç!F115:F6504)</f>
        <v>0</v>
      </c>
      <c r="G35" s="161">
        <f>SUMIF(Lanç!C115:C6504,C35,Lanç!G115:G6504)</f>
        <v>0</v>
      </c>
      <c r="H35" s="162">
        <f t="shared" si="1"/>
        <v>0</v>
      </c>
      <c r="I35" s="162">
        <f t="shared" si="2"/>
        <v>4455000</v>
      </c>
    </row>
    <row r="36" spans="1:14">
      <c r="A36" s="151">
        <f t="shared" si="0"/>
        <v>0</v>
      </c>
      <c r="B36" s="151" t="s">
        <v>206</v>
      </c>
      <c r="C36" s="159">
        <v>114203</v>
      </c>
      <c r="D36" s="160" t="s">
        <v>233</v>
      </c>
      <c r="E36" s="161">
        <f>SUMIF(Lanç!C3:C114,C36,Lanç!F3:F114)</f>
        <v>2500000</v>
      </c>
      <c r="F36" s="161">
        <f>SUMIF(Lanç!C115:C6504,C36,Lanç!F115:F6504)</f>
        <v>0</v>
      </c>
      <c r="G36" s="161">
        <f>SUMIF(Lanç!C115:C6504,C36,Lanç!G115:G6504)</f>
        <v>0</v>
      </c>
      <c r="H36" s="162">
        <f t="shared" si="1"/>
        <v>0</v>
      </c>
      <c r="I36" s="162">
        <f t="shared" si="2"/>
        <v>2500000</v>
      </c>
    </row>
    <row r="37" spans="1:14" hidden="1">
      <c r="A37" s="151">
        <f t="shared" si="0"/>
        <v>1</v>
      </c>
      <c r="B37" s="151" t="s">
        <v>206</v>
      </c>
      <c r="C37" s="159">
        <v>114204</v>
      </c>
      <c r="D37" s="160" t="s">
        <v>234</v>
      </c>
      <c r="E37" s="161">
        <f>SUMIF(Lanç!$C$3:$C$114,C37,Lanç!$F$3:$F$114)</f>
        <v>0</v>
      </c>
      <c r="F37" s="161">
        <f>SUMIF(Lanç!$C$115:$C$6504,C37,Lanç!$F$115:$F$6504)</f>
        <v>0</v>
      </c>
      <c r="G37" s="161">
        <f>SUMIF(Lanç!$C$115:$C$6504,C37,Lanç!$G$115:$G$6504)</f>
        <v>0</v>
      </c>
      <c r="H37" s="162">
        <f t="shared" si="1"/>
        <v>0</v>
      </c>
      <c r="I37" s="162">
        <f t="shared" si="2"/>
        <v>0</v>
      </c>
    </row>
    <row r="38" spans="1:14">
      <c r="A38" s="151">
        <f t="shared" si="0"/>
        <v>0</v>
      </c>
      <c r="B38" s="151" t="s">
        <v>206</v>
      </c>
      <c r="C38" s="159">
        <v>114205</v>
      </c>
      <c r="D38" s="160" t="s">
        <v>235</v>
      </c>
      <c r="E38" s="161">
        <f>SUMIF(Lanç!C3:C114,C38,Lanç!F3:F114)</f>
        <v>4400000</v>
      </c>
      <c r="F38" s="161">
        <f>SUMIF(Lanç!C115:C6504,C38,Lanç!F115:F6504)</f>
        <v>0</v>
      </c>
      <c r="G38" s="161">
        <f>SUMIF(Lanç!C115:C6504,C38,Lanç!G115:G6504)</f>
        <v>0</v>
      </c>
      <c r="H38" s="162">
        <f t="shared" si="1"/>
        <v>0</v>
      </c>
      <c r="I38" s="162">
        <f t="shared" si="2"/>
        <v>4400000</v>
      </c>
    </row>
    <row r="39" spans="1:14" hidden="1">
      <c r="A39" s="151">
        <f t="shared" si="0"/>
        <v>1</v>
      </c>
      <c r="B39" s="151" t="s">
        <v>206</v>
      </c>
      <c r="C39" s="159">
        <v>114206</v>
      </c>
      <c r="D39" s="160" t="s">
        <v>236</v>
      </c>
      <c r="E39" s="161">
        <f>SUMIF(Lanç!C3:C114,C39,Lanç!F3:F114)</f>
        <v>0</v>
      </c>
      <c r="F39" s="161">
        <f>SUMIF(Lanç!C115:C6504,C39,Lanç!F115:F6504)</f>
        <v>0</v>
      </c>
      <c r="G39" s="161">
        <f>SUMIF(Lanç!C115:C6504,C39,Lanç!G115:G6504)</f>
        <v>0</v>
      </c>
      <c r="H39" s="162">
        <f t="shared" si="1"/>
        <v>0</v>
      </c>
      <c r="I39" s="162">
        <f t="shared" si="2"/>
        <v>0</v>
      </c>
    </row>
    <row r="40" spans="1:14">
      <c r="A40" s="151">
        <f t="shared" si="0"/>
        <v>0</v>
      </c>
      <c r="B40" s="151" t="s">
        <v>206</v>
      </c>
      <c r="C40" s="159">
        <v>114207</v>
      </c>
      <c r="D40" s="160" t="s">
        <v>237</v>
      </c>
      <c r="E40" s="161">
        <f>SUMIF(Lanç!C3:C114,C40,Lanç!F3:F114)</f>
        <v>3165000</v>
      </c>
      <c r="F40" s="161">
        <f>SUMIF(Lanç!C115:C6504,C40,Lanç!F115:F6504)</f>
        <v>0</v>
      </c>
      <c r="G40" s="161">
        <f>SUMIF(Lanç!C115:C6504,C40,Lanç!G115:G6504)</f>
        <v>0</v>
      </c>
      <c r="H40" s="162">
        <f t="shared" si="1"/>
        <v>0</v>
      </c>
      <c r="I40" s="162">
        <f t="shared" si="2"/>
        <v>3165000</v>
      </c>
    </row>
    <row r="41" spans="1:14">
      <c r="A41" s="151">
        <f t="shared" si="0"/>
        <v>0</v>
      </c>
      <c r="B41" s="151" t="s">
        <v>206</v>
      </c>
      <c r="C41" s="159">
        <v>114208</v>
      </c>
      <c r="D41" s="160" t="s">
        <v>238</v>
      </c>
      <c r="E41" s="161">
        <f>SUMIF(Lanç!C3:C114,C41,Lanç!F3:F114)</f>
        <v>269000</v>
      </c>
      <c r="F41" s="161">
        <f>SUMIF(Lanç!C115:C6504,C41,Lanç!F115:F6504)</f>
        <v>0</v>
      </c>
      <c r="G41" s="161">
        <f>SUMIF(Lanç!C115:C6504,C41,Lanç!G115:G6504)</f>
        <v>0</v>
      </c>
      <c r="H41" s="162">
        <f t="shared" si="1"/>
        <v>0</v>
      </c>
      <c r="I41" s="162">
        <f t="shared" si="2"/>
        <v>269000</v>
      </c>
    </row>
    <row r="42" spans="1:14">
      <c r="A42" s="151">
        <f>IF(E42+F42+G42+H42+I42=0,1,0)</f>
        <v>0</v>
      </c>
      <c r="B42" s="151" t="s">
        <v>206</v>
      </c>
      <c r="C42" s="159">
        <v>114209</v>
      </c>
      <c r="D42" s="160" t="s">
        <v>2096</v>
      </c>
      <c r="E42" s="161">
        <f>SUMIF(Lanç!$C$3:$C$114,C42,Lanç!$F$3:$F$114)</f>
        <v>12400000</v>
      </c>
      <c r="F42" s="161">
        <f>SUMIF(Lanç!$C$115:$C$6504,C42,Lanç!$F$115:$F$6504)</f>
        <v>0</v>
      </c>
      <c r="G42" s="161">
        <f>SUMIF(Lanç!$C$115:$C$6504,C42,Lanç!$G$115:$G$6504)</f>
        <v>0</v>
      </c>
      <c r="H42" s="162">
        <f>(F42)-(G42)</f>
        <v>0</v>
      </c>
      <c r="I42" s="162">
        <f>(E42)+(H42)</f>
        <v>12400000</v>
      </c>
    </row>
    <row r="43" spans="1:14">
      <c r="A43" s="151">
        <f t="shared" si="0"/>
        <v>0</v>
      </c>
      <c r="B43" s="151" t="s">
        <v>206</v>
      </c>
      <c r="C43" s="159">
        <v>114210</v>
      </c>
      <c r="D43" s="160" t="s">
        <v>2097</v>
      </c>
      <c r="E43" s="161">
        <f>SUMIF(Lanç!$C$3:$C$114,C43,Lanç!$F$3:$F$114)</f>
        <v>0</v>
      </c>
      <c r="F43" s="161">
        <f>SUMIF(Lanç!$C$115:$C$6504,C43,Lanç!$F$115:$F$6504)</f>
        <v>13611615.73</v>
      </c>
      <c r="G43" s="161">
        <f>SUMIF(Lanç!$C$115:$C$6504,C43,Lanç!$G$115:$G$6504)</f>
        <v>0</v>
      </c>
      <c r="H43" s="162">
        <f t="shared" si="1"/>
        <v>13611615.73</v>
      </c>
      <c r="I43" s="162">
        <f t="shared" si="2"/>
        <v>13611615.73</v>
      </c>
    </row>
    <row r="44" spans="1:14">
      <c r="A44" s="151">
        <f t="shared" si="0"/>
        <v>0</v>
      </c>
      <c r="B44" s="155" t="s">
        <v>204</v>
      </c>
      <c r="C44" s="156">
        <v>115</v>
      </c>
      <c r="D44" s="157" t="s">
        <v>239</v>
      </c>
      <c r="E44" s="158">
        <f>SUM(E45,E46,E48,E49,E50,E51)</f>
        <v>7084999.1200000001</v>
      </c>
      <c r="F44" s="158">
        <f>SUM(F45,F46,F48,F49,F50,F51)</f>
        <v>428157.75</v>
      </c>
      <c r="G44" s="158">
        <f>SUM(G45,G46,G48,G49,G50,G51)</f>
        <v>0</v>
      </c>
      <c r="H44" s="154">
        <f t="shared" si="1"/>
        <v>428157.75</v>
      </c>
      <c r="I44" s="154">
        <f t="shared" si="2"/>
        <v>7513156.8700000001</v>
      </c>
      <c r="J44" s="1"/>
      <c r="K44" s="1"/>
      <c r="L44" s="1"/>
      <c r="M44" s="1"/>
      <c r="N44" s="1"/>
    </row>
    <row r="45" spans="1:14">
      <c r="A45" s="151">
        <f t="shared" si="0"/>
        <v>0</v>
      </c>
      <c r="B45" s="151" t="s">
        <v>206</v>
      </c>
      <c r="C45" s="159">
        <v>1151</v>
      </c>
      <c r="D45" s="160" t="s">
        <v>240</v>
      </c>
      <c r="E45" s="161">
        <f>SUMIF(Lanç!C3:C114,C45,Lanç!F3:F114)</f>
        <v>832396.09</v>
      </c>
      <c r="F45" s="161">
        <f>SUMIF(Lanç!C115:C6504,C45,Lanç!F115:F6504)</f>
        <v>428157.75</v>
      </c>
      <c r="G45" s="161">
        <f>SUMIF(Lanç!C115:C6504,C45,Lanç!G115:G6504)</f>
        <v>0</v>
      </c>
      <c r="H45" s="162">
        <f t="shared" si="1"/>
        <v>428157.75</v>
      </c>
      <c r="I45" s="162">
        <f t="shared" si="2"/>
        <v>1260553.8399999999</v>
      </c>
    </row>
    <row r="46" spans="1:14">
      <c r="A46" s="151">
        <f t="shared" si="0"/>
        <v>0</v>
      </c>
      <c r="B46" s="155" t="s">
        <v>204</v>
      </c>
      <c r="C46" s="156">
        <v>1152</v>
      </c>
      <c r="D46" s="157" t="s">
        <v>241</v>
      </c>
      <c r="E46" s="158">
        <f>SUM(E47)</f>
        <v>555241.13</v>
      </c>
      <c r="F46" s="158">
        <f>SUM(F47)</f>
        <v>0</v>
      </c>
      <c r="G46" s="158">
        <f>SUM(G47)</f>
        <v>0</v>
      </c>
      <c r="H46" s="163">
        <f t="shared" si="1"/>
        <v>0</v>
      </c>
      <c r="I46" s="163">
        <f t="shared" si="2"/>
        <v>555241.13</v>
      </c>
    </row>
    <row r="47" spans="1:14">
      <c r="A47" s="151">
        <f t="shared" si="0"/>
        <v>0</v>
      </c>
      <c r="B47" s="151" t="s">
        <v>206</v>
      </c>
      <c r="C47" s="159">
        <v>115201</v>
      </c>
      <c r="D47" s="160" t="s">
        <v>242</v>
      </c>
      <c r="E47" s="161">
        <f>SUMIF(Lanç!C3:C114,C47,Lanç!F3:F114)</f>
        <v>555241.13</v>
      </c>
      <c r="F47" s="161">
        <f>SUMIF(Lanç!C115:C6504,C47,Lanç!F115:F6504)</f>
        <v>0</v>
      </c>
      <c r="G47" s="161">
        <f>SUMIF(Lanç!C115:C6504,C47,Lanç!G115:G6504)</f>
        <v>0</v>
      </c>
      <c r="H47" s="162">
        <f t="shared" si="1"/>
        <v>0</v>
      </c>
      <c r="I47" s="162">
        <f t="shared" si="2"/>
        <v>555241.13</v>
      </c>
    </row>
    <row r="48" spans="1:14">
      <c r="A48" s="151">
        <f t="shared" si="0"/>
        <v>0</v>
      </c>
      <c r="B48" s="151" t="s">
        <v>206</v>
      </c>
      <c r="C48" s="159">
        <v>1153</v>
      </c>
      <c r="D48" s="160" t="s">
        <v>243</v>
      </c>
      <c r="E48" s="161">
        <f>SUMIF(Lanç!C3:C114,C48,Lanç!F3:F114)</f>
        <v>4426438.08</v>
      </c>
      <c r="F48" s="161">
        <f>SUMIF(Lanç!C115:C6504,C48,Lanç!F115:F6504)</f>
        <v>0</v>
      </c>
      <c r="G48" s="161">
        <f>SUMIF(Lanç!C115:C6504,C48,Lanç!G115:G6504)</f>
        <v>0</v>
      </c>
      <c r="H48" s="162">
        <f t="shared" si="1"/>
        <v>0</v>
      </c>
      <c r="I48" s="162">
        <f t="shared" si="2"/>
        <v>4426438.08</v>
      </c>
    </row>
    <row r="49" spans="1:14">
      <c r="A49" s="151">
        <f t="shared" si="0"/>
        <v>0</v>
      </c>
      <c r="B49" s="151" t="s">
        <v>206</v>
      </c>
      <c r="C49" s="159">
        <v>1154</v>
      </c>
      <c r="D49" s="160" t="s">
        <v>244</v>
      </c>
      <c r="E49" s="161">
        <f>SUMIF(Lanç!C3:C114,C49,Lanç!F3:F114)</f>
        <v>245563.3</v>
      </c>
      <c r="F49" s="161">
        <f>SUMIF(Lanç!C115:C6504,C49,Lanç!F115:F6504)</f>
        <v>0</v>
      </c>
      <c r="G49" s="161">
        <f>SUMIF(Lanç!C115:C6504,C49,Lanç!G115:G6504)</f>
        <v>0</v>
      </c>
      <c r="H49" s="162">
        <f t="shared" si="1"/>
        <v>0</v>
      </c>
      <c r="I49" s="162">
        <f t="shared" si="2"/>
        <v>245563.3</v>
      </c>
    </row>
    <row r="50" spans="1:14">
      <c r="A50" s="151">
        <f t="shared" si="0"/>
        <v>0</v>
      </c>
      <c r="B50" s="151" t="s">
        <v>206</v>
      </c>
      <c r="C50" s="159">
        <v>1155</v>
      </c>
      <c r="D50" s="160" t="s">
        <v>245</v>
      </c>
      <c r="E50" s="161">
        <f>SUMIF(Lanç!C3:C114,C50,Lanç!F3:F114)</f>
        <v>955783.37</v>
      </c>
      <c r="F50" s="161">
        <f>SUMIF(Lanç!C115:C6504,C50,Lanç!F115:F6504)</f>
        <v>0</v>
      </c>
      <c r="G50" s="161">
        <f>SUMIF(Lanç!C115:C6504,C50,Lanç!G115:G6504)</f>
        <v>0</v>
      </c>
      <c r="H50" s="162">
        <f t="shared" si="1"/>
        <v>0</v>
      </c>
      <c r="I50" s="162">
        <f t="shared" si="2"/>
        <v>955783.37</v>
      </c>
    </row>
    <row r="51" spans="1:14">
      <c r="A51" s="151">
        <f t="shared" si="0"/>
        <v>0</v>
      </c>
      <c r="B51" s="151" t="s">
        <v>206</v>
      </c>
      <c r="C51" s="159">
        <v>1156</v>
      </c>
      <c r="D51" s="160" t="s">
        <v>246</v>
      </c>
      <c r="E51" s="161">
        <f>SUMIF(Lanç!C3:C114,C51,Lanç!F3:F114)</f>
        <v>69577.149999999994</v>
      </c>
      <c r="F51" s="161">
        <f>SUMIF(Lanç!C115:C6504,C51,Lanç!F115:F6504)</f>
        <v>0</v>
      </c>
      <c r="G51" s="161">
        <f>SUMIF(Lanç!C115:C6504,C51,Lanç!G115:G6504)</f>
        <v>0</v>
      </c>
      <c r="H51" s="162">
        <f t="shared" si="1"/>
        <v>0</v>
      </c>
      <c r="I51" s="162">
        <f t="shared" si="2"/>
        <v>69577.149999999994</v>
      </c>
    </row>
    <row r="52" spans="1:14" hidden="1">
      <c r="A52" s="151">
        <f t="shared" si="0"/>
        <v>1</v>
      </c>
      <c r="B52" s="155" t="s">
        <v>204</v>
      </c>
      <c r="C52" s="156">
        <v>116</v>
      </c>
      <c r="D52" s="157" t="s">
        <v>247</v>
      </c>
      <c r="E52" s="158">
        <f>SUM(E53:E54)</f>
        <v>0</v>
      </c>
      <c r="F52" s="158">
        <f>SUM(F53:F54)</f>
        <v>0</v>
      </c>
      <c r="G52" s="158">
        <f>SUM(G53:G54)</f>
        <v>0</v>
      </c>
      <c r="H52" s="154">
        <f t="shared" si="1"/>
        <v>0</v>
      </c>
      <c r="I52" s="154">
        <f t="shared" si="2"/>
        <v>0</v>
      </c>
      <c r="J52" s="1"/>
      <c r="K52" s="1"/>
      <c r="L52" s="1"/>
      <c r="M52" s="1"/>
      <c r="N52" s="1"/>
    </row>
    <row r="53" spans="1:14" hidden="1">
      <c r="A53" s="151">
        <f t="shared" si="0"/>
        <v>1</v>
      </c>
      <c r="B53" s="151" t="s">
        <v>206</v>
      </c>
      <c r="C53" s="159">
        <v>1161</v>
      </c>
      <c r="D53" s="160" t="s">
        <v>248</v>
      </c>
      <c r="E53" s="161">
        <f>SUMIF(Lanç!$C$3:$C$114,C53,Lanç!$F$3:$F$114)</f>
        <v>0</v>
      </c>
      <c r="F53" s="161">
        <f>SUMIF(Lanç!$C$115:$C$6504,C53,Lanç!$F$115:$F$6504)</f>
        <v>0</v>
      </c>
      <c r="G53" s="161">
        <f>SUMIF(Lanç!$C$115:$C$6504,C53,Lanç!$G$115:$G$6504)</f>
        <v>0</v>
      </c>
      <c r="H53" s="162">
        <f t="shared" si="1"/>
        <v>0</v>
      </c>
      <c r="I53" s="162">
        <f t="shared" si="2"/>
        <v>0</v>
      </c>
    </row>
    <row r="54" spans="1:14" hidden="1">
      <c r="A54" s="151">
        <f t="shared" si="0"/>
        <v>1</v>
      </c>
      <c r="B54" s="151" t="s">
        <v>206</v>
      </c>
      <c r="C54" s="159">
        <v>1162</v>
      </c>
      <c r="D54" s="160" t="s">
        <v>249</v>
      </c>
      <c r="E54" s="161">
        <f>SUMIF(Lanç!$C$3:$C$114,C54,Lanç!$F$3:$F$114)</f>
        <v>0</v>
      </c>
      <c r="F54" s="161">
        <f>SUMIF(Lanç!$C$115:$C$6504,C54,Lanç!$F$115:$F$6504)</f>
        <v>0</v>
      </c>
      <c r="G54" s="161">
        <f>SUMIF(Lanç!$C$115:$C$6504,C54,Lanç!$G$115:$G$6504)</f>
        <v>0</v>
      </c>
      <c r="H54" s="162">
        <f t="shared" si="1"/>
        <v>0</v>
      </c>
      <c r="I54" s="162">
        <f t="shared" si="2"/>
        <v>0</v>
      </c>
    </row>
    <row r="55" spans="1:14">
      <c r="A55" s="151">
        <f t="shared" si="0"/>
        <v>0</v>
      </c>
      <c r="B55" s="155" t="s">
        <v>204</v>
      </c>
      <c r="C55" s="156">
        <v>119</v>
      </c>
      <c r="D55" s="157" t="s">
        <v>250</v>
      </c>
      <c r="E55" s="158">
        <f>SUM(E56:E57)</f>
        <v>117408.44</v>
      </c>
      <c r="F55" s="158">
        <f>SUM(F56:F57)</f>
        <v>0</v>
      </c>
      <c r="G55" s="158">
        <f>SUM(G56:G57)</f>
        <v>0</v>
      </c>
      <c r="H55" s="154">
        <f t="shared" si="1"/>
        <v>0</v>
      </c>
      <c r="I55" s="154">
        <f t="shared" si="2"/>
        <v>117408.44</v>
      </c>
      <c r="J55" s="1"/>
      <c r="K55" s="1"/>
      <c r="L55" s="1"/>
      <c r="M55" s="1"/>
      <c r="N55" s="1"/>
    </row>
    <row r="56" spans="1:14" hidden="1">
      <c r="A56" s="151">
        <f t="shared" si="0"/>
        <v>1</v>
      </c>
      <c r="B56" s="151" t="s">
        <v>206</v>
      </c>
      <c r="C56" s="159">
        <v>1191</v>
      </c>
      <c r="D56" s="160" t="s">
        <v>251</v>
      </c>
      <c r="E56" s="161">
        <f>SUMIF(Lanç!$C$3:$C$114,C56,Lanç!$F$3:$F$114)</f>
        <v>0</v>
      </c>
      <c r="F56" s="161">
        <f>SUMIF(Lanç!$C$115:$C$6504,C56,Lanç!$F$115:$F$6504)</f>
        <v>0</v>
      </c>
      <c r="G56" s="161">
        <f>SUMIF(Lanç!$C$115:$C$6504,C56,Lanç!$G$115:$G$6504)</f>
        <v>0</v>
      </c>
      <c r="H56" s="162">
        <f t="shared" si="1"/>
        <v>0</v>
      </c>
      <c r="I56" s="162">
        <f t="shared" si="2"/>
        <v>0</v>
      </c>
    </row>
    <row r="57" spans="1:14">
      <c r="A57" s="151">
        <f t="shared" si="0"/>
        <v>0</v>
      </c>
      <c r="B57" s="151" t="s">
        <v>206</v>
      </c>
      <c r="C57" s="159">
        <v>1192</v>
      </c>
      <c r="D57" s="160" t="s">
        <v>252</v>
      </c>
      <c r="E57" s="161">
        <f>SUMIF(Lanç!C3:C114,C57,Lanç!F3:F114)</f>
        <v>117408.44</v>
      </c>
      <c r="F57" s="161">
        <f>SUMIF(Lanç!C115:C6504,C57,Lanç!F115:F6504)</f>
        <v>0</v>
      </c>
      <c r="G57" s="161">
        <f>SUMIF(Lanç!C115:C6504,C57,Lanç!G115:G6504)</f>
        <v>0</v>
      </c>
      <c r="H57" s="162">
        <f t="shared" si="1"/>
        <v>0</v>
      </c>
      <c r="I57" s="162">
        <f t="shared" si="2"/>
        <v>117408.44</v>
      </c>
    </row>
    <row r="58" spans="1:14">
      <c r="A58" s="151">
        <f t="shared" si="0"/>
        <v>0</v>
      </c>
      <c r="B58" s="155" t="s">
        <v>202</v>
      </c>
      <c r="C58" s="156">
        <v>12</v>
      </c>
      <c r="D58" s="157" t="s">
        <v>253</v>
      </c>
      <c r="E58" s="158">
        <f>SUM(E59,E60,E62,E64,E66,E68)</f>
        <v>5897900</v>
      </c>
      <c r="F58" s="158">
        <f>SUM(F59,F60,F62,F64,F66,F68)</f>
        <v>0</v>
      </c>
      <c r="G58" s="158">
        <f>SUM(G59,G60,G62,G64,G66,G68)</f>
        <v>0</v>
      </c>
      <c r="H58" s="154">
        <f t="shared" si="1"/>
        <v>0</v>
      </c>
      <c r="I58" s="154">
        <f t="shared" si="2"/>
        <v>5897900</v>
      </c>
      <c r="J58" s="1"/>
      <c r="K58" s="1"/>
      <c r="L58" s="1"/>
      <c r="M58" s="1"/>
      <c r="N58" s="1"/>
    </row>
    <row r="59" spans="1:14" hidden="1">
      <c r="A59" s="151">
        <f t="shared" si="0"/>
        <v>1</v>
      </c>
      <c r="B59" s="151" t="s">
        <v>206</v>
      </c>
      <c r="C59" s="159">
        <v>1201</v>
      </c>
      <c r="D59" s="160" t="s">
        <v>254</v>
      </c>
      <c r="E59" s="161">
        <f>SUMIF(Lanç!$C$3:$C$114,C59,Lanç!$F$3:$F$114)</f>
        <v>0</v>
      </c>
      <c r="F59" s="161">
        <f>SUMIF(Lanç!$C$115:$C$6504,C59,Lanç!$F$115:$F$6504)</f>
        <v>0</v>
      </c>
      <c r="G59" s="161">
        <f>SUMIF(Lanç!$C$115:$C$6504,C59,Lanç!$G$115:$G$6504)</f>
        <v>0</v>
      </c>
      <c r="H59" s="162">
        <f t="shared" si="1"/>
        <v>0</v>
      </c>
      <c r="I59" s="162">
        <f t="shared" si="2"/>
        <v>0</v>
      </c>
    </row>
    <row r="60" spans="1:14" hidden="1">
      <c r="A60" s="151">
        <f t="shared" si="0"/>
        <v>1</v>
      </c>
      <c r="B60" s="155" t="s">
        <v>204</v>
      </c>
      <c r="C60" s="156">
        <v>121</v>
      </c>
      <c r="D60" s="157" t="s">
        <v>255</v>
      </c>
      <c r="E60" s="158">
        <f>SUM(E61)</f>
        <v>0</v>
      </c>
      <c r="F60" s="158">
        <f>SUM(F61)</f>
        <v>0</v>
      </c>
      <c r="G60" s="158">
        <f>SUM(G61)</f>
        <v>0</v>
      </c>
      <c r="H60" s="154">
        <f t="shared" si="1"/>
        <v>0</v>
      </c>
      <c r="I60" s="154">
        <f t="shared" si="2"/>
        <v>0</v>
      </c>
      <c r="J60" s="1"/>
      <c r="K60" s="1"/>
      <c r="L60" s="1"/>
      <c r="M60" s="1"/>
      <c r="N60" s="1"/>
    </row>
    <row r="61" spans="1:14" hidden="1">
      <c r="A61" s="151">
        <f t="shared" si="0"/>
        <v>1</v>
      </c>
      <c r="B61" s="151" t="s">
        <v>206</v>
      </c>
      <c r="C61" s="159">
        <v>1211</v>
      </c>
      <c r="D61" s="160" t="s">
        <v>256</v>
      </c>
      <c r="E61" s="161">
        <f>SUMIF(Lanç!$C$3:$C$114,C61,Lanç!$F$3:$F$114)</f>
        <v>0</v>
      </c>
      <c r="F61" s="161">
        <f>SUMIF(Lanç!$C$115:$C$6504,C61,Lanç!$F$115:$F$6504)</f>
        <v>0</v>
      </c>
      <c r="G61" s="161">
        <f>SUMIF(Lanç!$C$115:$C$6504,C61,Lanç!$G$115:$G$6504)</f>
        <v>0</v>
      </c>
      <c r="H61" s="162">
        <f t="shared" si="1"/>
        <v>0</v>
      </c>
      <c r="I61" s="162">
        <f t="shared" si="2"/>
        <v>0</v>
      </c>
    </row>
    <row r="62" spans="1:14" hidden="1">
      <c r="A62" s="151">
        <f t="shared" si="0"/>
        <v>1</v>
      </c>
      <c r="B62" s="155" t="s">
        <v>204</v>
      </c>
      <c r="C62" s="156">
        <v>122</v>
      </c>
      <c r="D62" s="157" t="s">
        <v>257</v>
      </c>
      <c r="E62" s="158">
        <f>SUM(E63)</f>
        <v>0</v>
      </c>
      <c r="F62" s="158">
        <f>SUM(F63)</f>
        <v>0</v>
      </c>
      <c r="G62" s="158">
        <f>SUM(G63)</f>
        <v>0</v>
      </c>
      <c r="H62" s="154">
        <f t="shared" si="1"/>
        <v>0</v>
      </c>
      <c r="I62" s="154">
        <f t="shared" si="2"/>
        <v>0</v>
      </c>
      <c r="J62" s="1"/>
      <c r="K62" s="1"/>
      <c r="L62" s="1"/>
      <c r="M62" s="1"/>
      <c r="N62" s="1"/>
    </row>
    <row r="63" spans="1:14" hidden="1">
      <c r="A63" s="151">
        <f t="shared" si="0"/>
        <v>1</v>
      </c>
      <c r="B63" s="151" t="s">
        <v>206</v>
      </c>
      <c r="C63" s="159">
        <v>1221</v>
      </c>
      <c r="D63" s="160" t="s">
        <v>257</v>
      </c>
      <c r="E63" s="161">
        <f>SUMIF(Lanç!$C$3:$C$114,C63,Lanç!$F$3:$F$114)</f>
        <v>0</v>
      </c>
      <c r="F63" s="161">
        <f>SUMIF(Lanç!$C$115:$C$6504,C63,Lanç!$F$115:$F$6504)</f>
        <v>0</v>
      </c>
      <c r="G63" s="161">
        <f>SUMIF(Lanç!$C$115:$C$6504,C63,Lanç!$G$115:$G$6504)</f>
        <v>0</v>
      </c>
      <c r="H63" s="162">
        <f t="shared" si="1"/>
        <v>0</v>
      </c>
      <c r="I63" s="162">
        <f t="shared" si="2"/>
        <v>0</v>
      </c>
    </row>
    <row r="64" spans="1:14" hidden="1">
      <c r="A64" s="151">
        <f t="shared" si="0"/>
        <v>1</v>
      </c>
      <c r="B64" s="155" t="s">
        <v>204</v>
      </c>
      <c r="C64" s="156">
        <v>123</v>
      </c>
      <c r="D64" s="157" t="s">
        <v>258</v>
      </c>
      <c r="E64" s="158">
        <f>SUM(E65)</f>
        <v>0</v>
      </c>
      <c r="F64" s="158">
        <f>SUM(F65)</f>
        <v>0</v>
      </c>
      <c r="G64" s="158">
        <f>SUM(G65)</f>
        <v>0</v>
      </c>
      <c r="H64" s="154">
        <f t="shared" si="1"/>
        <v>0</v>
      </c>
      <c r="I64" s="154">
        <f t="shared" si="2"/>
        <v>0</v>
      </c>
      <c r="J64" s="1"/>
      <c r="K64" s="1"/>
      <c r="L64" s="1"/>
      <c r="M64" s="1"/>
      <c r="N64" s="1"/>
    </row>
    <row r="65" spans="1:14" hidden="1">
      <c r="A65" s="151">
        <f t="shared" si="0"/>
        <v>1</v>
      </c>
      <c r="B65" s="151" t="s">
        <v>206</v>
      </c>
      <c r="C65" s="159">
        <v>1231</v>
      </c>
      <c r="D65" s="160" t="s">
        <v>258</v>
      </c>
      <c r="E65" s="161">
        <f>SUMIF(Lanç!$C$3:$C$114,C65,Lanç!$F$3:$F$114)</f>
        <v>0</v>
      </c>
      <c r="F65" s="161">
        <f>SUMIF(Lanç!$C$115:$C$6504,C65,Lanç!$F$115:$F$6504)</f>
        <v>0</v>
      </c>
      <c r="G65" s="161">
        <f>SUMIF(Lanç!$C$115:$C$6504,C65,Lanç!$G$115:$G$6504)</f>
        <v>0</v>
      </c>
      <c r="H65" s="162">
        <f t="shared" si="1"/>
        <v>0</v>
      </c>
      <c r="I65" s="162">
        <f t="shared" si="2"/>
        <v>0</v>
      </c>
    </row>
    <row r="66" spans="1:14">
      <c r="A66" s="151">
        <f t="shared" si="0"/>
        <v>0</v>
      </c>
      <c r="B66" s="155" t="s">
        <v>204</v>
      </c>
      <c r="C66" s="156">
        <v>124</v>
      </c>
      <c r="D66" s="157" t="s">
        <v>259</v>
      </c>
      <c r="E66" s="158">
        <f>SUM(E67)</f>
        <v>4180500</v>
      </c>
      <c r="F66" s="158">
        <f>SUM(F67)</f>
        <v>0</v>
      </c>
      <c r="G66" s="158">
        <f>SUM(G67)</f>
        <v>0</v>
      </c>
      <c r="H66" s="154">
        <f t="shared" si="1"/>
        <v>0</v>
      </c>
      <c r="I66" s="154">
        <f t="shared" si="2"/>
        <v>4180500</v>
      </c>
      <c r="J66" s="1"/>
      <c r="K66" s="1"/>
      <c r="L66" s="1"/>
      <c r="M66" s="1"/>
      <c r="N66" s="1"/>
    </row>
    <row r="67" spans="1:14">
      <c r="A67" s="151">
        <f t="shared" si="0"/>
        <v>0</v>
      </c>
      <c r="B67" s="151" t="s">
        <v>206</v>
      </c>
      <c r="C67" s="159">
        <v>1241</v>
      </c>
      <c r="D67" s="160" t="s">
        <v>259</v>
      </c>
      <c r="E67" s="161">
        <f>SUMIF(Lanç!C3:C114,C67,Lanç!F3:F114)</f>
        <v>4180500</v>
      </c>
      <c r="F67" s="161">
        <f>SUMIF(Lanç!C115:C6504,C67,Lanç!F115:F6504)</f>
        <v>0</v>
      </c>
      <c r="G67" s="161">
        <f>SUMIF(Lanç!C115:C6504,C67,Lanç!G115:G6504)</f>
        <v>0</v>
      </c>
      <c r="H67" s="162">
        <f t="shared" si="1"/>
        <v>0</v>
      </c>
      <c r="I67" s="162">
        <f t="shared" si="2"/>
        <v>4180500</v>
      </c>
    </row>
    <row r="68" spans="1:14">
      <c r="A68" s="151">
        <f t="shared" si="0"/>
        <v>0</v>
      </c>
      <c r="B68" s="155" t="s">
        <v>204</v>
      </c>
      <c r="C68" s="156">
        <v>129</v>
      </c>
      <c r="D68" s="157" t="s">
        <v>260</v>
      </c>
      <c r="E68" s="158">
        <f>SUM(E69:E69)</f>
        <v>1717400</v>
      </c>
      <c r="F68" s="158">
        <f>SUM(F69:F69)</f>
        <v>0</v>
      </c>
      <c r="G68" s="158">
        <f>SUM(G69:G69)</f>
        <v>0</v>
      </c>
      <c r="H68" s="154">
        <f t="shared" si="1"/>
        <v>0</v>
      </c>
      <c r="I68" s="154">
        <f t="shared" si="2"/>
        <v>1717400</v>
      </c>
      <c r="J68" s="1"/>
      <c r="K68" s="1"/>
      <c r="L68" s="1"/>
      <c r="M68" s="1"/>
      <c r="N68" s="1"/>
    </row>
    <row r="69" spans="1:14">
      <c r="A69" s="151">
        <f t="shared" si="0"/>
        <v>0</v>
      </c>
      <c r="B69" s="151" t="s">
        <v>206</v>
      </c>
      <c r="C69" s="159">
        <v>1291</v>
      </c>
      <c r="D69" s="160" t="s">
        <v>260</v>
      </c>
      <c r="E69" s="161">
        <f>SUMIF(Lanç!C3:C114,C69,Lanç!F3:F114)</f>
        <v>1717400</v>
      </c>
      <c r="F69" s="161">
        <f>SUMIF(Lanç!C115:C6504,C69,Lanç!F115:F6504)</f>
        <v>0</v>
      </c>
      <c r="G69" s="161">
        <f>SUMIF(Lanç!C115:C6504,C69,Lanç!G115:G6504)</f>
        <v>0</v>
      </c>
      <c r="H69" s="162">
        <f t="shared" si="1"/>
        <v>0</v>
      </c>
      <c r="I69" s="162">
        <f t="shared" si="2"/>
        <v>1717400</v>
      </c>
    </row>
    <row r="70" spans="1:14" hidden="1">
      <c r="A70" s="151">
        <f t="shared" si="0"/>
        <v>1</v>
      </c>
      <c r="B70" s="155" t="s">
        <v>202</v>
      </c>
      <c r="C70" s="156">
        <v>13</v>
      </c>
      <c r="D70" s="157" t="s">
        <v>261</v>
      </c>
      <c r="E70" s="158">
        <f>SUM(E71,E75,E79,E83,E85,E87)</f>
        <v>0</v>
      </c>
      <c r="F70" s="158">
        <f>SUM(F71,F75,F79,F83,F85,F87)</f>
        <v>0</v>
      </c>
      <c r="G70" s="158">
        <f>SUM(G71,G75,G79,G83,G85,G87)</f>
        <v>0</v>
      </c>
      <c r="H70" s="154">
        <f t="shared" si="1"/>
        <v>0</v>
      </c>
      <c r="I70" s="154">
        <f t="shared" si="2"/>
        <v>0</v>
      </c>
      <c r="J70" s="1"/>
      <c r="K70" s="1"/>
      <c r="L70" s="1"/>
      <c r="M70" s="1"/>
      <c r="N70" s="1"/>
    </row>
    <row r="71" spans="1:14" hidden="1">
      <c r="A71" s="151">
        <f t="shared" ref="A71:A133" si="6">IF(E71+F71+G71+H71+I71=0,1,0)</f>
        <v>1</v>
      </c>
      <c r="B71" s="155" t="s">
        <v>204</v>
      </c>
      <c r="C71" s="156">
        <v>131</v>
      </c>
      <c r="D71" s="157" t="s">
        <v>262</v>
      </c>
      <c r="E71" s="158">
        <f>SUM(E72:E74)</f>
        <v>0</v>
      </c>
      <c r="F71" s="158">
        <f>SUM(F72:F74)</f>
        <v>0</v>
      </c>
      <c r="G71" s="158">
        <f>SUM(G72:G74)</f>
        <v>0</v>
      </c>
      <c r="H71" s="154">
        <f t="shared" ref="H71:H133" si="7">(F71)-(G71)</f>
        <v>0</v>
      </c>
      <c r="I71" s="154">
        <f t="shared" ref="I71:I133" si="8">(E71)+(H71)</f>
        <v>0</v>
      </c>
    </row>
    <row r="72" spans="1:14" hidden="1">
      <c r="A72" s="151">
        <f t="shared" si="6"/>
        <v>1</v>
      </c>
      <c r="B72" s="151" t="s">
        <v>206</v>
      </c>
      <c r="C72" s="159">
        <v>1311</v>
      </c>
      <c r="D72" s="160" t="s">
        <v>263</v>
      </c>
      <c r="E72" s="161">
        <f>SUMIF(Lanç!$C$3:$C$114,C72,Lanç!$F$3:$F$114)</f>
        <v>0</v>
      </c>
      <c r="F72" s="161">
        <f>SUMIF(Lanç!$C$115:$C$6504,C72,Lanç!$F$115:$F$6504)</f>
        <v>0</v>
      </c>
      <c r="G72" s="161">
        <f>SUMIF(Lanç!$C$115:$C$6504,C72,Lanç!$G$115:$G$6504)</f>
        <v>0</v>
      </c>
      <c r="H72" s="162">
        <f t="shared" si="7"/>
        <v>0</v>
      </c>
      <c r="I72" s="162">
        <f t="shared" si="8"/>
        <v>0</v>
      </c>
    </row>
    <row r="73" spans="1:14" hidden="1">
      <c r="A73" s="151">
        <f t="shared" si="6"/>
        <v>1</v>
      </c>
      <c r="B73" s="151" t="s">
        <v>206</v>
      </c>
      <c r="C73" s="159">
        <v>1312</v>
      </c>
      <c r="D73" s="160" t="s">
        <v>264</v>
      </c>
      <c r="E73" s="161">
        <f>SUMIF(Lanç!$C$3:$C$114,C73,Lanç!$F$3:$F$114)</f>
        <v>0</v>
      </c>
      <c r="F73" s="161">
        <f>SUMIF(Lanç!$C$115:$C$6504,C73,Lanç!$F$115:$F$6504)</f>
        <v>0</v>
      </c>
      <c r="G73" s="161">
        <f>SUMIF(Lanç!$C$115:$C$6504,C73,Lanç!$G$115:$G$6504)</f>
        <v>0</v>
      </c>
      <c r="H73" s="162">
        <f t="shared" si="7"/>
        <v>0</v>
      </c>
      <c r="I73" s="162">
        <f t="shared" si="8"/>
        <v>0</v>
      </c>
    </row>
    <row r="74" spans="1:14" hidden="1">
      <c r="A74" s="151">
        <f t="shared" si="6"/>
        <v>1</v>
      </c>
      <c r="B74" s="151" t="s">
        <v>206</v>
      </c>
      <c r="C74" s="159">
        <v>1313</v>
      </c>
      <c r="D74" s="160" t="s">
        <v>265</v>
      </c>
      <c r="E74" s="161">
        <f>SUMIF(Lanç!$C$3:$C$114,C74,Lanç!$F$3:$F$114)</f>
        <v>0</v>
      </c>
      <c r="F74" s="161">
        <f>SUMIF(Lanç!$C$115:$C$6504,C74,Lanç!$F$115:$F$6504)</f>
        <v>0</v>
      </c>
      <c r="G74" s="161">
        <f>SUMIF(Lanç!$C$115:$C$6504,C74,Lanç!$G$115:$G$6504)</f>
        <v>0</v>
      </c>
      <c r="H74" s="162">
        <f t="shared" si="7"/>
        <v>0</v>
      </c>
      <c r="I74" s="162">
        <f t="shared" si="8"/>
        <v>0</v>
      </c>
    </row>
    <row r="75" spans="1:14" hidden="1">
      <c r="A75" s="151">
        <f t="shared" si="6"/>
        <v>1</v>
      </c>
      <c r="B75" s="155" t="s">
        <v>204</v>
      </c>
      <c r="C75" s="156">
        <v>132</v>
      </c>
      <c r="D75" s="157" t="s">
        <v>266</v>
      </c>
      <c r="E75" s="158">
        <f>SUM(E76:E78)</f>
        <v>0</v>
      </c>
      <c r="F75" s="158">
        <f>SUM(F76:F78)</f>
        <v>0</v>
      </c>
      <c r="G75" s="158">
        <f>SUM(G76:G78)</f>
        <v>0</v>
      </c>
      <c r="H75" s="154">
        <f t="shared" si="7"/>
        <v>0</v>
      </c>
      <c r="I75" s="154">
        <f t="shared" si="8"/>
        <v>0</v>
      </c>
      <c r="J75" s="1"/>
      <c r="K75" s="1"/>
      <c r="L75" s="1"/>
      <c r="M75" s="1"/>
      <c r="N75" s="1"/>
    </row>
    <row r="76" spans="1:14" hidden="1">
      <c r="A76" s="151">
        <f t="shared" si="6"/>
        <v>1</v>
      </c>
      <c r="B76" s="151" t="s">
        <v>206</v>
      </c>
      <c r="C76" s="159">
        <v>1321</v>
      </c>
      <c r="D76" s="160" t="s">
        <v>263</v>
      </c>
      <c r="E76" s="161">
        <f>SUMIF(Lanç!$C$3:$C$114,C76,Lanç!$F$3:$F$114)</f>
        <v>0</v>
      </c>
      <c r="F76" s="161">
        <f>SUMIF(Lanç!$C$115:$C$6504,C76,Lanç!$F$115:$F$6504)</f>
        <v>0</v>
      </c>
      <c r="G76" s="161">
        <f>SUMIF(Lanç!$C$115:$C$6504,C76,Lanç!$G$115:$G$6504)</f>
        <v>0</v>
      </c>
      <c r="H76" s="162">
        <f t="shared" si="7"/>
        <v>0</v>
      </c>
      <c r="I76" s="162">
        <f t="shared" si="8"/>
        <v>0</v>
      </c>
    </row>
    <row r="77" spans="1:14" hidden="1">
      <c r="A77" s="151">
        <f t="shared" si="6"/>
        <v>1</v>
      </c>
      <c r="B77" s="151" t="s">
        <v>206</v>
      </c>
      <c r="C77" s="159">
        <v>1322</v>
      </c>
      <c r="D77" s="160" t="s">
        <v>264</v>
      </c>
      <c r="E77" s="161">
        <f>SUMIF(Lanç!$C$3:$C$114,C77,Lanç!$F$3:$F$114)</f>
        <v>0</v>
      </c>
      <c r="F77" s="161">
        <f>SUMIF(Lanç!$C$115:$C$6504,C77,Lanç!$F$115:$F$6504)</f>
        <v>0</v>
      </c>
      <c r="G77" s="161">
        <f>SUMIF(Lanç!$C$115:$C$6504,C77,Lanç!$G$115:$G$6504)</f>
        <v>0</v>
      </c>
      <c r="H77" s="162">
        <f t="shared" si="7"/>
        <v>0</v>
      </c>
      <c r="I77" s="162">
        <f t="shared" si="8"/>
        <v>0</v>
      </c>
    </row>
    <row r="78" spans="1:14" hidden="1">
      <c r="A78" s="151">
        <f t="shared" si="6"/>
        <v>1</v>
      </c>
      <c r="B78" s="151" t="s">
        <v>206</v>
      </c>
      <c r="C78" s="159">
        <v>1323</v>
      </c>
      <c r="D78" s="160" t="s">
        <v>265</v>
      </c>
      <c r="E78" s="161">
        <f>SUMIF(Lanç!$C$3:$C$114,C78,Lanç!$F$3:$F$114)</f>
        <v>0</v>
      </c>
      <c r="F78" s="161">
        <f>SUMIF(Lanç!$C$115:$C$6504,C78,Lanç!$F$115:$F$6504)</f>
        <v>0</v>
      </c>
      <c r="G78" s="161">
        <f>SUMIF(Lanç!$C$115:$C$6504,C78,Lanç!$G$115:$G$6504)</f>
        <v>0</v>
      </c>
      <c r="H78" s="162">
        <f t="shared" si="7"/>
        <v>0</v>
      </c>
      <c r="I78" s="162">
        <f t="shared" si="8"/>
        <v>0</v>
      </c>
    </row>
    <row r="79" spans="1:14" hidden="1">
      <c r="A79" s="151">
        <f t="shared" si="6"/>
        <v>1</v>
      </c>
      <c r="B79" s="155" t="s">
        <v>204</v>
      </c>
      <c r="C79" s="156">
        <v>133</v>
      </c>
      <c r="D79" s="157" t="s">
        <v>267</v>
      </c>
      <c r="E79" s="158">
        <f>SUM(E80:E82)</f>
        <v>0</v>
      </c>
      <c r="F79" s="158">
        <f>SUM(F80:F82)</f>
        <v>0</v>
      </c>
      <c r="G79" s="158">
        <f>SUM(G80:G82)</f>
        <v>0</v>
      </c>
      <c r="H79" s="154">
        <f t="shared" si="7"/>
        <v>0</v>
      </c>
      <c r="I79" s="154">
        <f t="shared" si="8"/>
        <v>0</v>
      </c>
      <c r="J79" s="1"/>
      <c r="K79" s="1"/>
      <c r="L79" s="1"/>
      <c r="M79" s="1"/>
      <c r="N79" s="1"/>
    </row>
    <row r="80" spans="1:14" hidden="1">
      <c r="A80" s="151">
        <f t="shared" si="6"/>
        <v>1</v>
      </c>
      <c r="B80" s="151" t="s">
        <v>206</v>
      </c>
      <c r="C80" s="159">
        <v>1331</v>
      </c>
      <c r="D80" s="160" t="s">
        <v>263</v>
      </c>
      <c r="E80" s="161">
        <f>SUMIF(Lanç!$C$3:$C$114,C80,Lanç!$F$3:$F$114)</f>
        <v>0</v>
      </c>
      <c r="F80" s="161">
        <f>SUMIF(Lanç!$C$115:$C$6504,C80,Lanç!$F$115:$F$6504)</f>
        <v>0</v>
      </c>
      <c r="G80" s="161">
        <f>SUMIF(Lanç!$C$115:$C$6504,C80,Lanç!$G$115:$G$6504)</f>
        <v>0</v>
      </c>
      <c r="H80" s="162">
        <f t="shared" si="7"/>
        <v>0</v>
      </c>
      <c r="I80" s="162">
        <f t="shared" si="8"/>
        <v>0</v>
      </c>
    </row>
    <row r="81" spans="1:14" hidden="1">
      <c r="A81" s="151">
        <f t="shared" si="6"/>
        <v>1</v>
      </c>
      <c r="B81" s="151" t="s">
        <v>206</v>
      </c>
      <c r="C81" s="159">
        <v>1332</v>
      </c>
      <c r="D81" s="160" t="s">
        <v>264</v>
      </c>
      <c r="E81" s="161">
        <f>SUMIF(Lanç!$C$3:$C$114,C81,Lanç!$F$3:$F$114)</f>
        <v>0</v>
      </c>
      <c r="F81" s="161">
        <f>SUMIF(Lanç!$C$115:$C$6504,C81,Lanç!$F$115:$F$6504)</f>
        <v>0</v>
      </c>
      <c r="G81" s="161">
        <f>SUMIF(Lanç!$C$115:$C$6504,C81,Lanç!$G$115:$G$6504)</f>
        <v>0</v>
      </c>
      <c r="H81" s="162">
        <f t="shared" si="7"/>
        <v>0</v>
      </c>
      <c r="I81" s="162">
        <f t="shared" si="8"/>
        <v>0</v>
      </c>
    </row>
    <row r="82" spans="1:14" hidden="1">
      <c r="A82" s="151">
        <f t="shared" si="6"/>
        <v>1</v>
      </c>
      <c r="B82" s="151" t="s">
        <v>206</v>
      </c>
      <c r="C82" s="159">
        <v>1333</v>
      </c>
      <c r="D82" s="160" t="s">
        <v>265</v>
      </c>
      <c r="E82" s="161">
        <f>SUMIF(Lanç!$C$3:$C$114,C82,Lanç!$F$3:$F$114)</f>
        <v>0</v>
      </c>
      <c r="F82" s="161">
        <f>SUMIF(Lanç!$C$115:$C$6504,C82,Lanç!$F$115:$F$6504)</f>
        <v>0</v>
      </c>
      <c r="G82" s="161">
        <f>SUMIF(Lanç!$C$115:$C$6504,C82,Lanç!$G$115:$G$6504)</f>
        <v>0</v>
      </c>
      <c r="H82" s="162">
        <f t="shared" si="7"/>
        <v>0</v>
      </c>
      <c r="I82" s="162">
        <f t="shared" si="8"/>
        <v>0</v>
      </c>
    </row>
    <row r="83" spans="1:14" hidden="1">
      <c r="A83" s="151">
        <f t="shared" si="6"/>
        <v>1</v>
      </c>
      <c r="B83" s="155" t="s">
        <v>204</v>
      </c>
      <c r="C83" s="156">
        <v>134</v>
      </c>
      <c r="D83" s="157" t="s">
        <v>268</v>
      </c>
      <c r="E83" s="158">
        <f>SUM(E84)</f>
        <v>0</v>
      </c>
      <c r="F83" s="158">
        <f>SUM(F84)</f>
        <v>0</v>
      </c>
      <c r="G83" s="158">
        <f>SUM(G84)</f>
        <v>0</v>
      </c>
      <c r="H83" s="154">
        <f t="shared" si="7"/>
        <v>0</v>
      </c>
      <c r="I83" s="154">
        <f t="shared" si="8"/>
        <v>0</v>
      </c>
      <c r="J83" s="1"/>
      <c r="K83" s="1"/>
      <c r="L83" s="1"/>
      <c r="M83" s="1"/>
      <c r="N83" s="1"/>
    </row>
    <row r="84" spans="1:14" hidden="1">
      <c r="A84" s="151">
        <f t="shared" si="6"/>
        <v>1</v>
      </c>
      <c r="B84" s="151" t="s">
        <v>206</v>
      </c>
      <c r="C84" s="159">
        <v>1341</v>
      </c>
      <c r="D84" s="160" t="s">
        <v>269</v>
      </c>
      <c r="E84" s="161">
        <f>SUMIF(Lanç!$C$3:$C$114,C84,Lanç!$F$3:$F$114)</f>
        <v>0</v>
      </c>
      <c r="F84" s="161">
        <f>SUMIF(Lanç!$C$115:$C$6504,C84,Lanç!$F$115:$F$6504)</f>
        <v>0</v>
      </c>
      <c r="G84" s="161">
        <f>SUMIF(Lanç!$C$115:$C$6504,C84,Lanç!$G$115:$G$6504)</f>
        <v>0</v>
      </c>
      <c r="H84" s="162">
        <f t="shared" si="7"/>
        <v>0</v>
      </c>
      <c r="I84" s="162">
        <f t="shared" si="8"/>
        <v>0</v>
      </c>
    </row>
    <row r="85" spans="1:14" hidden="1">
      <c r="A85" s="151">
        <f t="shared" si="6"/>
        <v>1</v>
      </c>
      <c r="B85" s="155" t="s">
        <v>204</v>
      </c>
      <c r="C85" s="156">
        <v>135</v>
      </c>
      <c r="D85" s="157" t="s">
        <v>270</v>
      </c>
      <c r="E85" s="158">
        <f>SUM(E86)</f>
        <v>0</v>
      </c>
      <c r="F85" s="158">
        <f>SUM(F86)</f>
        <v>0</v>
      </c>
      <c r="G85" s="158">
        <f>SUM(G86)</f>
        <v>0</v>
      </c>
      <c r="H85" s="154">
        <f t="shared" si="7"/>
        <v>0</v>
      </c>
      <c r="I85" s="154">
        <f t="shared" si="8"/>
        <v>0</v>
      </c>
      <c r="J85" s="1"/>
      <c r="K85" s="1"/>
      <c r="L85" s="1"/>
      <c r="M85" s="1"/>
      <c r="N85" s="1"/>
    </row>
    <row r="86" spans="1:14" hidden="1">
      <c r="A86" s="151">
        <f t="shared" si="6"/>
        <v>1</v>
      </c>
      <c r="B86" s="151" t="s">
        <v>206</v>
      </c>
      <c r="C86" s="159">
        <v>1351</v>
      </c>
      <c r="D86" s="160" t="s">
        <v>269</v>
      </c>
      <c r="E86" s="161">
        <f>SUMIF(Lanç!$C$3:$C$114,C86,Lanç!$F$3:$F$114)</f>
        <v>0</v>
      </c>
      <c r="F86" s="161">
        <f>SUMIF(Lanç!$C$115:$C$6504,C86,Lanç!$F$115:$F$6504)</f>
        <v>0</v>
      </c>
      <c r="G86" s="161">
        <f>SUMIF(Lanç!$C$115:$C$6504,C86,Lanç!$G$115:$G$6504)</f>
        <v>0</v>
      </c>
      <c r="H86" s="162">
        <f t="shared" si="7"/>
        <v>0</v>
      </c>
      <c r="I86" s="162">
        <f t="shared" si="8"/>
        <v>0</v>
      </c>
    </row>
    <row r="87" spans="1:14" hidden="1">
      <c r="A87" s="151">
        <f t="shared" si="6"/>
        <v>1</v>
      </c>
      <c r="B87" s="155" t="s">
        <v>204</v>
      </c>
      <c r="C87" s="156">
        <v>139</v>
      </c>
      <c r="D87" s="157" t="s">
        <v>271</v>
      </c>
      <c r="E87" s="158">
        <f>SUM(E88:E90)</f>
        <v>0</v>
      </c>
      <c r="F87" s="158">
        <f>SUM(F88:F90)</f>
        <v>0</v>
      </c>
      <c r="G87" s="158">
        <f>SUM(G88:G90)</f>
        <v>0</v>
      </c>
      <c r="H87" s="154">
        <f t="shared" si="7"/>
        <v>0</v>
      </c>
      <c r="I87" s="154">
        <f t="shared" si="8"/>
        <v>0</v>
      </c>
      <c r="J87" s="1"/>
      <c r="K87" s="1"/>
      <c r="L87" s="1"/>
      <c r="M87" s="1"/>
      <c r="N87" s="1"/>
    </row>
    <row r="88" spans="1:14" hidden="1">
      <c r="A88" s="151">
        <f t="shared" si="6"/>
        <v>1</v>
      </c>
      <c r="B88" s="151" t="s">
        <v>206</v>
      </c>
      <c r="C88" s="159">
        <v>1391</v>
      </c>
      <c r="D88" s="160" t="s">
        <v>272</v>
      </c>
      <c r="E88" s="161">
        <f>SUMIF(Lanç!$C$3:$C$114,C88,Lanç!$F$3:$F$114)</f>
        <v>0</v>
      </c>
      <c r="F88" s="161">
        <f>SUMIF(Lanç!$C$115:$C$6504,C88,Lanç!$F$115:$F$6504)</f>
        <v>0</v>
      </c>
      <c r="G88" s="161">
        <f>SUMIF(Lanç!$C$115:$C$6504,C88,Lanç!$G$115:$G$6504)</f>
        <v>0</v>
      </c>
      <c r="H88" s="162">
        <f t="shared" si="7"/>
        <v>0</v>
      </c>
      <c r="I88" s="162">
        <f t="shared" si="8"/>
        <v>0</v>
      </c>
    </row>
    <row r="89" spans="1:14" hidden="1">
      <c r="A89" s="151">
        <f t="shared" si="6"/>
        <v>1</v>
      </c>
      <c r="B89" s="151" t="s">
        <v>206</v>
      </c>
      <c r="C89" s="159">
        <v>1392</v>
      </c>
      <c r="D89" s="160" t="s">
        <v>273</v>
      </c>
      <c r="E89" s="161">
        <f>SUMIF(Lanç!$C$3:$C$114,C89,Lanç!$F$3:$F$114)</f>
        <v>0</v>
      </c>
      <c r="F89" s="161">
        <f>SUMIF(Lanç!$C$115:$C$6504,C89,Lanç!$F$115:$F$6504)</f>
        <v>0</v>
      </c>
      <c r="G89" s="161">
        <f>SUMIF(Lanç!$C$115:$C$6504,C89,Lanç!$G$115:$G$6504)</f>
        <v>0</v>
      </c>
      <c r="H89" s="162">
        <f t="shared" si="7"/>
        <v>0</v>
      </c>
      <c r="I89" s="162">
        <f t="shared" si="8"/>
        <v>0</v>
      </c>
    </row>
    <row r="90" spans="1:14" hidden="1">
      <c r="A90" s="151">
        <f t="shared" si="6"/>
        <v>1</v>
      </c>
      <c r="B90" s="151" t="s">
        <v>206</v>
      </c>
      <c r="C90" s="159">
        <v>1393</v>
      </c>
      <c r="D90" s="160" t="s">
        <v>274</v>
      </c>
      <c r="E90" s="161">
        <f>SUMIF(Lanç!$C$3:$C$114,C90,Lanç!$F$3:$F$114)</f>
        <v>0</v>
      </c>
      <c r="F90" s="161">
        <f>SUMIF(Lanç!$C$115:$C$6504,C90,Lanç!$F$115:$F$6504)</f>
        <v>0</v>
      </c>
      <c r="G90" s="161">
        <f>SUMIF(Lanç!$C$115:$C$6504,C90,Lanç!$G$115:$G$6504)</f>
        <v>0</v>
      </c>
      <c r="H90" s="162">
        <f t="shared" si="7"/>
        <v>0</v>
      </c>
      <c r="I90" s="162">
        <f t="shared" si="8"/>
        <v>0</v>
      </c>
    </row>
    <row r="91" spans="1:14" hidden="1">
      <c r="A91" s="151">
        <f t="shared" si="6"/>
        <v>1</v>
      </c>
      <c r="B91" s="155" t="s">
        <v>202</v>
      </c>
      <c r="C91" s="156">
        <v>14</v>
      </c>
      <c r="D91" s="157" t="s">
        <v>275</v>
      </c>
      <c r="E91" s="158">
        <f>SUM(E92,E93,E94,E97,E99)</f>
        <v>0</v>
      </c>
      <c r="F91" s="158">
        <f>SUM(F92,F93,F94,F97,F99)</f>
        <v>0</v>
      </c>
      <c r="G91" s="158">
        <f>SUM(G92,G93,G94,G97,G99)</f>
        <v>0</v>
      </c>
      <c r="H91" s="154">
        <f t="shared" si="7"/>
        <v>0</v>
      </c>
      <c r="I91" s="154">
        <f t="shared" si="8"/>
        <v>0</v>
      </c>
      <c r="J91" s="1"/>
      <c r="K91" s="1"/>
      <c r="L91" s="1"/>
      <c r="M91" s="1"/>
      <c r="N91" s="1"/>
    </row>
    <row r="92" spans="1:14" hidden="1">
      <c r="A92" s="151">
        <f t="shared" si="6"/>
        <v>1</v>
      </c>
      <c r="B92" s="151" t="s">
        <v>206</v>
      </c>
      <c r="C92" s="159">
        <v>141</v>
      </c>
      <c r="D92" s="160" t="s">
        <v>276</v>
      </c>
      <c r="E92" s="161">
        <f>SUMIF(Lanç!$C$3:$C$114,C92,Lanç!$F$3:$F$114)</f>
        <v>0</v>
      </c>
      <c r="F92" s="161">
        <f>SUMIF(Lanç!$C$115:$C$6504,C92,Lanç!$F$115:$F$6504)</f>
        <v>0</v>
      </c>
      <c r="G92" s="161">
        <f>SUMIF(Lanç!$C$115:$C$6504,C92,Lanç!$G$115:$G$6504)</f>
        <v>0</v>
      </c>
      <c r="H92" s="162">
        <f t="shared" si="7"/>
        <v>0</v>
      </c>
      <c r="I92" s="162">
        <f t="shared" si="8"/>
        <v>0</v>
      </c>
    </row>
    <row r="93" spans="1:14" hidden="1">
      <c r="A93" s="151">
        <f t="shared" si="6"/>
        <v>1</v>
      </c>
      <c r="B93" s="151" t="s">
        <v>204</v>
      </c>
      <c r="C93" s="159">
        <v>142</v>
      </c>
      <c r="D93" s="160" t="s">
        <v>276</v>
      </c>
      <c r="E93" s="161">
        <f>SUMIF(Lanç!$C$3:$C$114,C93,Lanç!$F$3:$F$114)</f>
        <v>0</v>
      </c>
      <c r="F93" s="161">
        <f>SUMIF(Lanç!$C$115:$C$6504,C93,Lanç!$F$115:$F$6504)</f>
        <v>0</v>
      </c>
      <c r="G93" s="161">
        <f>SUMIF(Lanç!$C$115:$C$6504,C93,Lanç!$G$115:$G$6504)</f>
        <v>0</v>
      </c>
      <c r="H93" s="162">
        <f t="shared" si="7"/>
        <v>0</v>
      </c>
      <c r="I93" s="162">
        <f t="shared" si="8"/>
        <v>0</v>
      </c>
    </row>
    <row r="94" spans="1:14" hidden="1">
      <c r="A94" s="151">
        <f t="shared" si="6"/>
        <v>1</v>
      </c>
      <c r="B94" s="155" t="s">
        <v>204</v>
      </c>
      <c r="C94" s="156">
        <v>143</v>
      </c>
      <c r="D94" s="157" t="s">
        <v>277</v>
      </c>
      <c r="E94" s="158">
        <f>SUM(E95:E96)</f>
        <v>0</v>
      </c>
      <c r="F94" s="158">
        <f>SUM(F95:F96)</f>
        <v>0</v>
      </c>
      <c r="G94" s="158">
        <f>SUM(G95:G96)</f>
        <v>0</v>
      </c>
      <c r="H94" s="154">
        <f t="shared" si="7"/>
        <v>0</v>
      </c>
      <c r="I94" s="154">
        <f t="shared" si="8"/>
        <v>0</v>
      </c>
      <c r="J94" s="1"/>
      <c r="K94" s="1"/>
      <c r="L94" s="1"/>
      <c r="M94" s="1"/>
      <c r="N94" s="1"/>
    </row>
    <row r="95" spans="1:14" hidden="1">
      <c r="A95" s="151">
        <f t="shared" si="6"/>
        <v>1</v>
      </c>
      <c r="B95" s="151" t="s">
        <v>206</v>
      </c>
      <c r="C95" s="159">
        <v>1431</v>
      </c>
      <c r="D95" s="160" t="s">
        <v>278</v>
      </c>
      <c r="E95" s="161">
        <f>SUMIF(Lanç!$C$3:$C$114,C95,Lanç!$F$3:$F$114)</f>
        <v>0</v>
      </c>
      <c r="F95" s="161">
        <f>SUMIF(Lanç!$C$115:$C$6504,C95,Lanç!$F$115:$F$6504)</f>
        <v>0</v>
      </c>
      <c r="G95" s="161">
        <f>SUMIF(Lanç!$C$115:$C$6504,C95,Lanç!$G$115:$G$6504)</f>
        <v>0</v>
      </c>
      <c r="H95" s="162">
        <f t="shared" si="7"/>
        <v>0</v>
      </c>
      <c r="I95" s="162">
        <f t="shared" si="8"/>
        <v>0</v>
      </c>
      <c r="J95" s="1"/>
      <c r="K95" s="1"/>
      <c r="L95" s="1"/>
      <c r="M95" s="1"/>
      <c r="N95" s="1"/>
    </row>
    <row r="96" spans="1:14" hidden="1">
      <c r="A96" s="151">
        <f t="shared" si="6"/>
        <v>1</v>
      </c>
      <c r="B96" s="151" t="s">
        <v>206</v>
      </c>
      <c r="C96" s="159">
        <v>1432</v>
      </c>
      <c r="D96" s="160" t="s">
        <v>279</v>
      </c>
      <c r="E96" s="161">
        <f>SUMIF(Lanç!$C$3:$C$114,C96,Lanç!$F$3:$F$114)</f>
        <v>0</v>
      </c>
      <c r="F96" s="161">
        <f>SUMIF(Lanç!$C$115:$C$6504,C96,Lanç!$F$115:$F$6504)</f>
        <v>0</v>
      </c>
      <c r="G96" s="161">
        <f>SUMIF(Lanç!$C$115:$C$6504,C96,Lanç!$G$115:$G$6504)</f>
        <v>0</v>
      </c>
      <c r="H96" s="162">
        <f t="shared" si="7"/>
        <v>0</v>
      </c>
      <c r="I96" s="162">
        <f t="shared" si="8"/>
        <v>0</v>
      </c>
    </row>
    <row r="97" spans="1:14" hidden="1">
      <c r="A97" s="151">
        <f t="shared" si="6"/>
        <v>1</v>
      </c>
      <c r="B97" s="155" t="s">
        <v>204</v>
      </c>
      <c r="C97" s="156">
        <v>147</v>
      </c>
      <c r="D97" s="157" t="s">
        <v>280</v>
      </c>
      <c r="E97" s="158">
        <f>SUM(E98)</f>
        <v>0</v>
      </c>
      <c r="F97" s="158">
        <f>SUM(F98)</f>
        <v>0</v>
      </c>
      <c r="G97" s="158">
        <f>SUM(G98)</f>
        <v>0</v>
      </c>
      <c r="H97" s="154">
        <f t="shared" si="7"/>
        <v>0</v>
      </c>
      <c r="I97" s="154">
        <f t="shared" si="8"/>
        <v>0</v>
      </c>
    </row>
    <row r="98" spans="1:14" hidden="1">
      <c r="A98" s="151">
        <f t="shared" si="6"/>
        <v>1</v>
      </c>
      <c r="B98" s="151" t="s">
        <v>206</v>
      </c>
      <c r="C98" s="159">
        <v>1471</v>
      </c>
      <c r="D98" s="160" t="s">
        <v>269</v>
      </c>
      <c r="E98" s="161">
        <f>SUMIF(Lanç!$C$3:$C$114,C98,Lanç!$F$3:$F$114)</f>
        <v>0</v>
      </c>
      <c r="F98" s="161">
        <f>SUMIF(Lanç!$C$115:$C$6504,C98,Lanç!$F$115:$F$6504)</f>
        <v>0</v>
      </c>
      <c r="G98" s="161">
        <f>SUMIF(Lanç!$C$115:$C$6504,C98,Lanç!$G$115:$G$6504)</f>
        <v>0</v>
      </c>
      <c r="H98" s="162">
        <f t="shared" si="7"/>
        <v>0</v>
      </c>
      <c r="I98" s="162">
        <f t="shared" si="8"/>
        <v>0</v>
      </c>
    </row>
    <row r="99" spans="1:14" hidden="1">
      <c r="A99" s="151">
        <f t="shared" si="6"/>
        <v>1</v>
      </c>
      <c r="B99" s="155" t="s">
        <v>204</v>
      </c>
      <c r="C99" s="156">
        <v>148</v>
      </c>
      <c r="D99" s="157" t="s">
        <v>280</v>
      </c>
      <c r="E99" s="158">
        <f>SUM(E100:E101)</f>
        <v>0</v>
      </c>
      <c r="F99" s="158">
        <f>SUM(F100:F101)</f>
        <v>0</v>
      </c>
      <c r="G99" s="158">
        <f>SUM(G100:G101)</f>
        <v>0</v>
      </c>
      <c r="H99" s="154">
        <f t="shared" si="7"/>
        <v>0</v>
      </c>
      <c r="I99" s="154">
        <f t="shared" si="8"/>
        <v>0</v>
      </c>
      <c r="J99" s="1"/>
      <c r="K99" s="1"/>
      <c r="L99" s="1"/>
      <c r="M99" s="1"/>
      <c r="N99" s="1"/>
    </row>
    <row r="100" spans="1:14" hidden="1">
      <c r="A100" s="151">
        <f t="shared" si="6"/>
        <v>1</v>
      </c>
      <c r="B100" s="151" t="s">
        <v>206</v>
      </c>
      <c r="C100" s="159">
        <v>1481</v>
      </c>
      <c r="D100" s="160" t="s">
        <v>269</v>
      </c>
      <c r="E100" s="161">
        <f>SUMIF(Lanç!$C$3:$C$114,C100,Lanç!$F$3:$F$114)</f>
        <v>0</v>
      </c>
      <c r="F100" s="161">
        <f>SUMIF(Lanç!$C$115:$C$6504,C100,Lanç!$F$115:$F$6504)</f>
        <v>0</v>
      </c>
      <c r="G100" s="161">
        <f>SUMIF(Lanç!$C$115:$C$6504,C100,Lanç!$G$115:$G$6504)</f>
        <v>0</v>
      </c>
      <c r="H100" s="162">
        <f t="shared" si="7"/>
        <v>0</v>
      </c>
      <c r="I100" s="162">
        <f t="shared" si="8"/>
        <v>0</v>
      </c>
    </row>
    <row r="101" spans="1:14" hidden="1">
      <c r="A101" s="151">
        <f t="shared" si="6"/>
        <v>1</v>
      </c>
      <c r="B101" s="151" t="s">
        <v>206</v>
      </c>
      <c r="C101" s="159">
        <v>149</v>
      </c>
      <c r="D101" s="160" t="s">
        <v>281</v>
      </c>
      <c r="E101" s="161">
        <f>SUMIF(Lanç!$C$3:$C$114,C101,Lanç!$F$3:$F$114)</f>
        <v>0</v>
      </c>
      <c r="F101" s="161">
        <f>SUMIF(Lanç!$C$115:$C$6504,C101,Lanç!$F$115:$F$6504)</f>
        <v>0</v>
      </c>
      <c r="G101" s="161">
        <f>SUMIF(Lanç!$C$115:$C$6504,C101,Lanç!$G$115:$G$6504)</f>
        <v>0</v>
      </c>
      <c r="H101" s="162">
        <f t="shared" si="7"/>
        <v>0</v>
      </c>
      <c r="I101" s="162">
        <f t="shared" si="8"/>
        <v>0</v>
      </c>
    </row>
    <row r="102" spans="1:14">
      <c r="A102" s="151">
        <f t="shared" si="6"/>
        <v>0</v>
      </c>
      <c r="B102" s="155" t="s">
        <v>202</v>
      </c>
      <c r="C102" s="156">
        <v>18</v>
      </c>
      <c r="D102" s="157" t="s">
        <v>282</v>
      </c>
      <c r="E102" s="158">
        <f>SUM(E103,E118,E124)</f>
        <v>-68622217.429625258</v>
      </c>
      <c r="F102" s="158">
        <f>SUM(F103,F118,F124)</f>
        <v>0</v>
      </c>
      <c r="G102" s="158">
        <f>SUM(G103,G118,G124)</f>
        <v>0</v>
      </c>
      <c r="H102" s="154">
        <f t="shared" si="7"/>
        <v>0</v>
      </c>
      <c r="I102" s="154">
        <f t="shared" si="8"/>
        <v>-68622217.429625258</v>
      </c>
      <c r="J102" s="1"/>
      <c r="K102" s="1"/>
      <c r="L102" s="1"/>
      <c r="M102" s="1"/>
      <c r="N102" s="1"/>
    </row>
    <row r="103" spans="1:14">
      <c r="A103" s="151">
        <f t="shared" si="6"/>
        <v>0</v>
      </c>
      <c r="B103" s="155" t="s">
        <v>204</v>
      </c>
      <c r="C103" s="156">
        <v>181</v>
      </c>
      <c r="D103" s="157" t="s">
        <v>283</v>
      </c>
      <c r="E103" s="158">
        <f>SUM(E104:E106,E107,E109)</f>
        <v>-62952875.789625257</v>
      </c>
      <c r="F103" s="158">
        <f>SUM(F104:F106,F107,F109)</f>
        <v>0</v>
      </c>
      <c r="G103" s="158">
        <f>SUM(G104:G106,G107,G109)</f>
        <v>0</v>
      </c>
      <c r="H103" s="154">
        <f t="shared" si="7"/>
        <v>0</v>
      </c>
      <c r="I103" s="154">
        <f t="shared" si="8"/>
        <v>-62952875.789625257</v>
      </c>
    </row>
    <row r="104" spans="1:14" hidden="1">
      <c r="A104" s="151">
        <f t="shared" si="6"/>
        <v>1</v>
      </c>
      <c r="B104" s="151" t="s">
        <v>206</v>
      </c>
      <c r="C104" s="159">
        <v>1811</v>
      </c>
      <c r="D104" s="160" t="s">
        <v>284</v>
      </c>
      <c r="E104" s="161">
        <f>SUMIF(Lanç!$C$3:$C$114,C104,Lanç!$F$3:$F$114)</f>
        <v>0</v>
      </c>
      <c r="F104" s="161">
        <f>SUMIF(Lanç!$C$115:$C$6504,C104,Lanç!$F$115:$F$6504)</f>
        <v>0</v>
      </c>
      <c r="G104" s="161">
        <f>SUMIF(Lanç!$C$115:$C$6504,C104,Lanç!$G$115:$G$6504)</f>
        <v>0</v>
      </c>
      <c r="H104" s="162">
        <f t="shared" si="7"/>
        <v>0</v>
      </c>
      <c r="I104" s="162">
        <f t="shared" si="8"/>
        <v>0</v>
      </c>
    </row>
    <row r="105" spans="1:14">
      <c r="A105" s="151">
        <f t="shared" si="6"/>
        <v>0</v>
      </c>
      <c r="B105" s="151" t="s">
        <v>206</v>
      </c>
      <c r="C105" s="159">
        <v>1812</v>
      </c>
      <c r="D105" s="160" t="s">
        <v>285</v>
      </c>
      <c r="E105" s="161">
        <f>SUMIF(Lanç!C3:C114,C105,Lanç!F3:F114)</f>
        <v>-23837407.41375</v>
      </c>
      <c r="F105" s="161">
        <f>SUMIF(Lanç!C115:C6504,C105,Lanç!F115:F6504)</f>
        <v>0</v>
      </c>
      <c r="G105" s="161">
        <f>SUMIF(Lanç!C115:C6504,C105,Lanç!G115:G6504)</f>
        <v>0</v>
      </c>
      <c r="H105" s="162">
        <f t="shared" si="7"/>
        <v>0</v>
      </c>
      <c r="I105" s="162">
        <f t="shared" si="8"/>
        <v>-23837407.41375</v>
      </c>
    </row>
    <row r="106" spans="1:14">
      <c r="A106" s="151">
        <f t="shared" si="6"/>
        <v>0</v>
      </c>
      <c r="B106" s="151" t="s">
        <v>206</v>
      </c>
      <c r="C106" s="159">
        <v>1813</v>
      </c>
      <c r="D106" s="160" t="s">
        <v>222</v>
      </c>
      <c r="E106" s="161">
        <f>SUMIF(Lanç!C3:C114,C106,Lanç!F3:F114)</f>
        <v>-7966128.4024999999</v>
      </c>
      <c r="F106" s="161">
        <f>SUMIF(Lanç!C115:C6504,C106,Lanç!F115:F6504)</f>
        <v>0</v>
      </c>
      <c r="G106" s="161">
        <f>SUMIF(Lanç!C115:C6504,C106,Lanç!G115:G6504)</f>
        <v>0</v>
      </c>
      <c r="H106" s="162">
        <f t="shared" si="7"/>
        <v>0</v>
      </c>
      <c r="I106" s="162">
        <f t="shared" si="8"/>
        <v>-7966128.4024999999</v>
      </c>
    </row>
    <row r="107" spans="1:14" s="57" customFormat="1">
      <c r="A107" s="155">
        <f t="shared" si="6"/>
        <v>0</v>
      </c>
      <c r="B107" s="155" t="s">
        <v>204</v>
      </c>
      <c r="C107" s="156">
        <v>1814</v>
      </c>
      <c r="D107" s="157" t="s">
        <v>228</v>
      </c>
      <c r="E107" s="158">
        <f>SUM(E108:E108)</f>
        <v>-26408166.710000001</v>
      </c>
      <c r="F107" s="158">
        <f>SUM(F108:F108)</f>
        <v>0</v>
      </c>
      <c r="G107" s="158">
        <f>SUM(G108:G108)</f>
        <v>0</v>
      </c>
      <c r="H107" s="163">
        <f t="shared" si="7"/>
        <v>0</v>
      </c>
      <c r="I107" s="163">
        <f t="shared" si="8"/>
        <v>-26408166.710000001</v>
      </c>
    </row>
    <row r="108" spans="1:14" s="57" customFormat="1">
      <c r="A108" s="151">
        <f t="shared" si="6"/>
        <v>0</v>
      </c>
      <c r="B108" s="151" t="s">
        <v>206</v>
      </c>
      <c r="C108" s="159">
        <v>18141</v>
      </c>
      <c r="D108" s="160" t="s">
        <v>228</v>
      </c>
      <c r="E108" s="161">
        <f>SUMIF(Lanç!$C$3:$C$114,C108,Lanç!$F$3:$F$114)</f>
        <v>-26408166.710000001</v>
      </c>
      <c r="F108" s="161">
        <f>SUMIF(Lanç!$C$115:$C$6504,C108,Lanç!$F$115:$F$6504)</f>
        <v>0</v>
      </c>
      <c r="G108" s="161">
        <f>SUMIF(Lanç!$C$115:$C$6504,C108,Lanç!$G$115:$G$6504)</f>
        <v>0</v>
      </c>
      <c r="H108" s="162">
        <f t="shared" si="7"/>
        <v>0</v>
      </c>
      <c r="I108" s="162">
        <f t="shared" si="8"/>
        <v>-26408166.710000001</v>
      </c>
    </row>
    <row r="109" spans="1:14" s="57" customFormat="1">
      <c r="A109" s="155">
        <f t="shared" si="6"/>
        <v>0</v>
      </c>
      <c r="B109" s="155" t="s">
        <v>204</v>
      </c>
      <c r="C109" s="156">
        <v>1815</v>
      </c>
      <c r="D109" s="157" t="s">
        <v>239</v>
      </c>
      <c r="E109" s="158">
        <f>SUM(E110:E117)</f>
        <v>-4741173.2633752497</v>
      </c>
      <c r="F109" s="158">
        <f>SUM(F110:F117)</f>
        <v>0</v>
      </c>
      <c r="G109" s="158">
        <f>SUM(G110:G117)</f>
        <v>0</v>
      </c>
      <c r="H109" s="163">
        <f t="shared" si="7"/>
        <v>0</v>
      </c>
      <c r="I109" s="163">
        <f t="shared" si="8"/>
        <v>-4741173.2633752497</v>
      </c>
    </row>
    <row r="110" spans="1:14">
      <c r="A110" s="151">
        <f t="shared" si="6"/>
        <v>0</v>
      </c>
      <c r="B110" s="151" t="s">
        <v>206</v>
      </c>
      <c r="C110" s="159">
        <v>18151</v>
      </c>
      <c r="D110" s="160" t="s">
        <v>239</v>
      </c>
      <c r="E110" s="161">
        <f>SUMIF(Lanç!C3:C114,C110,Lanç!F3:F114)</f>
        <v>-4654722.2633752497</v>
      </c>
      <c r="F110" s="161">
        <f>SUMIF(Lanç!C115:C6504,C110,Lanç!F115:F6504)</f>
        <v>0</v>
      </c>
      <c r="G110" s="161">
        <f>SUMIF(Lanç!C115:C6504,C110,Lanç!G115:G6504)</f>
        <v>0</v>
      </c>
      <c r="H110" s="162">
        <f t="shared" si="7"/>
        <v>0</v>
      </c>
      <c r="I110" s="162">
        <f t="shared" si="8"/>
        <v>-4654722.2633752497</v>
      </c>
    </row>
    <row r="111" spans="1:14" hidden="1">
      <c r="A111" s="151">
        <f t="shared" si="6"/>
        <v>1</v>
      </c>
      <c r="B111" s="151" t="s">
        <v>206</v>
      </c>
      <c r="C111" s="159">
        <v>18152</v>
      </c>
      <c r="D111" s="160" t="s">
        <v>242</v>
      </c>
      <c r="E111" s="161">
        <f>SUMIF(Lanç!C3:C114,C111,Lanç!F3:F114)</f>
        <v>0</v>
      </c>
      <c r="F111" s="161">
        <f>SUMIF(Lanç!C115:C6504,C111,Lanç!F115:F6504)</f>
        <v>0</v>
      </c>
      <c r="G111" s="161">
        <f>SUMIF(Lanç!C115:C6504,C111,Lanç!G115:G6504)</f>
        <v>0</v>
      </c>
      <c r="H111" s="162">
        <f t="shared" si="7"/>
        <v>0</v>
      </c>
      <c r="I111" s="162">
        <f t="shared" si="8"/>
        <v>0</v>
      </c>
    </row>
    <row r="112" spans="1:14" hidden="1">
      <c r="A112" s="151">
        <f t="shared" si="6"/>
        <v>1</v>
      </c>
      <c r="B112" s="151" t="s">
        <v>206</v>
      </c>
      <c r="C112" s="159">
        <v>18153</v>
      </c>
      <c r="D112" s="160" t="s">
        <v>243</v>
      </c>
      <c r="E112" s="161">
        <f>SUMIF(Lanç!C3:C114,C112,Lanç!F3:F114)</f>
        <v>0</v>
      </c>
      <c r="F112" s="161">
        <f>SUMIF(Lanç!C115:C6504,C112,Lanç!F115:F6504)</f>
        <v>0</v>
      </c>
      <c r="G112" s="161">
        <f>SUMIF(Lanç!C115:C6504,C112,Lanç!G115:G6504)</f>
        <v>0</v>
      </c>
      <c r="H112" s="162">
        <f t="shared" si="7"/>
        <v>0</v>
      </c>
      <c r="I112" s="162">
        <f t="shared" si="8"/>
        <v>0</v>
      </c>
    </row>
    <row r="113" spans="1:14" hidden="1">
      <c r="A113" s="151">
        <f t="shared" si="6"/>
        <v>1</v>
      </c>
      <c r="B113" s="151" t="s">
        <v>206</v>
      </c>
      <c r="C113" s="159">
        <v>18154</v>
      </c>
      <c r="D113" s="160" t="s">
        <v>286</v>
      </c>
      <c r="E113" s="161">
        <f>SUMIF(Lanç!C3:C114,C113,Lanç!F3:F114)</f>
        <v>0</v>
      </c>
      <c r="F113" s="161">
        <f>SUMIF(Lanç!C115:C6504,C113,Lanç!F115:F6504)</f>
        <v>0</v>
      </c>
      <c r="G113" s="161">
        <f>SUMIF(Lanç!C115:C6504,C113,Lanç!G115:G6504)</f>
        <v>0</v>
      </c>
      <c r="H113" s="162">
        <f t="shared" si="7"/>
        <v>0</v>
      </c>
      <c r="I113" s="162">
        <f t="shared" si="8"/>
        <v>0</v>
      </c>
    </row>
    <row r="114" spans="1:14" hidden="1">
      <c r="A114" s="151">
        <f t="shared" si="6"/>
        <v>1</v>
      </c>
      <c r="B114" s="151" t="s">
        <v>206</v>
      </c>
      <c r="C114" s="159">
        <v>18155</v>
      </c>
      <c r="D114" s="160" t="s">
        <v>245</v>
      </c>
      <c r="E114" s="161">
        <f>SUMIF(Lanç!C3:C114,C114,Lanç!F3:F114)</f>
        <v>0</v>
      </c>
      <c r="F114" s="161">
        <f>SUMIF(Lanç!C115:C6504,C114,Lanç!F115:F6504)</f>
        <v>0</v>
      </c>
      <c r="G114" s="161">
        <f>SUMIF(Lanç!C115:C6504,C114,Lanç!G115:G6504)</f>
        <v>0</v>
      </c>
      <c r="H114" s="162">
        <f t="shared" si="7"/>
        <v>0</v>
      </c>
      <c r="I114" s="162">
        <f t="shared" si="8"/>
        <v>0</v>
      </c>
    </row>
    <row r="115" spans="1:14" hidden="1">
      <c r="A115" s="151">
        <f t="shared" si="6"/>
        <v>1</v>
      </c>
      <c r="B115" s="151" t="s">
        <v>206</v>
      </c>
      <c r="C115" s="159">
        <v>18156</v>
      </c>
      <c r="D115" s="160" t="s">
        <v>246</v>
      </c>
      <c r="E115" s="161">
        <f>SUMIF(Lanç!C3:C114,C115,Lanç!F3:F114)</f>
        <v>0</v>
      </c>
      <c r="F115" s="161">
        <f>SUMIF(Lanç!C115:C6504,C115,Lanç!F115:F6504)</f>
        <v>0</v>
      </c>
      <c r="G115" s="161">
        <f>SUMIF(Lanç!C115:C6504,C115,Lanç!G115:G6504)</f>
        <v>0</v>
      </c>
      <c r="H115" s="162">
        <f t="shared" si="7"/>
        <v>0</v>
      </c>
      <c r="I115" s="162">
        <f t="shared" si="8"/>
        <v>0</v>
      </c>
    </row>
    <row r="116" spans="1:14" hidden="1">
      <c r="A116" s="151">
        <f t="shared" si="6"/>
        <v>1</v>
      </c>
      <c r="B116" s="151" t="s">
        <v>206</v>
      </c>
      <c r="C116" s="159">
        <v>1816</v>
      </c>
      <c r="D116" s="160" t="s">
        <v>247</v>
      </c>
      <c r="E116" s="161">
        <f>SUMIF(Lanç!$C$3:$C$114,C116,Lanç!$F$3:$F$114)</f>
        <v>0</v>
      </c>
      <c r="F116" s="161">
        <f>SUMIF(Lanç!$C$115:$C$6504,C116,Lanç!$F$115:$F$6504)</f>
        <v>0</v>
      </c>
      <c r="G116" s="161">
        <f>SUMIF(Lanç!$C$115:$C$6504,C116,Lanç!$G$115:$G$6504)</f>
        <v>0</v>
      </c>
      <c r="H116" s="162">
        <f t="shared" si="7"/>
        <v>0</v>
      </c>
      <c r="I116" s="162">
        <f t="shared" si="8"/>
        <v>0</v>
      </c>
    </row>
    <row r="117" spans="1:14">
      <c r="A117" s="151">
        <f t="shared" si="6"/>
        <v>0</v>
      </c>
      <c r="B117" s="151" t="s">
        <v>206</v>
      </c>
      <c r="C117" s="159">
        <v>1819</v>
      </c>
      <c r="D117" s="160" t="s">
        <v>250</v>
      </c>
      <c r="E117" s="161">
        <f>SUMIF(Lanç!C3:C114,C117,Lanç!F3:F114)</f>
        <v>-86451</v>
      </c>
      <c r="F117" s="161">
        <f>SUMIF(Lanç!C115:C6504,C117,Lanç!F115:F6504)</f>
        <v>0</v>
      </c>
      <c r="G117" s="161">
        <f>SUMIF(Lanç!C115:C6504,C117,Lanç!G115:G6504)</f>
        <v>0</v>
      </c>
      <c r="H117" s="162">
        <f t="shared" si="7"/>
        <v>0</v>
      </c>
      <c r="I117" s="162">
        <f t="shared" si="8"/>
        <v>-86451</v>
      </c>
    </row>
    <row r="118" spans="1:14">
      <c r="A118" s="151">
        <f t="shared" si="6"/>
        <v>0</v>
      </c>
      <c r="B118" s="155" t="s">
        <v>204</v>
      </c>
      <c r="C118" s="156">
        <v>182</v>
      </c>
      <c r="D118" s="157" t="s">
        <v>287</v>
      </c>
      <c r="E118" s="158">
        <f>SUM(E119:E123)</f>
        <v>-5669341.6399999997</v>
      </c>
      <c r="F118" s="158">
        <f>SUM(F119:F123)</f>
        <v>0</v>
      </c>
      <c r="G118" s="158">
        <f>SUM(G119:G123)</f>
        <v>0</v>
      </c>
      <c r="H118" s="154">
        <f t="shared" si="7"/>
        <v>0</v>
      </c>
      <c r="I118" s="154">
        <f t="shared" si="8"/>
        <v>-5669341.6399999997</v>
      </c>
      <c r="J118" s="1"/>
      <c r="K118" s="1"/>
      <c r="L118" s="1"/>
      <c r="M118" s="1"/>
      <c r="N118" s="1"/>
    </row>
    <row r="119" spans="1:14" hidden="1">
      <c r="A119" s="151">
        <f t="shared" si="6"/>
        <v>1</v>
      </c>
      <c r="B119" s="151" t="s">
        <v>206</v>
      </c>
      <c r="C119" s="159">
        <v>1821</v>
      </c>
      <c r="D119" s="160" t="s">
        <v>255</v>
      </c>
      <c r="E119" s="161">
        <f>SUMIF(Lanç!$C$3:$C$114,C119,Lanç!$F$3:$F$114)</f>
        <v>0</v>
      </c>
      <c r="F119" s="161">
        <f>SUMIF(Lanç!$C$115:$C$6504,C119,Lanç!$F$115:$F$6504)</f>
        <v>0</v>
      </c>
      <c r="G119" s="161">
        <f>SUMIF(Lanç!$C$115:$C$6504,C119,Lanç!$G$115:$G$6504)</f>
        <v>0</v>
      </c>
      <c r="H119" s="162">
        <f t="shared" si="7"/>
        <v>0</v>
      </c>
      <c r="I119" s="162">
        <f t="shared" si="8"/>
        <v>0</v>
      </c>
    </row>
    <row r="120" spans="1:14" hidden="1">
      <c r="A120" s="151">
        <f t="shared" si="6"/>
        <v>1</v>
      </c>
      <c r="B120" s="151" t="s">
        <v>206</v>
      </c>
      <c r="C120" s="159">
        <v>1822</v>
      </c>
      <c r="D120" s="160" t="s">
        <v>257</v>
      </c>
      <c r="E120" s="161">
        <f>SUMIF(Lanç!$C$3:$C$114,C120,Lanç!$F$3:$F$114)</f>
        <v>0</v>
      </c>
      <c r="F120" s="161">
        <f>SUMIF(Lanç!$C$115:$C$6504,C120,Lanç!$F$115:$F$6504)</f>
        <v>0</v>
      </c>
      <c r="G120" s="161">
        <f>SUMIF(Lanç!$C$115:$C$6504,C120,Lanç!$G$115:$G$6504)</f>
        <v>0</v>
      </c>
      <c r="H120" s="162">
        <f t="shared" si="7"/>
        <v>0</v>
      </c>
      <c r="I120" s="162">
        <f t="shared" si="8"/>
        <v>0</v>
      </c>
    </row>
    <row r="121" spans="1:14" hidden="1">
      <c r="A121" s="151">
        <f t="shared" si="6"/>
        <v>1</v>
      </c>
      <c r="B121" s="151" t="s">
        <v>206</v>
      </c>
      <c r="C121" s="159">
        <v>1823</v>
      </c>
      <c r="D121" s="160" t="s">
        <v>258</v>
      </c>
      <c r="E121" s="161">
        <f>SUMIF(Lanç!$C$3:$C$114,C121,Lanç!$F$3:$F$114)</f>
        <v>0</v>
      </c>
      <c r="F121" s="161">
        <f>SUMIF(Lanç!$C$115:$C$6504,C121,Lanç!$F$115:$F$6504)</f>
        <v>0</v>
      </c>
      <c r="G121" s="161">
        <f>SUMIF(Lanç!$C$115:$C$6504,C121,Lanç!$G$115:$G$6504)</f>
        <v>0</v>
      </c>
      <c r="H121" s="162">
        <f t="shared" si="7"/>
        <v>0</v>
      </c>
      <c r="I121" s="162">
        <f t="shared" si="8"/>
        <v>0</v>
      </c>
    </row>
    <row r="122" spans="1:14" hidden="1">
      <c r="A122" s="151">
        <f t="shared" si="6"/>
        <v>1</v>
      </c>
      <c r="B122" s="151" t="s">
        <v>206</v>
      </c>
      <c r="C122" s="159">
        <v>1824</v>
      </c>
      <c r="D122" s="160" t="s">
        <v>259</v>
      </c>
      <c r="E122" s="161">
        <f>SUMIF(Lanç!$C$3:$C$114,C122,Lanç!$F$3:$F$114)</f>
        <v>0</v>
      </c>
      <c r="F122" s="161">
        <f>SUMIF(Lanç!$C$115:$C$6504,C122,Lanç!$F$115:$F$6504)</f>
        <v>0</v>
      </c>
      <c r="G122" s="161">
        <f>SUMIF(Lanç!$C$115:$C$6504,C122,Lanç!$G$115:$G$6504)</f>
        <v>0</v>
      </c>
      <c r="H122" s="162">
        <f t="shared" si="7"/>
        <v>0</v>
      </c>
      <c r="I122" s="162">
        <f t="shared" si="8"/>
        <v>0</v>
      </c>
    </row>
    <row r="123" spans="1:14">
      <c r="A123" s="151">
        <f t="shared" si="6"/>
        <v>0</v>
      </c>
      <c r="B123" s="151" t="s">
        <v>206</v>
      </c>
      <c r="C123" s="159">
        <v>1829</v>
      </c>
      <c r="D123" s="160" t="s">
        <v>260</v>
      </c>
      <c r="E123" s="161">
        <f>SUMIF(Lanç!C3:C114,C123,Lanç!F3:F114)</f>
        <v>-5669341.6399999997</v>
      </c>
      <c r="F123" s="161">
        <f>SUMIF(Lanç!C115:C6504,C123,Lanç!F115:F6504)</f>
        <v>0</v>
      </c>
      <c r="G123" s="161">
        <f>SUMIF(Lanç!C115:C6504,C123,Lanç!G115:G6504)</f>
        <v>0</v>
      </c>
      <c r="H123" s="162">
        <f t="shared" si="7"/>
        <v>0</v>
      </c>
      <c r="I123" s="162">
        <f t="shared" si="8"/>
        <v>-5669341.6399999997</v>
      </c>
    </row>
    <row r="124" spans="1:14" hidden="1">
      <c r="A124" s="151">
        <f t="shared" si="6"/>
        <v>1</v>
      </c>
      <c r="B124" s="155" t="s">
        <v>204</v>
      </c>
      <c r="C124" s="156">
        <v>183</v>
      </c>
      <c r="D124" s="157" t="s">
        <v>288</v>
      </c>
      <c r="E124" s="158">
        <f>SUM(E125:E127)</f>
        <v>0</v>
      </c>
      <c r="F124" s="158">
        <f>SUM(F125:F127)</f>
        <v>0</v>
      </c>
      <c r="G124" s="158">
        <f>SUM(G125:G127)</f>
        <v>0</v>
      </c>
      <c r="H124" s="154">
        <f t="shared" si="7"/>
        <v>0</v>
      </c>
      <c r="I124" s="154">
        <f t="shared" si="8"/>
        <v>0</v>
      </c>
      <c r="J124" s="1"/>
      <c r="K124" s="1"/>
      <c r="L124" s="1"/>
      <c r="M124" s="1"/>
      <c r="N124" s="1"/>
    </row>
    <row r="125" spans="1:14" hidden="1">
      <c r="A125" s="151">
        <f t="shared" si="6"/>
        <v>1</v>
      </c>
      <c r="B125" s="151" t="s">
        <v>206</v>
      </c>
      <c r="C125" s="159">
        <v>1831</v>
      </c>
      <c r="D125" s="160" t="s">
        <v>284</v>
      </c>
      <c r="E125" s="161">
        <f>SUMIF(Lanç!$C$3:$C$114,C125,Lanç!$F$3:$F$114)</f>
        <v>0</v>
      </c>
      <c r="F125" s="161">
        <f>SUMIF(Lanç!$C$115:$C$6504,C125,Lanç!$F$115:$F$6504)</f>
        <v>0</v>
      </c>
      <c r="G125" s="161">
        <f>SUMIF(Lanç!$C$115:$C$6504,C125,Lanç!$G$115:$G$6504)</f>
        <v>0</v>
      </c>
      <c r="H125" s="162">
        <f t="shared" si="7"/>
        <v>0</v>
      </c>
      <c r="I125" s="162">
        <f t="shared" si="8"/>
        <v>0</v>
      </c>
    </row>
    <row r="126" spans="1:14" hidden="1">
      <c r="A126" s="151">
        <f t="shared" si="6"/>
        <v>1</v>
      </c>
      <c r="B126" s="151" t="s">
        <v>206</v>
      </c>
      <c r="C126" s="159">
        <v>1832</v>
      </c>
      <c r="D126" s="160" t="s">
        <v>285</v>
      </c>
      <c r="E126" s="161">
        <f>SUMIF(Lanç!$C$3:$C$114,C126,Lanç!$F$3:$F$114)</f>
        <v>0</v>
      </c>
      <c r="F126" s="161">
        <f>SUMIF(Lanç!$C$115:$C$6504,C126,Lanç!$F$115:$F$6504)</f>
        <v>0</v>
      </c>
      <c r="G126" s="161">
        <f>SUMIF(Lanç!$C$115:$C$6504,C126,Lanç!$G$115:$G$6504)</f>
        <v>0</v>
      </c>
      <c r="H126" s="162">
        <f t="shared" si="7"/>
        <v>0</v>
      </c>
      <c r="I126" s="162">
        <f t="shared" si="8"/>
        <v>0</v>
      </c>
    </row>
    <row r="127" spans="1:14" hidden="1">
      <c r="A127" s="151">
        <f t="shared" si="6"/>
        <v>1</v>
      </c>
      <c r="B127" s="151" t="s">
        <v>206</v>
      </c>
      <c r="C127" s="159">
        <v>1852</v>
      </c>
      <c r="D127" s="160"/>
      <c r="E127" s="161">
        <f>SUMIF(Lanç!$C$3:$C$114,C127,Lanç!$F$3:$F$114)</f>
        <v>0</v>
      </c>
      <c r="F127" s="161">
        <f>SUMIF(Lanç!$C$115:$C$6504,C127,Lanç!$F$115:$F$6504)</f>
        <v>0</v>
      </c>
      <c r="G127" s="161">
        <f>SUMIF(Lanç!$C$115:$C$6504,C127,Lanç!$G$115:$G$6504)</f>
        <v>0</v>
      </c>
      <c r="H127" s="162">
        <f t="shared" si="7"/>
        <v>0</v>
      </c>
      <c r="I127" s="162">
        <f t="shared" si="8"/>
        <v>0</v>
      </c>
    </row>
    <row r="128" spans="1:14" hidden="1">
      <c r="A128" s="151">
        <f t="shared" si="6"/>
        <v>1</v>
      </c>
      <c r="B128" s="155" t="s">
        <v>202</v>
      </c>
      <c r="C128" s="156">
        <v>19</v>
      </c>
      <c r="D128" s="157" t="s">
        <v>289</v>
      </c>
      <c r="E128" s="158">
        <f>SUM(E129,E133,E137,E141,E143)</f>
        <v>0</v>
      </c>
      <c r="F128" s="158">
        <f>SUM(F129,F133,F137,F141,F143)</f>
        <v>0</v>
      </c>
      <c r="G128" s="158">
        <f>SUM(G129,G133,G137,G141,G143)</f>
        <v>0</v>
      </c>
      <c r="H128" s="154">
        <f t="shared" si="7"/>
        <v>0</v>
      </c>
      <c r="I128" s="154">
        <f t="shared" si="8"/>
        <v>0</v>
      </c>
      <c r="J128" s="1"/>
      <c r="K128" s="1"/>
      <c r="L128" s="1"/>
      <c r="M128" s="1"/>
      <c r="N128" s="1"/>
    </row>
    <row r="129" spans="1:14" hidden="1">
      <c r="A129" s="151">
        <f t="shared" si="6"/>
        <v>1</v>
      </c>
      <c r="B129" s="155" t="s">
        <v>204</v>
      </c>
      <c r="C129" s="156">
        <v>191</v>
      </c>
      <c r="D129" s="157" t="s">
        <v>290</v>
      </c>
      <c r="E129" s="158">
        <f>SUM(E130:E132)</f>
        <v>0</v>
      </c>
      <c r="F129" s="158">
        <f>SUM(F130:F132)</f>
        <v>0</v>
      </c>
      <c r="G129" s="158">
        <f>SUM(G130:G132)</f>
        <v>0</v>
      </c>
      <c r="H129" s="154">
        <f t="shared" si="7"/>
        <v>0</v>
      </c>
      <c r="I129" s="154">
        <f t="shared" si="8"/>
        <v>0</v>
      </c>
    </row>
    <row r="130" spans="1:14" hidden="1">
      <c r="A130" s="151">
        <f t="shared" si="6"/>
        <v>1</v>
      </c>
      <c r="B130" s="151" t="s">
        <v>206</v>
      </c>
      <c r="C130" s="159">
        <v>1911</v>
      </c>
      <c r="D130" s="160" t="s">
        <v>263</v>
      </c>
      <c r="E130" s="161">
        <f>SUMIF(Lanç!$C$3:$C$114,C130,Lanç!$F$3:$F$114)</f>
        <v>0</v>
      </c>
      <c r="F130" s="161">
        <f>SUMIF(Lanç!$C$115:$C$6504,C130,Lanç!$F$115:$F$6504)</f>
        <v>0</v>
      </c>
      <c r="G130" s="161">
        <f>SUMIF(Lanç!$C$115:$C$6504,C130,Lanç!$G$115:$G$6504)</f>
        <v>0</v>
      </c>
      <c r="H130" s="162">
        <f t="shared" si="7"/>
        <v>0</v>
      </c>
      <c r="I130" s="162">
        <f t="shared" si="8"/>
        <v>0</v>
      </c>
    </row>
    <row r="131" spans="1:14" hidden="1">
      <c r="A131" s="151">
        <f t="shared" si="6"/>
        <v>1</v>
      </c>
      <c r="B131" s="151" t="s">
        <v>206</v>
      </c>
      <c r="C131" s="159">
        <v>1912</v>
      </c>
      <c r="D131" s="160" t="s">
        <v>264</v>
      </c>
      <c r="E131" s="161">
        <f>SUMIF(Lanç!$C$3:$C$114,C131,Lanç!$F$3:$F$114)</f>
        <v>0</v>
      </c>
      <c r="F131" s="161">
        <f>SUMIF(Lanç!$C$115:$C$6504,C131,Lanç!$F$115:$F$6504)</f>
        <v>0</v>
      </c>
      <c r="G131" s="161">
        <f>SUMIF(Lanç!$C$115:$C$6504,C131,Lanç!$G$115:$G$6504)</f>
        <v>0</v>
      </c>
      <c r="H131" s="162">
        <f t="shared" si="7"/>
        <v>0</v>
      </c>
      <c r="I131" s="162">
        <f t="shared" si="8"/>
        <v>0</v>
      </c>
    </row>
    <row r="132" spans="1:14" hidden="1">
      <c r="A132" s="151">
        <f t="shared" si="6"/>
        <v>1</v>
      </c>
      <c r="B132" s="151" t="s">
        <v>206</v>
      </c>
      <c r="C132" s="159">
        <v>1913</v>
      </c>
      <c r="D132" s="160" t="s">
        <v>265</v>
      </c>
      <c r="E132" s="161">
        <f>SUMIF(Lanç!$C$3:$C$114,C132,Lanç!$F$3:$F$114)</f>
        <v>0</v>
      </c>
      <c r="F132" s="161">
        <f>SUMIF(Lanç!$C$115:$C$6504,C132,Lanç!$F$115:$F$6504)</f>
        <v>0</v>
      </c>
      <c r="G132" s="161">
        <f>SUMIF(Lanç!$C$115:$C$6504,C132,Lanç!$G$115:$G$6504)</f>
        <v>0</v>
      </c>
      <c r="H132" s="162">
        <f t="shared" si="7"/>
        <v>0</v>
      </c>
      <c r="I132" s="162">
        <f t="shared" si="8"/>
        <v>0</v>
      </c>
    </row>
    <row r="133" spans="1:14" hidden="1">
      <c r="A133" s="151">
        <f t="shared" si="6"/>
        <v>1</v>
      </c>
      <c r="B133" s="155" t="s">
        <v>204</v>
      </c>
      <c r="C133" s="156">
        <v>192</v>
      </c>
      <c r="D133" s="157" t="s">
        <v>266</v>
      </c>
      <c r="E133" s="158">
        <f>SUM(E134:E136)</f>
        <v>0</v>
      </c>
      <c r="F133" s="158">
        <f>SUM(F134:F136)</f>
        <v>0</v>
      </c>
      <c r="G133" s="158">
        <f>SUM(G134:G136)</f>
        <v>0</v>
      </c>
      <c r="H133" s="154">
        <f t="shared" si="7"/>
        <v>0</v>
      </c>
      <c r="I133" s="154">
        <f t="shared" si="8"/>
        <v>0</v>
      </c>
      <c r="J133" s="1"/>
      <c r="K133" s="1"/>
      <c r="L133" s="1"/>
      <c r="M133" s="1"/>
      <c r="N133" s="1"/>
    </row>
    <row r="134" spans="1:14" hidden="1">
      <c r="A134" s="151">
        <f t="shared" ref="A134:A197" si="9">IF(E134+F134+G134+H134+I134=0,1,0)</f>
        <v>1</v>
      </c>
      <c r="B134" s="151" t="s">
        <v>206</v>
      </c>
      <c r="C134" s="159">
        <v>1921</v>
      </c>
      <c r="D134" s="160" t="s">
        <v>263</v>
      </c>
      <c r="E134" s="161">
        <f>SUMIF(Lanç!$C$3:$C$114,C134,Lanç!$F$3:$F$114)</f>
        <v>0</v>
      </c>
      <c r="F134" s="161">
        <f>SUMIF(Lanç!$C$115:$C$6504,C134,Lanç!$F$115:$F$6504)</f>
        <v>0</v>
      </c>
      <c r="G134" s="161">
        <f>SUMIF(Lanç!$C$115:$C$6504,C134,Lanç!$G$115:$G$6504)</f>
        <v>0</v>
      </c>
      <c r="H134" s="162">
        <f t="shared" ref="H134:H197" si="10">(F134)-(G134)</f>
        <v>0</v>
      </c>
      <c r="I134" s="162">
        <f t="shared" ref="I134:I197" si="11">(E134)+(H134)</f>
        <v>0</v>
      </c>
    </row>
    <row r="135" spans="1:14" hidden="1">
      <c r="A135" s="151">
        <f t="shared" si="9"/>
        <v>1</v>
      </c>
      <c r="B135" s="151" t="s">
        <v>206</v>
      </c>
      <c r="C135" s="159">
        <v>1922</v>
      </c>
      <c r="D135" s="160" t="s">
        <v>264</v>
      </c>
      <c r="E135" s="161">
        <f>SUMIF(Lanç!$C$3:$C$114,C135,Lanç!$F$3:$F$114)</f>
        <v>0</v>
      </c>
      <c r="F135" s="161">
        <f>SUMIF(Lanç!$C$115:$C$6504,C135,Lanç!$F$115:$F$6504)</f>
        <v>0</v>
      </c>
      <c r="G135" s="161">
        <f>SUMIF(Lanç!$C$115:$C$6504,C135,Lanç!$G$115:$G$6504)</f>
        <v>0</v>
      </c>
      <c r="H135" s="162">
        <f t="shared" si="10"/>
        <v>0</v>
      </c>
      <c r="I135" s="162">
        <f t="shared" si="11"/>
        <v>0</v>
      </c>
    </row>
    <row r="136" spans="1:14" hidden="1">
      <c r="A136" s="151">
        <f t="shared" si="9"/>
        <v>1</v>
      </c>
      <c r="B136" s="151" t="s">
        <v>206</v>
      </c>
      <c r="C136" s="159">
        <v>1923</v>
      </c>
      <c r="D136" s="160" t="s">
        <v>265</v>
      </c>
      <c r="E136" s="161">
        <f>SUMIF(Lanç!$C$3:$C$114,C136,Lanç!$F$3:$F$114)</f>
        <v>0</v>
      </c>
      <c r="F136" s="161">
        <f>SUMIF(Lanç!$C$115:$C$6504,C136,Lanç!$F$115:$F$6504)</f>
        <v>0</v>
      </c>
      <c r="G136" s="161">
        <f>SUMIF(Lanç!$C$115:$C$6504,C136,Lanç!$G$115:$G$6504)</f>
        <v>0</v>
      </c>
      <c r="H136" s="162">
        <f t="shared" si="10"/>
        <v>0</v>
      </c>
      <c r="I136" s="162">
        <f t="shared" si="11"/>
        <v>0</v>
      </c>
    </row>
    <row r="137" spans="1:14" hidden="1">
      <c r="A137" s="151">
        <f t="shared" si="9"/>
        <v>1</v>
      </c>
      <c r="B137" s="155" t="s">
        <v>204</v>
      </c>
      <c r="C137" s="156">
        <v>193</v>
      </c>
      <c r="D137" s="157" t="s">
        <v>267</v>
      </c>
      <c r="E137" s="158">
        <f>SUM(E138:E140)</f>
        <v>0</v>
      </c>
      <c r="F137" s="158">
        <f>SUM(F138:F140)</f>
        <v>0</v>
      </c>
      <c r="G137" s="158">
        <f>SUM(G138:G140)</f>
        <v>0</v>
      </c>
      <c r="H137" s="154">
        <f t="shared" si="10"/>
        <v>0</v>
      </c>
      <c r="I137" s="154">
        <f t="shared" si="11"/>
        <v>0</v>
      </c>
      <c r="J137" s="1"/>
      <c r="K137" s="1"/>
      <c r="L137" s="1"/>
      <c r="M137" s="1"/>
      <c r="N137" s="1"/>
    </row>
    <row r="138" spans="1:14" hidden="1">
      <c r="A138" s="151">
        <f t="shared" si="9"/>
        <v>1</v>
      </c>
      <c r="B138" s="151" t="s">
        <v>206</v>
      </c>
      <c r="C138" s="159">
        <v>1931</v>
      </c>
      <c r="D138" s="160" t="s">
        <v>263</v>
      </c>
      <c r="E138" s="161">
        <f>SUMIF(Lanç!$C$3:$C$114,C138,Lanç!$F$3:$F$114)</f>
        <v>0</v>
      </c>
      <c r="F138" s="161">
        <f>SUMIF(Lanç!$C$115:$C$6504,C138,Lanç!$F$115:$F$6504)</f>
        <v>0</v>
      </c>
      <c r="G138" s="161">
        <f>SUMIF(Lanç!$C$115:$C$6504,C138,Lanç!$G$115:$G$6504)</f>
        <v>0</v>
      </c>
      <c r="H138" s="162">
        <f t="shared" si="10"/>
        <v>0</v>
      </c>
      <c r="I138" s="162">
        <f t="shared" si="11"/>
        <v>0</v>
      </c>
    </row>
    <row r="139" spans="1:14" hidden="1">
      <c r="A139" s="151">
        <f t="shared" si="9"/>
        <v>1</v>
      </c>
      <c r="B139" s="151" t="s">
        <v>206</v>
      </c>
      <c r="C139" s="159">
        <v>1932</v>
      </c>
      <c r="D139" s="160" t="s">
        <v>264</v>
      </c>
      <c r="E139" s="161">
        <f>SUMIF(Lanç!$C$3:$C$114,C139,Lanç!$F$3:$F$114)</f>
        <v>0</v>
      </c>
      <c r="F139" s="161">
        <f>SUMIF(Lanç!$C$115:$C$6504,C139,Lanç!$F$115:$F$6504)</f>
        <v>0</v>
      </c>
      <c r="G139" s="161">
        <f>SUMIF(Lanç!$C$115:$C$6504,C139,Lanç!$G$115:$G$6504)</f>
        <v>0</v>
      </c>
      <c r="H139" s="162">
        <f t="shared" si="10"/>
        <v>0</v>
      </c>
      <c r="I139" s="162">
        <f t="shared" si="11"/>
        <v>0</v>
      </c>
    </row>
    <row r="140" spans="1:14" hidden="1">
      <c r="A140" s="151">
        <f t="shared" si="9"/>
        <v>1</v>
      </c>
      <c r="B140" s="151" t="s">
        <v>206</v>
      </c>
      <c r="C140" s="159">
        <v>1933</v>
      </c>
      <c r="D140" s="160" t="s">
        <v>265</v>
      </c>
      <c r="E140" s="161">
        <f>SUMIF(Lanç!$C$3:$C$114,C140,Lanç!$F$3:$F$114)</f>
        <v>0</v>
      </c>
      <c r="F140" s="161">
        <f>SUMIF(Lanç!$C$115:$C$6504,C140,Lanç!$F$115:$F$6504)</f>
        <v>0</v>
      </c>
      <c r="G140" s="161">
        <f>SUMIF(Lanç!$C$115:$C$6504,C140,Lanç!$G$115:$G$6504)</f>
        <v>0</v>
      </c>
      <c r="H140" s="162">
        <f t="shared" si="10"/>
        <v>0</v>
      </c>
      <c r="I140" s="162">
        <f t="shared" si="11"/>
        <v>0</v>
      </c>
    </row>
    <row r="141" spans="1:14" hidden="1">
      <c r="A141" s="151">
        <f t="shared" si="9"/>
        <v>1</v>
      </c>
      <c r="B141" s="155" t="s">
        <v>204</v>
      </c>
      <c r="C141" s="156">
        <v>194</v>
      </c>
      <c r="D141" s="157" t="s">
        <v>270</v>
      </c>
      <c r="E141" s="158">
        <f>SUM(E142)</f>
        <v>0</v>
      </c>
      <c r="F141" s="158">
        <f>SUM(F142)</f>
        <v>0</v>
      </c>
      <c r="G141" s="158">
        <f>SUM(G142)</f>
        <v>0</v>
      </c>
      <c r="H141" s="154">
        <f t="shared" si="10"/>
        <v>0</v>
      </c>
      <c r="I141" s="154">
        <f t="shared" si="11"/>
        <v>0</v>
      </c>
      <c r="J141" s="1"/>
      <c r="K141" s="1"/>
      <c r="L141" s="1"/>
      <c r="M141" s="1"/>
      <c r="N141" s="1"/>
    </row>
    <row r="142" spans="1:14" hidden="1">
      <c r="A142" s="151">
        <f t="shared" si="9"/>
        <v>1</v>
      </c>
      <c r="B142" s="151" t="s">
        <v>206</v>
      </c>
      <c r="C142" s="159">
        <v>1941</v>
      </c>
      <c r="D142" s="160" t="s">
        <v>263</v>
      </c>
      <c r="E142" s="161">
        <f>SUMIF(Lanç!$C$3:$C$114,C142,Lanç!$F$3:$F$114)</f>
        <v>0</v>
      </c>
      <c r="F142" s="161">
        <f>SUMIF(Lanç!$C$115:$C$6504,C142,Lanç!$F$115:$F$6504)</f>
        <v>0</v>
      </c>
      <c r="G142" s="161">
        <f>SUMIF(Lanç!$C$115:$C$6504,C142,Lanç!$G$115:$G$6504)</f>
        <v>0</v>
      </c>
      <c r="H142" s="162">
        <f t="shared" si="10"/>
        <v>0</v>
      </c>
      <c r="I142" s="162">
        <f t="shared" si="11"/>
        <v>0</v>
      </c>
    </row>
    <row r="143" spans="1:14" hidden="1">
      <c r="A143" s="151">
        <f t="shared" si="9"/>
        <v>1</v>
      </c>
      <c r="B143" s="155" t="s">
        <v>204</v>
      </c>
      <c r="C143" s="156">
        <v>199</v>
      </c>
      <c r="D143" s="157" t="s">
        <v>291</v>
      </c>
      <c r="E143" s="158">
        <f>SUM(E144:E146)</f>
        <v>0</v>
      </c>
      <c r="F143" s="158">
        <f>SUM(F144:F146)</f>
        <v>0</v>
      </c>
      <c r="G143" s="158">
        <f>SUM(G144:G146)</f>
        <v>0</v>
      </c>
      <c r="H143" s="154">
        <f t="shared" si="10"/>
        <v>0</v>
      </c>
      <c r="I143" s="154">
        <f t="shared" si="11"/>
        <v>0</v>
      </c>
      <c r="J143" s="1"/>
      <c r="K143" s="1"/>
      <c r="L143" s="1"/>
      <c r="M143" s="1"/>
      <c r="N143" s="1"/>
    </row>
    <row r="144" spans="1:14" hidden="1">
      <c r="A144" s="151">
        <f t="shared" si="9"/>
        <v>1</v>
      </c>
      <c r="B144" s="151" t="s">
        <v>206</v>
      </c>
      <c r="C144" s="159">
        <v>1991</v>
      </c>
      <c r="D144" s="160" t="s">
        <v>272</v>
      </c>
      <c r="E144" s="161">
        <f>SUMIF(Lanç!$C$3:$C$114,C144,Lanç!$F$3:$F$114)</f>
        <v>0</v>
      </c>
      <c r="F144" s="161">
        <f>SUMIF(Lanç!$C$115:$C$6504,C144,Lanç!$F$115:$F$6504)</f>
        <v>0</v>
      </c>
      <c r="G144" s="161">
        <f>SUMIF(Lanç!$C$115:$C$6504,C144,Lanç!$G$115:$G$6504)</f>
        <v>0</v>
      </c>
      <c r="H144" s="162">
        <f t="shared" si="10"/>
        <v>0</v>
      </c>
      <c r="I144" s="162">
        <f t="shared" si="11"/>
        <v>0</v>
      </c>
    </row>
    <row r="145" spans="1:14" hidden="1">
      <c r="A145" s="151">
        <f t="shared" si="9"/>
        <v>1</v>
      </c>
      <c r="B145" s="151" t="s">
        <v>206</v>
      </c>
      <c r="C145" s="159">
        <v>1992</v>
      </c>
      <c r="D145" s="160" t="s">
        <v>273</v>
      </c>
      <c r="E145" s="161">
        <f>SUMIF(Lanç!$C$3:$C$114,C145,Lanç!$F$3:$F$114)</f>
        <v>0</v>
      </c>
      <c r="F145" s="161">
        <f>SUMIF(Lanç!$C$115:$C$6504,C145,Lanç!$F$115:$F$6504)</f>
        <v>0</v>
      </c>
      <c r="G145" s="161">
        <f>SUMIF(Lanç!$C$115:$C$6504,C145,Lanç!$G$115:$G$6504)</f>
        <v>0</v>
      </c>
      <c r="H145" s="162">
        <f t="shared" si="10"/>
        <v>0</v>
      </c>
      <c r="I145" s="162">
        <f t="shared" si="11"/>
        <v>0</v>
      </c>
    </row>
    <row r="146" spans="1:14" hidden="1">
      <c r="A146" s="151">
        <f t="shared" si="9"/>
        <v>1</v>
      </c>
      <c r="B146" s="151" t="s">
        <v>206</v>
      </c>
      <c r="C146" s="159">
        <v>1993</v>
      </c>
      <c r="D146" s="160" t="s">
        <v>292</v>
      </c>
      <c r="E146" s="161">
        <f>SUMIF(Lanç!$C$3:$C$114,C146,Lanç!$F$3:$F$114)</f>
        <v>0</v>
      </c>
      <c r="F146" s="161">
        <f>SUMIF(Lanç!$C$115:$C$6504,C146,Lanç!$F$115:$F$6504)</f>
        <v>0</v>
      </c>
      <c r="G146" s="161">
        <f>SUMIF(Lanç!$C$115:$C$6504,C146,Lanç!$G$115:$G$6504)</f>
        <v>0</v>
      </c>
      <c r="H146" s="162">
        <f t="shared" si="10"/>
        <v>0</v>
      </c>
      <c r="I146" s="162">
        <f t="shared" si="11"/>
        <v>0</v>
      </c>
    </row>
    <row r="147" spans="1:14">
      <c r="A147" s="151">
        <f t="shared" si="9"/>
        <v>0</v>
      </c>
      <c r="B147" s="152" t="s">
        <v>200</v>
      </c>
      <c r="C147" s="153">
        <v>2</v>
      </c>
      <c r="D147" s="164" t="s">
        <v>293</v>
      </c>
      <c r="E147" s="165">
        <f>SUM(E148,E307,E325,E328,E335,E340,E352,E365,E374)</f>
        <v>40682931.560000002</v>
      </c>
      <c r="F147" s="165">
        <f>SUM(F148,F307,F325,F328,F335,F340,F352,F365,F374)</f>
        <v>40355037.18</v>
      </c>
      <c r="G147" s="165">
        <f>SUM(G148,G307,G325,G328,G335,G340,G352,G365,G374)</f>
        <v>0</v>
      </c>
      <c r="H147" s="154">
        <f t="shared" si="10"/>
        <v>40355037.18</v>
      </c>
      <c r="I147" s="154">
        <f t="shared" si="11"/>
        <v>81037968.74000001</v>
      </c>
      <c r="J147" s="58"/>
      <c r="K147" s="58"/>
      <c r="L147" s="58"/>
      <c r="M147" s="58"/>
      <c r="N147" s="58"/>
    </row>
    <row r="148" spans="1:14">
      <c r="A148" s="151">
        <f t="shared" si="9"/>
        <v>0</v>
      </c>
      <c r="B148" s="155" t="s">
        <v>202</v>
      </c>
      <c r="C148" s="156">
        <v>21</v>
      </c>
      <c r="D148" s="157" t="s">
        <v>294</v>
      </c>
      <c r="E148" s="158">
        <f>SUM(E149,E206,E219,E230,E268,E305)</f>
        <v>1566613.9699999997</v>
      </c>
      <c r="F148" s="158">
        <f>SUM(F149,F206,F219,F230,F268,F305)</f>
        <v>0</v>
      </c>
      <c r="G148" s="158">
        <f>SUM(G149,G206,G219,G230,G268,G305)</f>
        <v>0</v>
      </c>
      <c r="H148" s="154">
        <f t="shared" si="10"/>
        <v>0</v>
      </c>
      <c r="I148" s="154">
        <f t="shared" si="11"/>
        <v>1566613.9699999997</v>
      </c>
      <c r="J148" s="1"/>
      <c r="K148" s="1"/>
      <c r="L148" s="1"/>
      <c r="M148" s="1"/>
      <c r="N148" s="1"/>
    </row>
    <row r="149" spans="1:14">
      <c r="A149" s="151">
        <f t="shared" si="9"/>
        <v>0</v>
      </c>
      <c r="B149" s="155" t="s">
        <v>204</v>
      </c>
      <c r="C149" s="156">
        <v>211</v>
      </c>
      <c r="D149" s="157" t="s">
        <v>295</v>
      </c>
      <c r="E149" s="158">
        <f>SUM(E150,E162,E173,E184,E195)</f>
        <v>1566613.9699999997</v>
      </c>
      <c r="F149" s="158">
        <f>SUM(F150,F162,F173,F184,F195)</f>
        <v>0</v>
      </c>
      <c r="G149" s="158">
        <f>SUM(G150,G162,G173,G184,G195)</f>
        <v>0</v>
      </c>
      <c r="H149" s="154">
        <f t="shared" si="10"/>
        <v>0</v>
      </c>
      <c r="I149" s="154">
        <f t="shared" si="11"/>
        <v>1566613.9699999997</v>
      </c>
    </row>
    <row r="150" spans="1:14">
      <c r="A150" s="151">
        <f t="shared" si="9"/>
        <v>0</v>
      </c>
      <c r="B150" s="155" t="s">
        <v>204</v>
      </c>
      <c r="C150" s="156">
        <v>2111</v>
      </c>
      <c r="D150" s="157" t="s">
        <v>296</v>
      </c>
      <c r="E150" s="158">
        <f>SUM(E151,E154)</f>
        <v>1566613.9699999997</v>
      </c>
      <c r="F150" s="158">
        <f>SUM(F151,F154)</f>
        <v>0</v>
      </c>
      <c r="G150" s="158">
        <f>SUM(G151,G154)</f>
        <v>0</v>
      </c>
      <c r="H150" s="154">
        <f t="shared" si="10"/>
        <v>0</v>
      </c>
      <c r="I150" s="154">
        <f t="shared" si="11"/>
        <v>1566613.9699999997</v>
      </c>
    </row>
    <row r="151" spans="1:14">
      <c r="A151" s="151">
        <f t="shared" si="9"/>
        <v>0</v>
      </c>
      <c r="B151" s="155" t="s">
        <v>204</v>
      </c>
      <c r="C151" s="156">
        <v>21111</v>
      </c>
      <c r="D151" s="157" t="s">
        <v>297</v>
      </c>
      <c r="E151" s="158">
        <f>SUM(E152:E153)</f>
        <v>1566613.9699999997</v>
      </c>
      <c r="F151" s="158">
        <f>SUM(F152:F153)</f>
        <v>0</v>
      </c>
      <c r="G151" s="158">
        <f>SUM(G152:G153)</f>
        <v>0</v>
      </c>
      <c r="H151" s="154">
        <f t="shared" si="10"/>
        <v>0</v>
      </c>
      <c r="I151" s="154">
        <f t="shared" si="11"/>
        <v>1566613.9699999997</v>
      </c>
    </row>
    <row r="152" spans="1:14">
      <c r="A152" s="151">
        <f t="shared" si="9"/>
        <v>0</v>
      </c>
      <c r="B152" s="151" t="s">
        <v>206</v>
      </c>
      <c r="C152" s="159">
        <v>211111</v>
      </c>
      <c r="D152" s="160" t="s">
        <v>298</v>
      </c>
      <c r="E152" s="161">
        <f>SUMIF(Lanç!$C$3:$C$114,C152,Lanç!$F$3:$F$114)</f>
        <v>1566613.9699999997</v>
      </c>
      <c r="F152" s="161">
        <f>SUMIF(Lanç!$C$115:$C$6504,C152,Lanç!$F$115:$F$6504)</f>
        <v>0</v>
      </c>
      <c r="G152" s="161">
        <f>SUMIF(Lanç!$C$115:$C$6504,C152,Lanç!$G$115:$G$6504)</f>
        <v>0</v>
      </c>
      <c r="H152" s="162">
        <f t="shared" si="10"/>
        <v>0</v>
      </c>
      <c r="I152" s="162">
        <f t="shared" si="11"/>
        <v>1566613.9699999997</v>
      </c>
    </row>
    <row r="153" spans="1:14" hidden="1">
      <c r="A153" s="151">
        <f t="shared" si="9"/>
        <v>1</v>
      </c>
      <c r="B153" s="151" t="s">
        <v>206</v>
      </c>
      <c r="C153" s="159">
        <v>211118</v>
      </c>
      <c r="D153" s="160" t="s">
        <v>299</v>
      </c>
      <c r="E153" s="161">
        <f>SUMIF(Lanç!$C$3:$C$114,C153,Lanç!$F$3:$F$114)</f>
        <v>0</v>
      </c>
      <c r="F153" s="161">
        <f>SUMIF(Lanç!$C$115:$C$6504,C153,Lanç!$F$115:$F$6504)</f>
        <v>0</v>
      </c>
      <c r="G153" s="161">
        <f>SUMIF(Lanç!$C$115:$C$6504,C153,Lanç!$G$115:$G$6504)</f>
        <v>0</v>
      </c>
      <c r="H153" s="162">
        <f t="shared" si="10"/>
        <v>0</v>
      </c>
      <c r="I153" s="162">
        <f t="shared" si="11"/>
        <v>0</v>
      </c>
    </row>
    <row r="154" spans="1:14" hidden="1">
      <c r="A154" s="151">
        <f t="shared" si="9"/>
        <v>1</v>
      </c>
      <c r="B154" s="155" t="s">
        <v>204</v>
      </c>
      <c r="C154" s="156">
        <v>21112</v>
      </c>
      <c r="D154" s="157" t="s">
        <v>300</v>
      </c>
      <c r="E154" s="158">
        <f>SUM(E155,E158)</f>
        <v>0</v>
      </c>
      <c r="F154" s="158">
        <f>SUM(F155,F158)</f>
        <v>0</v>
      </c>
      <c r="G154" s="158">
        <f>SUM(G155,G158)</f>
        <v>0</v>
      </c>
      <c r="H154" s="154">
        <f t="shared" si="10"/>
        <v>0</v>
      </c>
      <c r="I154" s="154">
        <f t="shared" si="11"/>
        <v>0</v>
      </c>
      <c r="J154" s="1"/>
      <c r="K154" s="1"/>
      <c r="L154" s="1"/>
      <c r="M154" s="1"/>
      <c r="N154" s="1"/>
    </row>
    <row r="155" spans="1:14" hidden="1">
      <c r="A155" s="151">
        <f t="shared" si="9"/>
        <v>1</v>
      </c>
      <c r="B155" s="155" t="s">
        <v>204</v>
      </c>
      <c r="C155" s="156">
        <v>211121</v>
      </c>
      <c r="D155" s="157" t="s">
        <v>301</v>
      </c>
      <c r="E155" s="158">
        <f>SUM(E156:E157)</f>
        <v>0</v>
      </c>
      <c r="F155" s="158">
        <f>SUM(F156:F157)</f>
        <v>0</v>
      </c>
      <c r="G155" s="158">
        <f>SUM(G156:G157)</f>
        <v>0</v>
      </c>
      <c r="H155" s="154">
        <f t="shared" si="10"/>
        <v>0</v>
      </c>
      <c r="I155" s="154">
        <f t="shared" si="11"/>
        <v>0</v>
      </c>
    </row>
    <row r="156" spans="1:14" hidden="1">
      <c r="A156" s="151">
        <f t="shared" si="9"/>
        <v>1</v>
      </c>
      <c r="B156" s="151" t="s">
        <v>206</v>
      </c>
      <c r="C156" s="159">
        <v>2111211</v>
      </c>
      <c r="D156" s="160" t="s">
        <v>302</v>
      </c>
      <c r="E156" s="161">
        <f>SUMIF(Lanç!$C$3:$C$114,C156,Lanç!$F$3:$F$114)</f>
        <v>0</v>
      </c>
      <c r="F156" s="161">
        <f>SUMIF(Lanç!$C$115:$C$6504,C156,Lanç!$F$115:$F$6504)</f>
        <v>0</v>
      </c>
      <c r="G156" s="161">
        <f>SUMIF(Lanç!$C$115:$C$6504,C156,Lanç!$G$115:$G$6504)</f>
        <v>0</v>
      </c>
      <c r="H156" s="162">
        <f t="shared" si="10"/>
        <v>0</v>
      </c>
      <c r="I156" s="162">
        <f t="shared" si="11"/>
        <v>0</v>
      </c>
    </row>
    <row r="157" spans="1:14" hidden="1">
      <c r="A157" s="151">
        <f t="shared" si="9"/>
        <v>1</v>
      </c>
      <c r="B157" s="151" t="s">
        <v>206</v>
      </c>
      <c r="C157" s="159">
        <v>2111218</v>
      </c>
      <c r="D157" s="160" t="s">
        <v>303</v>
      </c>
      <c r="E157" s="161">
        <f>SUMIF(Lanç!$C$3:$C$114,C157,Lanç!$F$3:$F$114)</f>
        <v>0</v>
      </c>
      <c r="F157" s="161">
        <f>SUMIF(Lanç!$C$115:$C$6504,C157,Lanç!$F$115:$F$6504)</f>
        <v>0</v>
      </c>
      <c r="G157" s="161">
        <f>SUMIF(Lanç!$C$115:$C$6504,C157,Lanç!$G$115:$G$6504)</f>
        <v>0</v>
      </c>
      <c r="H157" s="162">
        <f t="shared" si="10"/>
        <v>0</v>
      </c>
      <c r="I157" s="162">
        <f t="shared" si="11"/>
        <v>0</v>
      </c>
    </row>
    <row r="158" spans="1:14" hidden="1">
      <c r="A158" s="151">
        <f t="shared" si="9"/>
        <v>1</v>
      </c>
      <c r="B158" s="155" t="s">
        <v>204</v>
      </c>
      <c r="C158" s="156">
        <v>211122</v>
      </c>
      <c r="D158" s="157" t="s">
        <v>304</v>
      </c>
      <c r="E158" s="158">
        <f>SUM(E159:E161)</f>
        <v>0</v>
      </c>
      <c r="F158" s="158">
        <f>SUM(F159:F161)</f>
        <v>0</v>
      </c>
      <c r="G158" s="158">
        <f>SUM(G159:G161)</f>
        <v>0</v>
      </c>
      <c r="H158" s="154">
        <f t="shared" si="10"/>
        <v>0</v>
      </c>
      <c r="I158" s="154">
        <f t="shared" si="11"/>
        <v>0</v>
      </c>
      <c r="J158" s="1"/>
      <c r="K158" s="1"/>
      <c r="L158" s="1"/>
      <c r="M158" s="1"/>
      <c r="N158" s="1"/>
    </row>
    <row r="159" spans="1:14" hidden="1">
      <c r="A159" s="151">
        <f t="shared" si="9"/>
        <v>1</v>
      </c>
      <c r="B159" s="151" t="s">
        <v>206</v>
      </c>
      <c r="C159" s="159">
        <v>2111221</v>
      </c>
      <c r="D159" s="160" t="s">
        <v>305</v>
      </c>
      <c r="E159" s="161">
        <f>SUMIF(Lanç!$C$3:$C$114,C159,Lanç!$F$3:$F$114)</f>
        <v>0</v>
      </c>
      <c r="F159" s="161">
        <f>SUMIF(Lanç!$C$115:$C$6504,C159,Lanç!$F$115:$F$6504)</f>
        <v>0</v>
      </c>
      <c r="G159" s="161">
        <f>SUMIF(Lanç!$C$115:$C$6504,C159,Lanç!$G$115:$G$6504)</f>
        <v>0</v>
      </c>
      <c r="H159" s="162">
        <f t="shared" si="10"/>
        <v>0</v>
      </c>
      <c r="I159" s="162">
        <f t="shared" si="11"/>
        <v>0</v>
      </c>
    </row>
    <row r="160" spans="1:14" hidden="1">
      <c r="A160" s="151">
        <f t="shared" si="9"/>
        <v>1</v>
      </c>
      <c r="B160" s="151" t="s">
        <v>206</v>
      </c>
      <c r="C160" s="159">
        <v>2111228</v>
      </c>
      <c r="D160" s="160" t="s">
        <v>306</v>
      </c>
      <c r="E160" s="161">
        <f>SUMIF(Lanç!$C$3:$C$114,C160,Lanç!$F$3:$F$114)</f>
        <v>0</v>
      </c>
      <c r="F160" s="161">
        <f>SUMIF(Lanç!$C$115:$C$6504,C160,Lanç!$F$115:$F$6504)</f>
        <v>0</v>
      </c>
      <c r="G160" s="161">
        <f>SUMIF(Lanç!$C$115:$C$6504,C160,Lanç!$G$115:$G$6504)</f>
        <v>0</v>
      </c>
      <c r="H160" s="162">
        <f t="shared" si="10"/>
        <v>0</v>
      </c>
      <c r="I160" s="162">
        <f t="shared" si="11"/>
        <v>0</v>
      </c>
    </row>
    <row r="161" spans="1:14" hidden="1">
      <c r="A161" s="151">
        <f t="shared" si="9"/>
        <v>1</v>
      </c>
      <c r="B161" s="151" t="s">
        <v>206</v>
      </c>
      <c r="C161" s="159">
        <v>2111318</v>
      </c>
      <c r="D161" s="160" t="s">
        <v>269</v>
      </c>
      <c r="E161" s="161">
        <f>SUMIF(Lanç!$C$3:$C$114,C161,Lanç!$F$3:$F$114)</f>
        <v>0</v>
      </c>
      <c r="F161" s="161">
        <f>SUMIF(Lanç!$C$115:$C$6504,C161,Lanç!$F$115:$F$6504)</f>
        <v>0</v>
      </c>
      <c r="G161" s="161">
        <f>SUMIF(Lanç!$C$115:$C$6504,C161,Lanç!$G$115:$G$6504)</f>
        <v>0</v>
      </c>
      <c r="H161" s="162">
        <f t="shared" si="10"/>
        <v>0</v>
      </c>
      <c r="I161" s="162">
        <f t="shared" si="11"/>
        <v>0</v>
      </c>
    </row>
    <row r="162" spans="1:14" hidden="1">
      <c r="A162" s="151">
        <f t="shared" si="9"/>
        <v>1</v>
      </c>
      <c r="B162" s="155" t="s">
        <v>204</v>
      </c>
      <c r="C162" s="156">
        <v>2112</v>
      </c>
      <c r="D162" s="157" t="s">
        <v>307</v>
      </c>
      <c r="E162" s="158">
        <f>SUM(E163,E166)</f>
        <v>0</v>
      </c>
      <c r="F162" s="158">
        <f>SUM(F163,F166)</f>
        <v>0</v>
      </c>
      <c r="G162" s="158">
        <f>SUM(G163,G166)</f>
        <v>0</v>
      </c>
      <c r="H162" s="154">
        <f t="shared" si="10"/>
        <v>0</v>
      </c>
      <c r="I162" s="154">
        <f t="shared" si="11"/>
        <v>0</v>
      </c>
      <c r="J162" s="1"/>
      <c r="K162" s="1"/>
      <c r="L162" s="1"/>
      <c r="M162" s="1"/>
      <c r="N162" s="1"/>
    </row>
    <row r="163" spans="1:14" hidden="1">
      <c r="A163" s="151">
        <f t="shared" si="9"/>
        <v>1</v>
      </c>
      <c r="B163" s="155" t="s">
        <v>204</v>
      </c>
      <c r="C163" s="156">
        <v>21121</v>
      </c>
      <c r="D163" s="157" t="s">
        <v>308</v>
      </c>
      <c r="E163" s="158">
        <f>SUM(E164:E165)</f>
        <v>0</v>
      </c>
      <c r="F163" s="158">
        <f>SUM(F164:F165)</f>
        <v>0</v>
      </c>
      <c r="G163" s="158">
        <f>SUM(G164:G165)</f>
        <v>0</v>
      </c>
      <c r="H163" s="154">
        <f t="shared" si="10"/>
        <v>0</v>
      </c>
      <c r="I163" s="154">
        <f t="shared" si="11"/>
        <v>0</v>
      </c>
      <c r="J163" s="1"/>
      <c r="K163" s="1"/>
      <c r="L163" s="1"/>
      <c r="M163" s="1"/>
      <c r="N163" s="1"/>
    </row>
    <row r="164" spans="1:14" hidden="1">
      <c r="A164" s="151">
        <f t="shared" si="9"/>
        <v>1</v>
      </c>
      <c r="B164" s="151" t="s">
        <v>206</v>
      </c>
      <c r="C164" s="159">
        <v>211211</v>
      </c>
      <c r="D164" s="160" t="s">
        <v>309</v>
      </c>
      <c r="E164" s="161">
        <f>SUMIF(Lanç!$C$3:$C$114,C164,Lanç!$F$3:$F$114)</f>
        <v>0</v>
      </c>
      <c r="F164" s="161">
        <f>SUMIF(Lanç!$C$115:$C$6504,C164,Lanç!$F$115:$F$6504)</f>
        <v>0</v>
      </c>
      <c r="G164" s="161">
        <f>SUMIF(Lanç!$C$115:$C$6504,C164,Lanç!$G$115:$G$6504)</f>
        <v>0</v>
      </c>
      <c r="H164" s="162">
        <f t="shared" si="10"/>
        <v>0</v>
      </c>
      <c r="I164" s="162">
        <f t="shared" si="11"/>
        <v>0</v>
      </c>
    </row>
    <row r="165" spans="1:14" hidden="1">
      <c r="A165" s="151">
        <f t="shared" si="9"/>
        <v>1</v>
      </c>
      <c r="B165" s="151" t="s">
        <v>206</v>
      </c>
      <c r="C165" s="159">
        <v>211218</v>
      </c>
      <c r="D165" s="160" t="s">
        <v>310</v>
      </c>
      <c r="E165" s="161">
        <f>SUMIF(Lanç!$C$3:$C$114,C165,Lanç!$F$3:$F$114)</f>
        <v>0</v>
      </c>
      <c r="F165" s="161">
        <f>SUMIF(Lanç!$C$115:$C$6504,C165,Lanç!$F$115:$F$6504)</f>
        <v>0</v>
      </c>
      <c r="G165" s="161">
        <f>SUMIF(Lanç!$C$115:$C$6504,C165,Lanç!$G$115:$G$6504)</f>
        <v>0</v>
      </c>
      <c r="H165" s="162">
        <f t="shared" si="10"/>
        <v>0</v>
      </c>
      <c r="I165" s="162">
        <f t="shared" si="11"/>
        <v>0</v>
      </c>
    </row>
    <row r="166" spans="1:14" hidden="1">
      <c r="A166" s="151">
        <f t="shared" si="9"/>
        <v>1</v>
      </c>
      <c r="B166" s="155" t="s">
        <v>204</v>
      </c>
      <c r="C166" s="156">
        <v>21122</v>
      </c>
      <c r="D166" s="157" t="s">
        <v>300</v>
      </c>
      <c r="E166" s="158">
        <f>SUM(E167,E170)</f>
        <v>0</v>
      </c>
      <c r="F166" s="158">
        <f>SUM(F167,F170)</f>
        <v>0</v>
      </c>
      <c r="G166" s="158">
        <f>SUM(G167,G170)</f>
        <v>0</v>
      </c>
      <c r="H166" s="154">
        <f t="shared" si="10"/>
        <v>0</v>
      </c>
      <c r="I166" s="154">
        <f t="shared" si="11"/>
        <v>0</v>
      </c>
      <c r="J166" s="1"/>
      <c r="K166" s="1"/>
      <c r="L166" s="1"/>
      <c r="M166" s="1"/>
      <c r="N166" s="1"/>
    </row>
    <row r="167" spans="1:14" hidden="1">
      <c r="A167" s="151">
        <f t="shared" si="9"/>
        <v>1</v>
      </c>
      <c r="B167" s="155" t="s">
        <v>204</v>
      </c>
      <c r="C167" s="156">
        <v>211221</v>
      </c>
      <c r="D167" s="157" t="s">
        <v>311</v>
      </c>
      <c r="E167" s="158">
        <f>SUM(E168:E169)</f>
        <v>0</v>
      </c>
      <c r="F167" s="158">
        <f>SUM(F168:F169)</f>
        <v>0</v>
      </c>
      <c r="G167" s="158">
        <f>SUM(G168:G169)</f>
        <v>0</v>
      </c>
      <c r="H167" s="154">
        <f t="shared" si="10"/>
        <v>0</v>
      </c>
      <c r="I167" s="154">
        <f t="shared" si="11"/>
        <v>0</v>
      </c>
    </row>
    <row r="168" spans="1:14" hidden="1">
      <c r="A168" s="151">
        <f t="shared" si="9"/>
        <v>1</v>
      </c>
      <c r="B168" s="151" t="s">
        <v>206</v>
      </c>
      <c r="C168" s="159">
        <v>2112211</v>
      </c>
      <c r="D168" s="160" t="s">
        <v>312</v>
      </c>
      <c r="E168" s="161">
        <f>SUMIF(Lanç!$C$3:$C$114,C168,Lanç!$F$3:$F$114)</f>
        <v>0</v>
      </c>
      <c r="F168" s="161">
        <f>SUMIF(Lanç!$C$115:$C$6504,C168,Lanç!$F$115:$F$6504)</f>
        <v>0</v>
      </c>
      <c r="G168" s="161">
        <f>SUMIF(Lanç!$C$115:$C$6504,C168,Lanç!$G$115:$G$6504)</f>
        <v>0</v>
      </c>
      <c r="H168" s="162">
        <f t="shared" si="10"/>
        <v>0</v>
      </c>
      <c r="I168" s="162">
        <f t="shared" si="11"/>
        <v>0</v>
      </c>
    </row>
    <row r="169" spans="1:14" hidden="1">
      <c r="A169" s="151">
        <f t="shared" si="9"/>
        <v>1</v>
      </c>
      <c r="B169" s="151" t="s">
        <v>206</v>
      </c>
      <c r="C169" s="159">
        <v>2112218</v>
      </c>
      <c r="D169" s="160" t="s">
        <v>313</v>
      </c>
      <c r="E169" s="161">
        <f>SUMIF(Lanç!$C$3:$C$114,C169,Lanç!$F$3:$F$114)</f>
        <v>0</v>
      </c>
      <c r="F169" s="161">
        <f>SUMIF(Lanç!$C$115:$C$6504,C169,Lanç!$F$115:$F$6504)</f>
        <v>0</v>
      </c>
      <c r="G169" s="161">
        <f>SUMIF(Lanç!$C$115:$C$6504,C169,Lanç!$G$115:$G$6504)</f>
        <v>0</v>
      </c>
      <c r="H169" s="162">
        <f t="shared" si="10"/>
        <v>0</v>
      </c>
      <c r="I169" s="162">
        <f t="shared" si="11"/>
        <v>0</v>
      </c>
    </row>
    <row r="170" spans="1:14" hidden="1">
      <c r="A170" s="151">
        <f t="shared" si="9"/>
        <v>1</v>
      </c>
      <c r="B170" s="155" t="s">
        <v>204</v>
      </c>
      <c r="C170" s="156">
        <v>211222</v>
      </c>
      <c r="D170" s="157" t="s">
        <v>314</v>
      </c>
      <c r="E170" s="158">
        <f>SUM(E171:E172)</f>
        <v>0</v>
      </c>
      <c r="F170" s="158">
        <f>SUM(F171:F172)</f>
        <v>0</v>
      </c>
      <c r="G170" s="158">
        <f>SUM(G171:G172)</f>
        <v>0</v>
      </c>
      <c r="H170" s="154">
        <f t="shared" si="10"/>
        <v>0</v>
      </c>
      <c r="I170" s="154">
        <f t="shared" si="11"/>
        <v>0</v>
      </c>
      <c r="J170" s="1"/>
      <c r="K170" s="1"/>
      <c r="L170" s="1"/>
      <c r="M170" s="1"/>
      <c r="N170" s="1"/>
    </row>
    <row r="171" spans="1:14" hidden="1">
      <c r="A171" s="151">
        <f t="shared" si="9"/>
        <v>1</v>
      </c>
      <c r="B171" s="151" t="s">
        <v>206</v>
      </c>
      <c r="C171" s="159">
        <v>2112221</v>
      </c>
      <c r="D171" s="160" t="s">
        <v>315</v>
      </c>
      <c r="E171" s="161">
        <f>SUMIF(Lanç!$C$3:$C$114,C171,Lanç!$F$3:$F$114)</f>
        <v>0</v>
      </c>
      <c r="F171" s="161">
        <f>SUMIF(Lanç!$C$115:$C$6504,C171,Lanç!$F$115:$F$6504)</f>
        <v>0</v>
      </c>
      <c r="G171" s="161">
        <f>SUMIF(Lanç!$C$115:$C$6504,C171,Lanç!$G$115:$G$6504)</f>
        <v>0</v>
      </c>
      <c r="H171" s="162">
        <f t="shared" si="10"/>
        <v>0</v>
      </c>
      <c r="I171" s="162">
        <f t="shared" si="11"/>
        <v>0</v>
      </c>
    </row>
    <row r="172" spans="1:14" hidden="1">
      <c r="A172" s="151">
        <f t="shared" si="9"/>
        <v>1</v>
      </c>
      <c r="B172" s="151" t="s">
        <v>206</v>
      </c>
      <c r="C172" s="159">
        <v>2112228</v>
      </c>
      <c r="D172" s="160" t="s">
        <v>316</v>
      </c>
      <c r="E172" s="161">
        <f>SUMIF(Lanç!$C$3:$C$114,C172,Lanç!$F$3:$F$114)</f>
        <v>0</v>
      </c>
      <c r="F172" s="161">
        <f>SUMIF(Lanç!$C$115:$C$6504,C172,Lanç!$F$115:$F$6504)</f>
        <v>0</v>
      </c>
      <c r="G172" s="161">
        <f>SUMIF(Lanç!$C$115:$C$6504,C172,Lanç!$G$115:$G$6504)</f>
        <v>0</v>
      </c>
      <c r="H172" s="162">
        <f t="shared" si="10"/>
        <v>0</v>
      </c>
      <c r="I172" s="162">
        <f t="shared" si="11"/>
        <v>0</v>
      </c>
    </row>
    <row r="173" spans="1:14" hidden="1">
      <c r="A173" s="151">
        <f t="shared" si="9"/>
        <v>1</v>
      </c>
      <c r="B173" s="155" t="s">
        <v>204</v>
      </c>
      <c r="C173" s="156">
        <v>2113</v>
      </c>
      <c r="D173" s="157" t="s">
        <v>317</v>
      </c>
      <c r="E173" s="158">
        <f>SUM(E174,E177)</f>
        <v>0</v>
      </c>
      <c r="F173" s="158">
        <f>SUM(F174,F177)</f>
        <v>0</v>
      </c>
      <c r="G173" s="158">
        <f>SUM(G174,G177)</f>
        <v>0</v>
      </c>
      <c r="H173" s="154">
        <f t="shared" si="10"/>
        <v>0</v>
      </c>
      <c r="I173" s="154">
        <f t="shared" si="11"/>
        <v>0</v>
      </c>
      <c r="J173" s="1"/>
      <c r="K173" s="1"/>
      <c r="L173" s="1"/>
      <c r="M173" s="1"/>
      <c r="N173" s="1"/>
    </row>
    <row r="174" spans="1:14" hidden="1">
      <c r="A174" s="151">
        <f t="shared" si="9"/>
        <v>1</v>
      </c>
      <c r="B174" s="155" t="s">
        <v>204</v>
      </c>
      <c r="C174" s="156">
        <v>21131</v>
      </c>
      <c r="D174" s="157" t="s">
        <v>318</v>
      </c>
      <c r="E174" s="158">
        <f>SUM(E175:E176)</f>
        <v>0</v>
      </c>
      <c r="F174" s="158">
        <f>SUM(F175:F176)</f>
        <v>0</v>
      </c>
      <c r="G174" s="158">
        <f>SUM(G175:G176)</f>
        <v>0</v>
      </c>
      <c r="H174" s="154">
        <f t="shared" si="10"/>
        <v>0</v>
      </c>
      <c r="I174" s="154">
        <f t="shared" si="11"/>
        <v>0</v>
      </c>
      <c r="J174" s="1"/>
      <c r="K174" s="1"/>
      <c r="L174" s="1"/>
      <c r="M174" s="1"/>
      <c r="N174" s="1"/>
    </row>
    <row r="175" spans="1:14" hidden="1">
      <c r="A175" s="151">
        <f t="shared" si="9"/>
        <v>1</v>
      </c>
      <c r="B175" s="151" t="s">
        <v>206</v>
      </c>
      <c r="C175" s="159">
        <v>211311</v>
      </c>
      <c r="D175" s="160" t="s">
        <v>319</v>
      </c>
      <c r="E175" s="161">
        <f>SUMIF(Lanç!$C$3:$C$114,C175,Lanç!$F$3:$F$114)</f>
        <v>0</v>
      </c>
      <c r="F175" s="161">
        <f>SUMIF(Lanç!$C$115:$C$6504,C175,Lanç!$F$115:$F$6504)</f>
        <v>0</v>
      </c>
      <c r="G175" s="161">
        <f>SUMIF(Lanç!$C$115:$C$6504,C175,Lanç!$G$115:$G$6504)</f>
        <v>0</v>
      </c>
      <c r="H175" s="162">
        <f t="shared" si="10"/>
        <v>0</v>
      </c>
      <c r="I175" s="162">
        <f t="shared" si="11"/>
        <v>0</v>
      </c>
    </row>
    <row r="176" spans="1:14" hidden="1">
      <c r="A176" s="151">
        <f t="shared" si="9"/>
        <v>1</v>
      </c>
      <c r="B176" s="151" t="s">
        <v>206</v>
      </c>
      <c r="C176" s="159">
        <v>211318</v>
      </c>
      <c r="D176" s="160" t="s">
        <v>320</v>
      </c>
      <c r="E176" s="161">
        <f>SUMIF(Lanç!$C$3:$C$114,C176,Lanç!$F$3:$F$114)</f>
        <v>0</v>
      </c>
      <c r="F176" s="161">
        <f>SUMIF(Lanç!$C$115:$C$6504,C176,Lanç!$F$115:$F$6504)</f>
        <v>0</v>
      </c>
      <c r="G176" s="161">
        <f>SUMIF(Lanç!$C$115:$C$6504,C176,Lanç!$G$115:$G$6504)</f>
        <v>0</v>
      </c>
      <c r="H176" s="162">
        <f t="shared" si="10"/>
        <v>0</v>
      </c>
      <c r="I176" s="162">
        <f t="shared" si="11"/>
        <v>0</v>
      </c>
    </row>
    <row r="177" spans="1:14" hidden="1">
      <c r="A177" s="151">
        <f t="shared" si="9"/>
        <v>1</v>
      </c>
      <c r="B177" s="155" t="s">
        <v>204</v>
      </c>
      <c r="C177" s="156">
        <v>21132</v>
      </c>
      <c r="D177" s="157" t="s">
        <v>300</v>
      </c>
      <c r="E177" s="158">
        <f>SUM(E178,E181)</f>
        <v>0</v>
      </c>
      <c r="F177" s="158">
        <f>SUM(F178,F181)</f>
        <v>0</v>
      </c>
      <c r="G177" s="158">
        <f>SUM(G178,G181)</f>
        <v>0</v>
      </c>
      <c r="H177" s="154">
        <f t="shared" si="10"/>
        <v>0</v>
      </c>
      <c r="I177" s="154">
        <f t="shared" si="11"/>
        <v>0</v>
      </c>
      <c r="J177" s="1"/>
      <c r="K177" s="1"/>
      <c r="L177" s="1"/>
      <c r="M177" s="1"/>
      <c r="N177" s="1"/>
    </row>
    <row r="178" spans="1:14" hidden="1">
      <c r="A178" s="151">
        <f t="shared" si="9"/>
        <v>1</v>
      </c>
      <c r="B178" s="155" t="s">
        <v>204</v>
      </c>
      <c r="C178" s="156">
        <v>211321</v>
      </c>
      <c r="D178" s="157" t="s">
        <v>321</v>
      </c>
      <c r="E178" s="158">
        <f>SUM(E179:E180)</f>
        <v>0</v>
      </c>
      <c r="F178" s="158">
        <f>SUM(F179:F180)</f>
        <v>0</v>
      </c>
      <c r="G178" s="158">
        <f>SUM(G179:G180)</f>
        <v>0</v>
      </c>
      <c r="H178" s="154">
        <f t="shared" si="10"/>
        <v>0</v>
      </c>
      <c r="I178" s="154">
        <f t="shared" si="11"/>
        <v>0</v>
      </c>
    </row>
    <row r="179" spans="1:14" hidden="1">
      <c r="A179" s="151">
        <f t="shared" si="9"/>
        <v>1</v>
      </c>
      <c r="B179" s="151" t="s">
        <v>206</v>
      </c>
      <c r="C179" s="159">
        <v>2113211</v>
      </c>
      <c r="D179" s="160" t="s">
        <v>322</v>
      </c>
      <c r="E179" s="161">
        <f>SUMIF(Lanç!$C$3:$C$114,C179,Lanç!$F$3:$F$114)</f>
        <v>0</v>
      </c>
      <c r="F179" s="161">
        <f>SUMIF(Lanç!$C$115:$C$6504,C179,Lanç!$F$115:$F$6504)</f>
        <v>0</v>
      </c>
      <c r="G179" s="161">
        <f>SUMIF(Lanç!$C$115:$C$6504,C179,Lanç!$G$115:$G$6504)</f>
        <v>0</v>
      </c>
      <c r="H179" s="162">
        <f t="shared" si="10"/>
        <v>0</v>
      </c>
      <c r="I179" s="162">
        <f t="shared" si="11"/>
        <v>0</v>
      </c>
    </row>
    <row r="180" spans="1:14" hidden="1">
      <c r="A180" s="151">
        <f t="shared" si="9"/>
        <v>1</v>
      </c>
      <c r="B180" s="151" t="s">
        <v>206</v>
      </c>
      <c r="C180" s="159">
        <v>2113218</v>
      </c>
      <c r="D180" s="160" t="s">
        <v>323</v>
      </c>
      <c r="E180" s="161">
        <f>SUMIF(Lanç!$C$3:$C$114,C180,Lanç!$F$3:$F$114)</f>
        <v>0</v>
      </c>
      <c r="F180" s="161">
        <f>SUMIF(Lanç!$C$115:$C$6504,C180,Lanç!$F$115:$F$6504)</f>
        <v>0</v>
      </c>
      <c r="G180" s="161">
        <f>SUMIF(Lanç!$C$115:$C$6504,C180,Lanç!$G$115:$G$6504)</f>
        <v>0</v>
      </c>
      <c r="H180" s="162">
        <f t="shared" si="10"/>
        <v>0</v>
      </c>
      <c r="I180" s="162">
        <f t="shared" si="11"/>
        <v>0</v>
      </c>
    </row>
    <row r="181" spans="1:14" hidden="1">
      <c r="A181" s="151">
        <f t="shared" si="9"/>
        <v>1</v>
      </c>
      <c r="B181" s="155" t="s">
        <v>204</v>
      </c>
      <c r="C181" s="156">
        <v>211322</v>
      </c>
      <c r="D181" s="157" t="s">
        <v>324</v>
      </c>
      <c r="E181" s="158">
        <f>SUM(E182:E183)</f>
        <v>0</v>
      </c>
      <c r="F181" s="158">
        <f>SUM(F182:F183)</f>
        <v>0</v>
      </c>
      <c r="G181" s="158">
        <f>SUM(G182:G183)</f>
        <v>0</v>
      </c>
      <c r="H181" s="154">
        <f t="shared" si="10"/>
        <v>0</v>
      </c>
      <c r="I181" s="154">
        <f t="shared" si="11"/>
        <v>0</v>
      </c>
      <c r="J181" s="1"/>
      <c r="K181" s="1"/>
      <c r="L181" s="1"/>
      <c r="M181" s="1"/>
      <c r="N181" s="1"/>
    </row>
    <row r="182" spans="1:14" hidden="1">
      <c r="A182" s="151">
        <f t="shared" si="9"/>
        <v>1</v>
      </c>
      <c r="B182" s="151" t="s">
        <v>206</v>
      </c>
      <c r="C182" s="159">
        <v>2113221</v>
      </c>
      <c r="D182" s="160" t="s">
        <v>325</v>
      </c>
      <c r="E182" s="161">
        <f>SUMIF(Lanç!$C$3:$C$114,C182,Lanç!$F$3:$F$114)</f>
        <v>0</v>
      </c>
      <c r="F182" s="161">
        <f>SUMIF(Lanç!$C$115:$C$6504,C182,Lanç!$F$115:$F$6504)</f>
        <v>0</v>
      </c>
      <c r="G182" s="161">
        <f>SUMIF(Lanç!$C$115:$C$6504,C182,Lanç!$G$115:$G$6504)</f>
        <v>0</v>
      </c>
      <c r="H182" s="162">
        <f t="shared" si="10"/>
        <v>0</v>
      </c>
      <c r="I182" s="162">
        <f t="shared" si="11"/>
        <v>0</v>
      </c>
    </row>
    <row r="183" spans="1:14" hidden="1">
      <c r="A183" s="151">
        <f t="shared" si="9"/>
        <v>1</v>
      </c>
      <c r="B183" s="151" t="s">
        <v>206</v>
      </c>
      <c r="C183" s="159">
        <v>2113228</v>
      </c>
      <c r="D183" s="160" t="s">
        <v>326</v>
      </c>
      <c r="E183" s="161">
        <f>SUMIF(Lanç!$C$3:$C$114,C183,Lanç!$F$3:$F$114)</f>
        <v>0</v>
      </c>
      <c r="F183" s="161">
        <f>SUMIF(Lanç!$C$115:$C$6504,C183,Lanç!$F$115:$F$6504)</f>
        <v>0</v>
      </c>
      <c r="G183" s="161">
        <f>SUMIF(Lanç!$C$115:$C$6504,C183,Lanç!$G$115:$G$6504)</f>
        <v>0</v>
      </c>
      <c r="H183" s="162">
        <f t="shared" si="10"/>
        <v>0</v>
      </c>
      <c r="I183" s="162">
        <f t="shared" si="11"/>
        <v>0</v>
      </c>
    </row>
    <row r="184" spans="1:14" hidden="1">
      <c r="A184" s="151">
        <f t="shared" si="9"/>
        <v>1</v>
      </c>
      <c r="B184" s="155" t="s">
        <v>204</v>
      </c>
      <c r="C184" s="156">
        <v>2114</v>
      </c>
      <c r="D184" s="157" t="s">
        <v>327</v>
      </c>
      <c r="E184" s="158">
        <f>SUM(E185,E188)</f>
        <v>0</v>
      </c>
      <c r="F184" s="158">
        <f>SUM(F185,F188)</f>
        <v>0</v>
      </c>
      <c r="G184" s="158">
        <f>SUM(G185,G188)</f>
        <v>0</v>
      </c>
      <c r="H184" s="154">
        <f t="shared" si="10"/>
        <v>0</v>
      </c>
      <c r="I184" s="154">
        <f t="shared" si="11"/>
        <v>0</v>
      </c>
      <c r="J184" s="1"/>
      <c r="K184" s="1"/>
      <c r="L184" s="1"/>
      <c r="M184" s="1"/>
      <c r="N184" s="1"/>
    </row>
    <row r="185" spans="1:14" hidden="1">
      <c r="A185" s="151">
        <f t="shared" si="9"/>
        <v>1</v>
      </c>
      <c r="B185" s="155" t="s">
        <v>204</v>
      </c>
      <c r="C185" s="156">
        <v>21141</v>
      </c>
      <c r="D185" s="157" t="s">
        <v>328</v>
      </c>
      <c r="E185" s="158">
        <f>SUM(E186:E187)</f>
        <v>0</v>
      </c>
      <c r="F185" s="158">
        <f>SUM(F186:F187)</f>
        <v>0</v>
      </c>
      <c r="G185" s="158">
        <f>SUM(G186:G187)</f>
        <v>0</v>
      </c>
      <c r="H185" s="154">
        <f t="shared" si="10"/>
        <v>0</v>
      </c>
      <c r="I185" s="154">
        <f t="shared" si="11"/>
        <v>0</v>
      </c>
      <c r="J185" s="1"/>
      <c r="K185" s="1"/>
      <c r="L185" s="1"/>
      <c r="M185" s="1"/>
      <c r="N185" s="1"/>
    </row>
    <row r="186" spans="1:14" hidden="1">
      <c r="A186" s="151">
        <f t="shared" si="9"/>
        <v>1</v>
      </c>
      <c r="B186" s="151" t="s">
        <v>206</v>
      </c>
      <c r="C186" s="159">
        <v>211411</v>
      </c>
      <c r="D186" s="160" t="s">
        <v>329</v>
      </c>
      <c r="E186" s="161">
        <f>SUMIF(Lanç!$C$3:$C$114,C186,Lanç!$F$3:$F$114)</f>
        <v>0</v>
      </c>
      <c r="F186" s="161">
        <f>SUMIF(Lanç!$C$115:$C$6504,C186,Lanç!$F$115:$F$6504)</f>
        <v>0</v>
      </c>
      <c r="G186" s="161">
        <f>SUMIF(Lanç!$C$115:$C$6504,C186,Lanç!$G$115:$G$6504)</f>
        <v>0</v>
      </c>
      <c r="H186" s="162">
        <f t="shared" si="10"/>
        <v>0</v>
      </c>
      <c r="I186" s="162">
        <f t="shared" si="11"/>
        <v>0</v>
      </c>
    </row>
    <row r="187" spans="1:14" hidden="1">
      <c r="A187" s="151">
        <f t="shared" si="9"/>
        <v>1</v>
      </c>
      <c r="B187" s="151" t="s">
        <v>206</v>
      </c>
      <c r="C187" s="159">
        <v>211418</v>
      </c>
      <c r="D187" s="160" t="s">
        <v>330</v>
      </c>
      <c r="E187" s="161">
        <f>SUMIF(Lanç!$C$3:$C$114,C187,Lanç!$F$3:$F$114)</f>
        <v>0</v>
      </c>
      <c r="F187" s="161">
        <f>SUMIF(Lanç!$C$115:$C$6504,C187,Lanç!$F$115:$F$6504)</f>
        <v>0</v>
      </c>
      <c r="G187" s="161">
        <f>SUMIF(Lanç!$C$115:$C$6504,C187,Lanç!$G$115:$G$6504)</f>
        <v>0</v>
      </c>
      <c r="H187" s="162">
        <f t="shared" si="10"/>
        <v>0</v>
      </c>
      <c r="I187" s="162">
        <f t="shared" si="11"/>
        <v>0</v>
      </c>
    </row>
    <row r="188" spans="1:14" hidden="1">
      <c r="A188" s="151">
        <f t="shared" si="9"/>
        <v>1</v>
      </c>
      <c r="B188" s="155" t="s">
        <v>204</v>
      </c>
      <c r="C188" s="156">
        <v>21142</v>
      </c>
      <c r="D188" s="157" t="s">
        <v>331</v>
      </c>
      <c r="E188" s="158">
        <f>SUM(E189,E192)</f>
        <v>0</v>
      </c>
      <c r="F188" s="158">
        <f>SUM(F189,F192)</f>
        <v>0</v>
      </c>
      <c r="G188" s="158">
        <f>SUM(G189,G192)</f>
        <v>0</v>
      </c>
      <c r="H188" s="154">
        <f t="shared" si="10"/>
        <v>0</v>
      </c>
      <c r="I188" s="154">
        <f t="shared" si="11"/>
        <v>0</v>
      </c>
      <c r="J188" s="1"/>
      <c r="K188" s="1"/>
      <c r="L188" s="1"/>
      <c r="M188" s="1"/>
      <c r="N188" s="1"/>
    </row>
    <row r="189" spans="1:14" hidden="1">
      <c r="A189" s="151">
        <f t="shared" si="9"/>
        <v>1</v>
      </c>
      <c r="B189" s="155" t="s">
        <v>204</v>
      </c>
      <c r="C189" s="156">
        <v>211421</v>
      </c>
      <c r="D189" s="157" t="s">
        <v>332</v>
      </c>
      <c r="E189" s="158">
        <f>SUM(E190:E191)</f>
        <v>0</v>
      </c>
      <c r="F189" s="158">
        <f>SUM(F190:F191)</f>
        <v>0</v>
      </c>
      <c r="G189" s="158">
        <f>SUM(G190:G191)</f>
        <v>0</v>
      </c>
      <c r="H189" s="154">
        <f t="shared" si="10"/>
        <v>0</v>
      </c>
      <c r="I189" s="154">
        <f t="shared" si="11"/>
        <v>0</v>
      </c>
    </row>
    <row r="190" spans="1:14" hidden="1">
      <c r="A190" s="151">
        <f t="shared" si="9"/>
        <v>1</v>
      </c>
      <c r="B190" s="151" t="s">
        <v>206</v>
      </c>
      <c r="C190" s="159">
        <v>2114211</v>
      </c>
      <c r="D190" s="160" t="s">
        <v>333</v>
      </c>
      <c r="E190" s="161">
        <f>SUMIF(Lanç!$C$3:$C$114,C190,Lanç!$F$3:$F$114)</f>
        <v>0</v>
      </c>
      <c r="F190" s="161">
        <f>SUMIF(Lanç!$C$115:$C$6504,C190,Lanç!$F$115:$F$6504)</f>
        <v>0</v>
      </c>
      <c r="G190" s="161">
        <f>SUMIF(Lanç!$C$115:$C$6504,C190,Lanç!$G$115:$G$6504)</f>
        <v>0</v>
      </c>
      <c r="H190" s="162">
        <f t="shared" si="10"/>
        <v>0</v>
      </c>
      <c r="I190" s="162">
        <f t="shared" si="11"/>
        <v>0</v>
      </c>
    </row>
    <row r="191" spans="1:14" hidden="1">
      <c r="A191" s="151">
        <f t="shared" si="9"/>
        <v>1</v>
      </c>
      <c r="B191" s="151" t="s">
        <v>206</v>
      </c>
      <c r="C191" s="159">
        <v>2114218</v>
      </c>
      <c r="D191" s="160" t="s">
        <v>334</v>
      </c>
      <c r="E191" s="161">
        <f>SUMIF(Lanç!$C$3:$C$114,C191,Lanç!$F$3:$F$114)</f>
        <v>0</v>
      </c>
      <c r="F191" s="161">
        <f>SUMIF(Lanç!$C$115:$C$6504,C191,Lanç!$F$115:$F$6504)</f>
        <v>0</v>
      </c>
      <c r="G191" s="161">
        <f>SUMIF(Lanç!$C$115:$C$6504,C191,Lanç!$G$115:$G$6504)</f>
        <v>0</v>
      </c>
      <c r="H191" s="162">
        <f t="shared" si="10"/>
        <v>0</v>
      </c>
      <c r="I191" s="162">
        <f t="shared" si="11"/>
        <v>0</v>
      </c>
    </row>
    <row r="192" spans="1:14" hidden="1">
      <c r="A192" s="151">
        <f t="shared" si="9"/>
        <v>1</v>
      </c>
      <c r="B192" s="155" t="s">
        <v>204</v>
      </c>
      <c r="C192" s="156">
        <v>211422</v>
      </c>
      <c r="D192" s="157" t="s">
        <v>335</v>
      </c>
      <c r="E192" s="158">
        <f>SUM(E193:E194)</f>
        <v>0</v>
      </c>
      <c r="F192" s="158">
        <f>SUM(F193:F194)</f>
        <v>0</v>
      </c>
      <c r="G192" s="158">
        <f>SUM(G193:G194)</f>
        <v>0</v>
      </c>
      <c r="H192" s="154">
        <f t="shared" si="10"/>
        <v>0</v>
      </c>
      <c r="I192" s="154">
        <f t="shared" si="11"/>
        <v>0</v>
      </c>
      <c r="J192" s="1"/>
      <c r="K192" s="1"/>
      <c r="L192" s="1"/>
      <c r="M192" s="1"/>
      <c r="N192" s="1"/>
    </row>
    <row r="193" spans="1:14" hidden="1">
      <c r="A193" s="151">
        <f t="shared" si="9"/>
        <v>1</v>
      </c>
      <c r="B193" s="151" t="s">
        <v>206</v>
      </c>
      <c r="C193" s="159">
        <v>2114221</v>
      </c>
      <c r="D193" s="160" t="s">
        <v>336</v>
      </c>
      <c r="E193" s="161">
        <f>SUMIF(Lanç!$C$3:$C$114,C193,Lanç!$F$3:$F$114)</f>
        <v>0</v>
      </c>
      <c r="F193" s="161">
        <f>SUMIF(Lanç!$C$115:$C$6504,C193,Lanç!$F$115:$F$6504)</f>
        <v>0</v>
      </c>
      <c r="G193" s="161">
        <f>SUMIF(Lanç!$C$115:$C$6504,C193,Lanç!$G$115:$G$6504)</f>
        <v>0</v>
      </c>
      <c r="H193" s="162">
        <f t="shared" si="10"/>
        <v>0</v>
      </c>
      <c r="I193" s="162">
        <f t="shared" si="11"/>
        <v>0</v>
      </c>
    </row>
    <row r="194" spans="1:14" hidden="1">
      <c r="A194" s="151">
        <f t="shared" si="9"/>
        <v>1</v>
      </c>
      <c r="B194" s="151" t="s">
        <v>206</v>
      </c>
      <c r="C194" s="159">
        <v>2114228</v>
      </c>
      <c r="D194" s="160" t="s">
        <v>337</v>
      </c>
      <c r="E194" s="161">
        <f>SUMIF(Lanç!$C$3:$C$114,C194,Lanç!$F$3:$F$114)</f>
        <v>0</v>
      </c>
      <c r="F194" s="161">
        <f>SUMIF(Lanç!$C$115:$C$6504,C194,Lanç!$F$115:$F$6504)</f>
        <v>0</v>
      </c>
      <c r="G194" s="161">
        <f>SUMIF(Lanç!$C$115:$C$6504,C194,Lanç!$G$115:$G$6504)</f>
        <v>0</v>
      </c>
      <c r="H194" s="162">
        <f t="shared" si="10"/>
        <v>0</v>
      </c>
      <c r="I194" s="162">
        <f t="shared" si="11"/>
        <v>0</v>
      </c>
    </row>
    <row r="195" spans="1:14" hidden="1">
      <c r="A195" s="151">
        <f t="shared" si="9"/>
        <v>1</v>
      </c>
      <c r="B195" s="155" t="s">
        <v>204</v>
      </c>
      <c r="C195" s="156">
        <v>2115</v>
      </c>
      <c r="D195" s="157" t="s">
        <v>338</v>
      </c>
      <c r="E195" s="158">
        <f>SUM(E196,E199)</f>
        <v>0</v>
      </c>
      <c r="F195" s="158">
        <f>SUM(F196,F199)</f>
        <v>0</v>
      </c>
      <c r="G195" s="158">
        <f>SUM(G196,G199)</f>
        <v>0</v>
      </c>
      <c r="H195" s="154">
        <f t="shared" si="10"/>
        <v>0</v>
      </c>
      <c r="I195" s="154">
        <f t="shared" si="11"/>
        <v>0</v>
      </c>
      <c r="J195" s="1"/>
      <c r="K195" s="1"/>
      <c r="L195" s="1"/>
      <c r="M195" s="1"/>
      <c r="N195" s="1"/>
    </row>
    <row r="196" spans="1:14" hidden="1">
      <c r="A196" s="151">
        <f t="shared" si="9"/>
        <v>1</v>
      </c>
      <c r="B196" s="155" t="s">
        <v>204</v>
      </c>
      <c r="C196" s="156">
        <v>21151</v>
      </c>
      <c r="D196" s="157" t="s">
        <v>339</v>
      </c>
      <c r="E196" s="158">
        <f>SUM(E197:E198)</f>
        <v>0</v>
      </c>
      <c r="F196" s="158">
        <f>SUM(F197:F198)</f>
        <v>0</v>
      </c>
      <c r="G196" s="158">
        <f>SUM(G197:G198)</f>
        <v>0</v>
      </c>
      <c r="H196" s="154">
        <f t="shared" si="10"/>
        <v>0</v>
      </c>
      <c r="I196" s="154">
        <f t="shared" si="11"/>
        <v>0</v>
      </c>
      <c r="J196" s="1"/>
      <c r="K196" s="1"/>
      <c r="L196" s="1"/>
      <c r="M196" s="1"/>
      <c r="N196" s="1"/>
    </row>
    <row r="197" spans="1:14" hidden="1">
      <c r="A197" s="151">
        <f t="shared" si="9"/>
        <v>1</v>
      </c>
      <c r="B197" s="151" t="s">
        <v>206</v>
      </c>
      <c r="C197" s="159">
        <v>211511</v>
      </c>
      <c r="D197" s="160" t="s">
        <v>340</v>
      </c>
      <c r="E197" s="161">
        <f>SUMIF(Lanç!$C$3:$C$114,C197,Lanç!$F$3:$F$114)</f>
        <v>0</v>
      </c>
      <c r="F197" s="161">
        <f>SUMIF(Lanç!$C$115:$C$6504,C197,Lanç!$F$115:$F$6504)</f>
        <v>0</v>
      </c>
      <c r="G197" s="161">
        <f>SUMIF(Lanç!$C$115:$C$6504,C197,Lanç!$G$115:$G$6504)</f>
        <v>0</v>
      </c>
      <c r="H197" s="162">
        <f t="shared" si="10"/>
        <v>0</v>
      </c>
      <c r="I197" s="162">
        <f t="shared" si="11"/>
        <v>0</v>
      </c>
    </row>
    <row r="198" spans="1:14" hidden="1">
      <c r="A198" s="151">
        <f t="shared" ref="A198:A261" si="12">IF(E198+F198+G198+H198+I198=0,1,0)</f>
        <v>1</v>
      </c>
      <c r="B198" s="151" t="s">
        <v>206</v>
      </c>
      <c r="C198" s="159">
        <v>211518</v>
      </c>
      <c r="D198" s="160" t="s">
        <v>341</v>
      </c>
      <c r="E198" s="161">
        <f>SUMIF(Lanç!$C$3:$C$114,C198,Lanç!$F$3:$F$114)</f>
        <v>0</v>
      </c>
      <c r="F198" s="161">
        <f>SUMIF(Lanç!$C$115:$C$6504,C198,Lanç!$F$115:$F$6504)</f>
        <v>0</v>
      </c>
      <c r="G198" s="161">
        <f>SUMIF(Lanç!$C$115:$C$6504,C198,Lanç!$G$115:$G$6504)</f>
        <v>0</v>
      </c>
      <c r="H198" s="162">
        <f t="shared" ref="H198:H261" si="13">(F198)-(G198)</f>
        <v>0</v>
      </c>
      <c r="I198" s="162">
        <f t="shared" ref="I198:I261" si="14">(E198)+(H198)</f>
        <v>0</v>
      </c>
    </row>
    <row r="199" spans="1:14" hidden="1">
      <c r="A199" s="151">
        <f t="shared" si="12"/>
        <v>1</v>
      </c>
      <c r="B199" s="155" t="s">
        <v>204</v>
      </c>
      <c r="C199" s="156">
        <v>21152</v>
      </c>
      <c r="D199" s="157" t="s">
        <v>342</v>
      </c>
      <c r="E199" s="158">
        <f>SUM(E200,E203)</f>
        <v>0</v>
      </c>
      <c r="F199" s="158">
        <f>SUM(F200,F203)</f>
        <v>0</v>
      </c>
      <c r="G199" s="158">
        <f>SUM(G200,G203)</f>
        <v>0</v>
      </c>
      <c r="H199" s="154">
        <f t="shared" si="13"/>
        <v>0</v>
      </c>
      <c r="I199" s="154">
        <f t="shared" si="14"/>
        <v>0</v>
      </c>
      <c r="J199" s="1"/>
      <c r="K199" s="1"/>
      <c r="L199" s="1"/>
      <c r="M199" s="1"/>
      <c r="N199" s="1"/>
    </row>
    <row r="200" spans="1:14" hidden="1">
      <c r="A200" s="151">
        <f t="shared" si="12"/>
        <v>1</v>
      </c>
      <c r="B200" s="155" t="s">
        <v>204</v>
      </c>
      <c r="C200" s="156">
        <v>211521</v>
      </c>
      <c r="D200" s="157" t="s">
        <v>343</v>
      </c>
      <c r="E200" s="158">
        <f>SUM(E201:E202)</f>
        <v>0</v>
      </c>
      <c r="F200" s="158">
        <f>SUM(F201:F202)</f>
        <v>0</v>
      </c>
      <c r="G200" s="158">
        <f>SUM(G201:G202)</f>
        <v>0</v>
      </c>
      <c r="H200" s="154">
        <f t="shared" si="13"/>
        <v>0</v>
      </c>
      <c r="I200" s="154">
        <f t="shared" si="14"/>
        <v>0</v>
      </c>
    </row>
    <row r="201" spans="1:14" hidden="1">
      <c r="A201" s="151">
        <f t="shared" si="12"/>
        <v>1</v>
      </c>
      <c r="B201" s="151" t="s">
        <v>206</v>
      </c>
      <c r="C201" s="159">
        <v>2115211</v>
      </c>
      <c r="D201" s="160" t="s">
        <v>344</v>
      </c>
      <c r="E201" s="161">
        <f>SUMIF(Lanç!$C$3:$C$114,C201,Lanç!$F$3:$F$114)</f>
        <v>0</v>
      </c>
      <c r="F201" s="161">
        <f>SUMIF(Lanç!$C$115:$C$6504,C201,Lanç!$F$115:$F$6504)</f>
        <v>0</v>
      </c>
      <c r="G201" s="161">
        <f>SUMIF(Lanç!$C$115:$C$6504,C201,Lanç!$G$115:$G$6504)</f>
        <v>0</v>
      </c>
      <c r="H201" s="162">
        <f t="shared" si="13"/>
        <v>0</v>
      </c>
      <c r="I201" s="162">
        <f t="shared" si="14"/>
        <v>0</v>
      </c>
    </row>
    <row r="202" spans="1:14" hidden="1">
      <c r="A202" s="151">
        <f t="shared" si="12"/>
        <v>1</v>
      </c>
      <c r="B202" s="151" t="s">
        <v>206</v>
      </c>
      <c r="C202" s="159">
        <v>2115218</v>
      </c>
      <c r="D202" s="160" t="s">
        <v>345</v>
      </c>
      <c r="E202" s="161">
        <f>SUMIF(Lanç!$C$3:$C$114,C202,Lanç!$F$3:$F$114)</f>
        <v>0</v>
      </c>
      <c r="F202" s="161">
        <f>SUMIF(Lanç!$C$115:$C$6504,C202,Lanç!$F$115:$F$6504)</f>
        <v>0</v>
      </c>
      <c r="G202" s="161">
        <f>SUMIF(Lanç!$C$115:$C$6504,C202,Lanç!$G$115:$G$6504)</f>
        <v>0</v>
      </c>
      <c r="H202" s="162">
        <f t="shared" si="13"/>
        <v>0</v>
      </c>
      <c r="I202" s="162">
        <f t="shared" si="14"/>
        <v>0</v>
      </c>
    </row>
    <row r="203" spans="1:14" hidden="1">
      <c r="A203" s="151">
        <f t="shared" si="12"/>
        <v>1</v>
      </c>
      <c r="B203" s="155" t="s">
        <v>204</v>
      </c>
      <c r="C203" s="156">
        <v>211522</v>
      </c>
      <c r="D203" s="157" t="s">
        <v>346</v>
      </c>
      <c r="E203" s="158">
        <f>SUM(E204:E205)</f>
        <v>0</v>
      </c>
      <c r="F203" s="158">
        <f>SUM(F204:F205)</f>
        <v>0</v>
      </c>
      <c r="G203" s="158">
        <f>SUM(G204:G205)</f>
        <v>0</v>
      </c>
      <c r="H203" s="154">
        <f t="shared" si="13"/>
        <v>0</v>
      </c>
      <c r="I203" s="154">
        <f t="shared" si="14"/>
        <v>0</v>
      </c>
      <c r="J203" s="1"/>
      <c r="K203" s="1"/>
      <c r="L203" s="1"/>
      <c r="M203" s="1"/>
      <c r="N203" s="1"/>
    </row>
    <row r="204" spans="1:14" hidden="1">
      <c r="A204" s="151">
        <f t="shared" si="12"/>
        <v>1</v>
      </c>
      <c r="B204" s="151" t="s">
        <v>206</v>
      </c>
      <c r="C204" s="159">
        <v>2115221</v>
      </c>
      <c r="D204" s="160" t="s">
        <v>347</v>
      </c>
      <c r="E204" s="161">
        <f>SUMIF(Lanç!$C$3:$C$114,C204,Lanç!$F$3:$F$114)</f>
        <v>0</v>
      </c>
      <c r="F204" s="161">
        <f>SUMIF(Lanç!$C$115:$C$6504,C204,Lanç!$F$115:$F$6504)</f>
        <v>0</v>
      </c>
      <c r="G204" s="161">
        <f>SUMIF(Lanç!$C$115:$C$6504,C204,Lanç!$G$115:$G$6504)</f>
        <v>0</v>
      </c>
      <c r="H204" s="162">
        <f t="shared" si="13"/>
        <v>0</v>
      </c>
      <c r="I204" s="162">
        <f t="shared" si="14"/>
        <v>0</v>
      </c>
    </row>
    <row r="205" spans="1:14" hidden="1">
      <c r="A205" s="151">
        <f t="shared" si="12"/>
        <v>1</v>
      </c>
      <c r="B205" s="151" t="s">
        <v>206</v>
      </c>
      <c r="C205" s="159">
        <v>2115228</v>
      </c>
      <c r="D205" s="160" t="s">
        <v>348</v>
      </c>
      <c r="E205" s="161">
        <f>SUMIF(Lanç!$C$3:$C$114,C205,Lanç!$F$3:$F$114)</f>
        <v>0</v>
      </c>
      <c r="F205" s="161">
        <f>SUMIF(Lanç!$C$115:$C$6504,C205,Lanç!$F$115:$F$6504)</f>
        <v>0</v>
      </c>
      <c r="G205" s="161">
        <f>SUMIF(Lanç!$C$115:$C$6504,C205,Lanç!$G$115:$G$6504)</f>
        <v>0</v>
      </c>
      <c r="H205" s="162">
        <f t="shared" si="13"/>
        <v>0</v>
      </c>
      <c r="I205" s="162">
        <f t="shared" si="14"/>
        <v>0</v>
      </c>
    </row>
    <row r="206" spans="1:14" hidden="1">
      <c r="A206" s="151">
        <f t="shared" si="12"/>
        <v>1</v>
      </c>
      <c r="B206" s="155" t="s">
        <v>204</v>
      </c>
      <c r="C206" s="156">
        <v>212</v>
      </c>
      <c r="D206" s="157" t="s">
        <v>349</v>
      </c>
      <c r="E206" s="158">
        <f>SUM(E207)</f>
        <v>0</v>
      </c>
      <c r="F206" s="158">
        <f>SUM(F207)</f>
        <v>0</v>
      </c>
      <c r="G206" s="158">
        <f>SUM(G207)</f>
        <v>0</v>
      </c>
      <c r="H206" s="154">
        <f t="shared" si="13"/>
        <v>0</v>
      </c>
      <c r="I206" s="154">
        <f t="shared" si="14"/>
        <v>0</v>
      </c>
      <c r="J206" s="1"/>
      <c r="K206" s="1"/>
      <c r="L206" s="1"/>
      <c r="M206" s="1"/>
      <c r="N206" s="1"/>
    </row>
    <row r="207" spans="1:14" hidden="1">
      <c r="A207" s="151">
        <f t="shared" si="12"/>
        <v>1</v>
      </c>
      <c r="B207" s="155" t="s">
        <v>204</v>
      </c>
      <c r="C207" s="156">
        <v>2121</v>
      </c>
      <c r="D207" s="157" t="s">
        <v>349</v>
      </c>
      <c r="E207" s="158">
        <f>SUM(E208,E212)</f>
        <v>0</v>
      </c>
      <c r="F207" s="158">
        <f>SUM(F208,F212)</f>
        <v>0</v>
      </c>
      <c r="G207" s="158">
        <f>SUM(G208,G212)</f>
        <v>0</v>
      </c>
      <c r="H207" s="154">
        <f t="shared" si="13"/>
        <v>0</v>
      </c>
      <c r="I207" s="154">
        <f t="shared" si="14"/>
        <v>0</v>
      </c>
      <c r="J207" s="1"/>
      <c r="K207" s="1"/>
      <c r="L207" s="1"/>
      <c r="M207" s="1"/>
      <c r="N207" s="1"/>
    </row>
    <row r="208" spans="1:14" hidden="1">
      <c r="A208" s="151">
        <f t="shared" si="12"/>
        <v>1</v>
      </c>
      <c r="B208" s="155" t="s">
        <v>204</v>
      </c>
      <c r="C208" s="156">
        <v>21211</v>
      </c>
      <c r="D208" s="157" t="s">
        <v>350</v>
      </c>
      <c r="E208" s="158">
        <f>SUM(E209:E211)</f>
        <v>0</v>
      </c>
      <c r="F208" s="158">
        <f>SUM(F209:F211)</f>
        <v>0</v>
      </c>
      <c r="G208" s="158">
        <f>SUM(G209:G211)</f>
        <v>0</v>
      </c>
      <c r="H208" s="154">
        <f t="shared" si="13"/>
        <v>0</v>
      </c>
      <c r="I208" s="154">
        <f t="shared" si="14"/>
        <v>0</v>
      </c>
      <c r="J208" s="1"/>
      <c r="K208" s="1"/>
      <c r="L208" s="1"/>
      <c r="M208" s="1"/>
      <c r="N208" s="1"/>
    </row>
    <row r="209" spans="1:14" hidden="1">
      <c r="A209" s="151">
        <f t="shared" si="12"/>
        <v>1</v>
      </c>
      <c r="B209" s="151" t="s">
        <v>206</v>
      </c>
      <c r="C209" s="159">
        <v>212111</v>
      </c>
      <c r="D209" s="160" t="s">
        <v>351</v>
      </c>
      <c r="E209" s="161">
        <f>SUMIF(Lanç!$C$3:$C$114,C209,Lanç!$F$3:$F$114)</f>
        <v>0</v>
      </c>
      <c r="F209" s="161">
        <f>SUMIF(Lanç!$C$115:$C$6504,C209,Lanç!$F$115:$F$6504)</f>
        <v>0</v>
      </c>
      <c r="G209" s="161">
        <f>SUMIF(Lanç!$C$115:$C$6504,C209,Lanç!$G$115:$G$6504)</f>
        <v>0</v>
      </c>
      <c r="H209" s="162">
        <f t="shared" si="13"/>
        <v>0</v>
      </c>
      <c r="I209" s="162">
        <f t="shared" si="14"/>
        <v>0</v>
      </c>
    </row>
    <row r="210" spans="1:14" hidden="1">
      <c r="A210" s="151">
        <f t="shared" si="12"/>
        <v>1</v>
      </c>
      <c r="B210" s="151" t="s">
        <v>206</v>
      </c>
      <c r="C210" s="159">
        <v>212112</v>
      </c>
      <c r="D210" s="160"/>
      <c r="E210" s="161">
        <f>SUMIF(Lanç!$C$3:$C$114,C210,Lanç!$F$3:$F$114)</f>
        <v>0</v>
      </c>
      <c r="F210" s="161">
        <f>SUMIF(Lanç!$C$115:$C$6504,C210,Lanç!$F$115:$F$6504)</f>
        <v>0</v>
      </c>
      <c r="G210" s="161">
        <f>SUMIF(Lanç!$C$115:$C$6504,C210,Lanç!$G$115:$G$6504)</f>
        <v>0</v>
      </c>
      <c r="H210" s="162">
        <f t="shared" si="13"/>
        <v>0</v>
      </c>
      <c r="I210" s="162">
        <f t="shared" si="14"/>
        <v>0</v>
      </c>
    </row>
    <row r="211" spans="1:14" hidden="1">
      <c r="A211" s="151">
        <f t="shared" si="12"/>
        <v>1</v>
      </c>
      <c r="B211" s="151" t="s">
        <v>206</v>
      </c>
      <c r="C211" s="159">
        <v>212118</v>
      </c>
      <c r="D211" s="160" t="s">
        <v>352</v>
      </c>
      <c r="E211" s="161">
        <f>SUMIF(Lanç!$C$3:$C$114,C211,Lanç!$F$3:$F$114)</f>
        <v>0</v>
      </c>
      <c r="F211" s="161">
        <f>SUMIF(Lanç!$C$115:$C$6504,C211,Lanç!$F$115:$F$6504)</f>
        <v>0</v>
      </c>
      <c r="G211" s="161">
        <f>SUMIF(Lanç!$C$115:$C$6504,C211,Lanç!$G$115:$G$6504)</f>
        <v>0</v>
      </c>
      <c r="H211" s="162">
        <f t="shared" si="13"/>
        <v>0</v>
      </c>
      <c r="I211" s="162">
        <f t="shared" si="14"/>
        <v>0</v>
      </c>
    </row>
    <row r="212" spans="1:14" hidden="1">
      <c r="A212" s="151">
        <f t="shared" si="12"/>
        <v>1</v>
      </c>
      <c r="B212" s="155" t="s">
        <v>204</v>
      </c>
      <c r="C212" s="156">
        <v>21212</v>
      </c>
      <c r="D212" s="157" t="s">
        <v>353</v>
      </c>
      <c r="E212" s="158">
        <f>SUM(E213,E216)</f>
        <v>0</v>
      </c>
      <c r="F212" s="158">
        <f>SUM(F213,F216)</f>
        <v>0</v>
      </c>
      <c r="G212" s="158">
        <f>SUM(G213,G216)</f>
        <v>0</v>
      </c>
      <c r="H212" s="154">
        <f t="shared" si="13"/>
        <v>0</v>
      </c>
      <c r="I212" s="154">
        <f t="shared" si="14"/>
        <v>0</v>
      </c>
      <c r="J212" s="1"/>
      <c r="K212" s="1"/>
      <c r="L212" s="1"/>
      <c r="M212" s="1"/>
      <c r="N212" s="1"/>
    </row>
    <row r="213" spans="1:14" hidden="1">
      <c r="A213" s="151">
        <f t="shared" si="12"/>
        <v>1</v>
      </c>
      <c r="B213" s="155" t="s">
        <v>204</v>
      </c>
      <c r="C213" s="156">
        <v>212121</v>
      </c>
      <c r="D213" s="157" t="s">
        <v>354</v>
      </c>
      <c r="E213" s="158">
        <f>SUM(E214:E215)</f>
        <v>0</v>
      </c>
      <c r="F213" s="158">
        <f>SUM(F214:F215)</f>
        <v>0</v>
      </c>
      <c r="G213" s="158">
        <f>SUM(G214:G215)</f>
        <v>0</v>
      </c>
      <c r="H213" s="154">
        <f t="shared" si="13"/>
        <v>0</v>
      </c>
      <c r="I213" s="154">
        <f t="shared" si="14"/>
        <v>0</v>
      </c>
    </row>
    <row r="214" spans="1:14" hidden="1">
      <c r="A214" s="151">
        <f t="shared" si="12"/>
        <v>1</v>
      </c>
      <c r="B214" s="151" t="s">
        <v>206</v>
      </c>
      <c r="C214" s="159">
        <v>2121211</v>
      </c>
      <c r="D214" s="160" t="s">
        <v>355</v>
      </c>
      <c r="E214" s="161">
        <f>SUMIF(Lanç!$C$3:$C$114,C214,Lanç!$F$3:$F$114)</f>
        <v>0</v>
      </c>
      <c r="F214" s="161">
        <f>SUMIF(Lanç!$C$115:$C$6504,C214,Lanç!$F$115:$F$6504)</f>
        <v>0</v>
      </c>
      <c r="G214" s="161">
        <f>SUMIF(Lanç!$C$115:$C$6504,C214,Lanç!$G$115:$G$6504)</f>
        <v>0</v>
      </c>
      <c r="H214" s="162">
        <f t="shared" si="13"/>
        <v>0</v>
      </c>
      <c r="I214" s="162">
        <f t="shared" si="14"/>
        <v>0</v>
      </c>
    </row>
    <row r="215" spans="1:14" hidden="1">
      <c r="A215" s="151">
        <f t="shared" si="12"/>
        <v>1</v>
      </c>
      <c r="B215" s="151" t="s">
        <v>206</v>
      </c>
      <c r="C215" s="159">
        <v>2121218</v>
      </c>
      <c r="D215" s="160" t="s">
        <v>356</v>
      </c>
      <c r="E215" s="161">
        <f>SUMIF(Lanç!$C$3:$C$114,C215,Lanç!$F$3:$F$114)</f>
        <v>0</v>
      </c>
      <c r="F215" s="161">
        <f>SUMIF(Lanç!$C$115:$C$6504,C215,Lanç!$F$115:$F$6504)</f>
        <v>0</v>
      </c>
      <c r="G215" s="161">
        <f>SUMIF(Lanç!$C$115:$C$6504,C215,Lanç!$G$115:$G$6504)</f>
        <v>0</v>
      </c>
      <c r="H215" s="162">
        <f t="shared" si="13"/>
        <v>0</v>
      </c>
      <c r="I215" s="162">
        <f t="shared" si="14"/>
        <v>0</v>
      </c>
    </row>
    <row r="216" spans="1:14" hidden="1">
      <c r="A216" s="151">
        <f t="shared" si="12"/>
        <v>1</v>
      </c>
      <c r="B216" s="155" t="s">
        <v>204</v>
      </c>
      <c r="C216" s="156">
        <v>212122</v>
      </c>
      <c r="D216" s="157" t="s">
        <v>357</v>
      </c>
      <c r="E216" s="158">
        <f>SUM(E217:E218)</f>
        <v>0</v>
      </c>
      <c r="F216" s="158">
        <f>SUM(F217:F218)</f>
        <v>0</v>
      </c>
      <c r="G216" s="158">
        <f>SUM(G217:G218)</f>
        <v>0</v>
      </c>
      <c r="H216" s="154">
        <f t="shared" si="13"/>
        <v>0</v>
      </c>
      <c r="I216" s="154">
        <f t="shared" si="14"/>
        <v>0</v>
      </c>
      <c r="J216" s="1"/>
      <c r="K216" s="1"/>
      <c r="L216" s="1"/>
      <c r="M216" s="1"/>
      <c r="N216" s="1"/>
    </row>
    <row r="217" spans="1:14" hidden="1">
      <c r="A217" s="151">
        <f t="shared" si="12"/>
        <v>1</v>
      </c>
      <c r="B217" s="151" t="s">
        <v>206</v>
      </c>
      <c r="C217" s="159">
        <v>2121221</v>
      </c>
      <c r="D217" s="160" t="s">
        <v>358</v>
      </c>
      <c r="E217" s="161">
        <f>SUMIF(Lanç!$C$3:$C$114,C217,Lanç!$F$3:$F$114)</f>
        <v>0</v>
      </c>
      <c r="F217" s="161">
        <f>SUMIF(Lanç!$C$115:$C$6504,C217,Lanç!$F$115:$F$6504)</f>
        <v>0</v>
      </c>
      <c r="G217" s="161">
        <f>SUMIF(Lanç!$C$115:$C$6504,C217,Lanç!$G$115:$G$6504)</f>
        <v>0</v>
      </c>
      <c r="H217" s="162">
        <f t="shared" si="13"/>
        <v>0</v>
      </c>
      <c r="I217" s="162">
        <f t="shared" si="14"/>
        <v>0</v>
      </c>
    </row>
    <row r="218" spans="1:14" hidden="1">
      <c r="A218" s="151">
        <f t="shared" si="12"/>
        <v>1</v>
      </c>
      <c r="B218" s="151" t="s">
        <v>206</v>
      </c>
      <c r="C218" s="159">
        <v>2121228</v>
      </c>
      <c r="D218" s="160" t="s">
        <v>359</v>
      </c>
      <c r="E218" s="161">
        <f>SUMIF(Lanç!$C$3:$C$114,C218,Lanç!$F$3:$F$114)</f>
        <v>0</v>
      </c>
      <c r="F218" s="161">
        <f>SUMIF(Lanç!$C$115:$C$6504,C218,Lanç!$F$115:$F$6504)</f>
        <v>0</v>
      </c>
      <c r="G218" s="161">
        <f>SUMIF(Lanç!$C$115:$C$6504,C218,Lanç!$G$115:$G$6504)</f>
        <v>0</v>
      </c>
      <c r="H218" s="162">
        <f t="shared" si="13"/>
        <v>0</v>
      </c>
      <c r="I218" s="162">
        <f t="shared" si="14"/>
        <v>0</v>
      </c>
    </row>
    <row r="219" spans="1:14" hidden="1">
      <c r="A219" s="151">
        <f t="shared" si="12"/>
        <v>1</v>
      </c>
      <c r="B219" s="155" t="s">
        <v>204</v>
      </c>
      <c r="C219" s="156">
        <v>214</v>
      </c>
      <c r="D219" s="157" t="s">
        <v>360</v>
      </c>
      <c r="E219" s="158">
        <f>SUM(E220,E223)</f>
        <v>0</v>
      </c>
      <c r="F219" s="158">
        <f>SUM(F220,F223)</f>
        <v>0</v>
      </c>
      <c r="G219" s="158">
        <f>SUM(G220,G223)</f>
        <v>0</v>
      </c>
      <c r="H219" s="154">
        <f t="shared" si="13"/>
        <v>0</v>
      </c>
      <c r="I219" s="154">
        <f t="shared" si="14"/>
        <v>0</v>
      </c>
      <c r="J219" s="1"/>
      <c r="K219" s="1"/>
      <c r="L219" s="1"/>
      <c r="M219" s="1"/>
      <c r="N219" s="1"/>
    </row>
    <row r="220" spans="1:14" hidden="1">
      <c r="A220" s="151">
        <f t="shared" si="12"/>
        <v>1</v>
      </c>
      <c r="B220" s="155" t="s">
        <v>204</v>
      </c>
      <c r="C220" s="156">
        <v>21411</v>
      </c>
      <c r="D220" s="157" t="s">
        <v>361</v>
      </c>
      <c r="E220" s="158">
        <f>SUM(E221:E222)</f>
        <v>0</v>
      </c>
      <c r="F220" s="158">
        <f>SUM(F221:F222)</f>
        <v>0</v>
      </c>
      <c r="G220" s="158">
        <f>SUM(G221:G222)</f>
        <v>0</v>
      </c>
      <c r="H220" s="154">
        <f t="shared" si="13"/>
        <v>0</v>
      </c>
      <c r="I220" s="154">
        <f t="shared" si="14"/>
        <v>0</v>
      </c>
      <c r="J220" s="1"/>
      <c r="K220" s="1"/>
      <c r="L220" s="1"/>
      <c r="M220" s="1"/>
      <c r="N220" s="1"/>
    </row>
    <row r="221" spans="1:14" hidden="1">
      <c r="A221" s="151">
        <f t="shared" si="12"/>
        <v>1</v>
      </c>
      <c r="B221" s="151" t="s">
        <v>206</v>
      </c>
      <c r="C221" s="159">
        <v>214111</v>
      </c>
      <c r="D221" s="160" t="s">
        <v>362</v>
      </c>
      <c r="E221" s="161">
        <f>SUMIF(Lanç!$C$3:$C$114,C221,Lanç!$F$3:$F$114)</f>
        <v>0</v>
      </c>
      <c r="F221" s="161">
        <f>SUMIF(Lanç!$C$115:$C$6504,C221,Lanç!$F$115:$F$6504)</f>
        <v>0</v>
      </c>
      <c r="G221" s="161">
        <f>SUMIF(Lanç!$C$115:$C$6504,C221,Lanç!$G$115:$G$6504)</f>
        <v>0</v>
      </c>
      <c r="H221" s="162">
        <f t="shared" si="13"/>
        <v>0</v>
      </c>
      <c r="I221" s="162">
        <f t="shared" si="14"/>
        <v>0</v>
      </c>
    </row>
    <row r="222" spans="1:14" hidden="1">
      <c r="A222" s="151">
        <f t="shared" si="12"/>
        <v>1</v>
      </c>
      <c r="B222" s="151" t="s">
        <v>206</v>
      </c>
      <c r="C222" s="159">
        <v>214118</v>
      </c>
      <c r="D222" s="160" t="s">
        <v>363</v>
      </c>
      <c r="E222" s="161">
        <f>SUMIF(Lanç!$C$3:$C$114,C222,Lanç!$F$3:$F$114)</f>
        <v>0</v>
      </c>
      <c r="F222" s="161">
        <f>SUMIF(Lanç!$C$115:$C$6504,C222,Lanç!$F$115:$F$6504)</f>
        <v>0</v>
      </c>
      <c r="G222" s="161">
        <f>SUMIF(Lanç!$C$115:$C$6504,C222,Lanç!$G$115:$G$6504)</f>
        <v>0</v>
      </c>
      <c r="H222" s="162">
        <f t="shared" si="13"/>
        <v>0</v>
      </c>
      <c r="I222" s="162">
        <f t="shared" si="14"/>
        <v>0</v>
      </c>
    </row>
    <row r="223" spans="1:14" hidden="1">
      <c r="A223" s="151">
        <f t="shared" si="12"/>
        <v>1</v>
      </c>
      <c r="B223" s="155" t="s">
        <v>204</v>
      </c>
      <c r="C223" s="156">
        <v>21412</v>
      </c>
      <c r="D223" s="157" t="s">
        <v>364</v>
      </c>
      <c r="E223" s="158">
        <f>SUM(E224,E227)</f>
        <v>0</v>
      </c>
      <c r="F223" s="158">
        <f>SUM(F224,F227)</f>
        <v>0</v>
      </c>
      <c r="G223" s="158">
        <f>SUM(G224,G227)</f>
        <v>0</v>
      </c>
      <c r="H223" s="154">
        <f t="shared" si="13"/>
        <v>0</v>
      </c>
      <c r="I223" s="154">
        <f t="shared" si="14"/>
        <v>0</v>
      </c>
      <c r="J223" s="1"/>
      <c r="K223" s="1"/>
      <c r="L223" s="1"/>
      <c r="M223" s="1"/>
      <c r="N223" s="1"/>
    </row>
    <row r="224" spans="1:14" hidden="1">
      <c r="A224" s="151">
        <f t="shared" si="12"/>
        <v>1</v>
      </c>
      <c r="B224" s="155" t="s">
        <v>204</v>
      </c>
      <c r="C224" s="156">
        <v>214121</v>
      </c>
      <c r="D224" s="157" t="s">
        <v>365</v>
      </c>
      <c r="E224" s="158">
        <f>SUM(E225:E226)</f>
        <v>0</v>
      </c>
      <c r="F224" s="158">
        <f>SUM(F225:F226)</f>
        <v>0</v>
      </c>
      <c r="G224" s="158">
        <f>SUM(G225:G226)</f>
        <v>0</v>
      </c>
      <c r="H224" s="154">
        <f t="shared" si="13"/>
        <v>0</v>
      </c>
      <c r="I224" s="154">
        <f t="shared" si="14"/>
        <v>0</v>
      </c>
    </row>
    <row r="225" spans="1:14" hidden="1">
      <c r="A225" s="151">
        <f t="shared" si="12"/>
        <v>1</v>
      </c>
      <c r="B225" s="151" t="s">
        <v>206</v>
      </c>
      <c r="C225" s="159">
        <v>2141211</v>
      </c>
      <c r="D225" s="160" t="s">
        <v>366</v>
      </c>
      <c r="E225" s="161">
        <f>SUMIF(Lanç!$C$3:$C$114,C225,Lanç!$F$3:$F$114)</f>
        <v>0</v>
      </c>
      <c r="F225" s="161">
        <f>SUMIF(Lanç!$C$115:$C$6504,C225,Lanç!$F$115:$F$6504)</f>
        <v>0</v>
      </c>
      <c r="G225" s="161">
        <f>SUMIF(Lanç!$C$115:$C$6504,C225,Lanç!$G$115:$G$6504)</f>
        <v>0</v>
      </c>
      <c r="H225" s="162">
        <f t="shared" si="13"/>
        <v>0</v>
      </c>
      <c r="I225" s="162">
        <f t="shared" si="14"/>
        <v>0</v>
      </c>
    </row>
    <row r="226" spans="1:14" hidden="1">
      <c r="A226" s="151">
        <f t="shared" si="12"/>
        <v>1</v>
      </c>
      <c r="B226" s="151" t="s">
        <v>206</v>
      </c>
      <c r="C226" s="159">
        <v>2141218</v>
      </c>
      <c r="D226" s="160" t="s">
        <v>367</v>
      </c>
      <c r="E226" s="161">
        <f>SUMIF(Lanç!$C$3:$C$114,C226,Lanç!$F$3:$F$114)</f>
        <v>0</v>
      </c>
      <c r="F226" s="161">
        <f>SUMIF(Lanç!$C$115:$C$6504,C226,Lanç!$F$115:$F$6504)</f>
        <v>0</v>
      </c>
      <c r="G226" s="161">
        <f>SUMIF(Lanç!$C$115:$C$6504,C226,Lanç!$G$115:$G$6504)</f>
        <v>0</v>
      </c>
      <c r="H226" s="162">
        <f t="shared" si="13"/>
        <v>0</v>
      </c>
      <c r="I226" s="162">
        <f t="shared" si="14"/>
        <v>0</v>
      </c>
    </row>
    <row r="227" spans="1:14" hidden="1">
      <c r="A227" s="151">
        <f t="shared" si="12"/>
        <v>1</v>
      </c>
      <c r="B227" s="155" t="s">
        <v>204</v>
      </c>
      <c r="C227" s="156">
        <v>214122</v>
      </c>
      <c r="D227" s="157" t="s">
        <v>368</v>
      </c>
      <c r="E227" s="158">
        <f>SUM(E228:E229)</f>
        <v>0</v>
      </c>
      <c r="F227" s="158">
        <f>SUM(F228:F229)</f>
        <v>0</v>
      </c>
      <c r="G227" s="158">
        <f>SUM(G228:G229)</f>
        <v>0</v>
      </c>
      <c r="H227" s="154">
        <f t="shared" si="13"/>
        <v>0</v>
      </c>
      <c r="I227" s="154">
        <f t="shared" si="14"/>
        <v>0</v>
      </c>
      <c r="J227" s="1"/>
      <c r="K227" s="1"/>
      <c r="L227" s="1"/>
      <c r="M227" s="1"/>
      <c r="N227" s="1"/>
    </row>
    <row r="228" spans="1:14" hidden="1">
      <c r="A228" s="151">
        <f t="shared" si="12"/>
        <v>1</v>
      </c>
      <c r="B228" s="151" t="s">
        <v>206</v>
      </c>
      <c r="C228" s="159">
        <v>2141221</v>
      </c>
      <c r="D228" s="160" t="s">
        <v>369</v>
      </c>
      <c r="E228" s="161">
        <f>SUMIF(Lanç!$C$3:$C$114,C228,Lanç!$F$3:$F$114)</f>
        <v>0</v>
      </c>
      <c r="F228" s="161">
        <f>SUMIF(Lanç!$C$115:$C$6504,C228,Lanç!$F$115:$F$6504)</f>
        <v>0</v>
      </c>
      <c r="G228" s="161">
        <f>SUMIF(Lanç!$C$115:$C$6504,C228,Lanç!$G$115:$G$6504)</f>
        <v>0</v>
      </c>
      <c r="H228" s="162">
        <f t="shared" si="13"/>
        <v>0</v>
      </c>
      <c r="I228" s="162">
        <f t="shared" si="14"/>
        <v>0</v>
      </c>
    </row>
    <row r="229" spans="1:14" hidden="1">
      <c r="A229" s="151">
        <f t="shared" si="12"/>
        <v>1</v>
      </c>
      <c r="B229" s="151" t="s">
        <v>206</v>
      </c>
      <c r="C229" s="159">
        <v>2141228</v>
      </c>
      <c r="D229" s="160" t="s">
        <v>370</v>
      </c>
      <c r="E229" s="161">
        <f>SUMIF(Lanç!$C$3:$C$114,C229,Lanç!$F$3:$F$114)</f>
        <v>0</v>
      </c>
      <c r="F229" s="161">
        <f>SUMIF(Lanç!$C$115:$C$6504,C229,Lanç!$F$115:$F$6504)</f>
        <v>0</v>
      </c>
      <c r="G229" s="161">
        <f>SUMIF(Lanç!$C$115:$C$6504,C229,Lanç!$G$115:$G$6504)</f>
        <v>0</v>
      </c>
      <c r="H229" s="162">
        <f t="shared" si="13"/>
        <v>0</v>
      </c>
      <c r="I229" s="162">
        <f t="shared" si="14"/>
        <v>0</v>
      </c>
    </row>
    <row r="230" spans="1:14" hidden="1">
      <c r="A230" s="151">
        <f t="shared" si="12"/>
        <v>1</v>
      </c>
      <c r="B230" s="155" t="s">
        <v>204</v>
      </c>
      <c r="C230" s="156">
        <v>217</v>
      </c>
      <c r="D230" s="157" t="s">
        <v>371</v>
      </c>
      <c r="E230" s="158">
        <f>SUM(E231,E257)</f>
        <v>0</v>
      </c>
      <c r="F230" s="158">
        <f>SUM(F231,F257)</f>
        <v>0</v>
      </c>
      <c r="G230" s="158">
        <f>SUM(G231,G257)</f>
        <v>0</v>
      </c>
      <c r="H230" s="154">
        <f t="shared" si="13"/>
        <v>0</v>
      </c>
      <c r="I230" s="154">
        <f t="shared" si="14"/>
        <v>0</v>
      </c>
      <c r="J230" s="1"/>
      <c r="K230" s="1"/>
      <c r="L230" s="1"/>
      <c r="M230" s="1"/>
      <c r="N230" s="1"/>
    </row>
    <row r="231" spans="1:14" hidden="1">
      <c r="A231" s="151">
        <f t="shared" si="12"/>
        <v>1</v>
      </c>
      <c r="B231" s="155" t="s">
        <v>204</v>
      </c>
      <c r="C231" s="156">
        <v>2171</v>
      </c>
      <c r="D231" s="157" t="s">
        <v>372</v>
      </c>
      <c r="E231" s="158">
        <f>SUM(E232,E237,E242,E247,E252)</f>
        <v>0</v>
      </c>
      <c r="F231" s="158">
        <f>SUM(F232,F237,F242,F247,F252)</f>
        <v>0</v>
      </c>
      <c r="G231" s="158">
        <f>SUM(G232,G237,G242,G247,G252)</f>
        <v>0</v>
      </c>
      <c r="H231" s="154">
        <f t="shared" si="13"/>
        <v>0</v>
      </c>
      <c r="I231" s="154">
        <f t="shared" si="14"/>
        <v>0</v>
      </c>
      <c r="J231" s="1"/>
      <c r="K231" s="1"/>
      <c r="L231" s="1"/>
      <c r="M231" s="1"/>
      <c r="N231" s="1"/>
    </row>
    <row r="232" spans="1:14" hidden="1">
      <c r="A232" s="151">
        <f t="shared" si="12"/>
        <v>1</v>
      </c>
      <c r="B232" s="155" t="s">
        <v>204</v>
      </c>
      <c r="C232" s="156">
        <v>21711</v>
      </c>
      <c r="D232" s="157" t="s">
        <v>296</v>
      </c>
      <c r="E232" s="158">
        <f>SUM(E233,E234)</f>
        <v>0</v>
      </c>
      <c r="F232" s="158">
        <f>SUM(F233,F234)</f>
        <v>0</v>
      </c>
      <c r="G232" s="158">
        <f>SUM(G233,G234)</f>
        <v>0</v>
      </c>
      <c r="H232" s="154">
        <f t="shared" si="13"/>
        <v>0</v>
      </c>
      <c r="I232" s="154">
        <f t="shared" si="14"/>
        <v>0</v>
      </c>
      <c r="J232" s="1"/>
      <c r="K232" s="1"/>
      <c r="L232" s="1"/>
      <c r="M232" s="1"/>
      <c r="N232" s="1"/>
    </row>
    <row r="233" spans="1:14" hidden="1">
      <c r="A233" s="151">
        <f t="shared" si="12"/>
        <v>1</v>
      </c>
      <c r="B233" s="151" t="s">
        <v>206</v>
      </c>
      <c r="C233" s="159">
        <v>217111</v>
      </c>
      <c r="D233" s="160" t="s">
        <v>297</v>
      </c>
      <c r="E233" s="161">
        <f>SUMIF(Lanç!$C$3:$C$114,C233,Lanç!$F$3:$F$114)</f>
        <v>0</v>
      </c>
      <c r="F233" s="161">
        <f>SUMIF(Lanç!$C$115:$C$6504,C233,Lanç!$F$115:$F$6504)</f>
        <v>0</v>
      </c>
      <c r="G233" s="161">
        <f>SUMIF(Lanç!$C$115:$C$6504,C233,Lanç!$G$115:$G$6504)</f>
        <v>0</v>
      </c>
      <c r="H233" s="162">
        <f t="shared" si="13"/>
        <v>0</v>
      </c>
      <c r="I233" s="162">
        <f t="shared" si="14"/>
        <v>0</v>
      </c>
    </row>
    <row r="234" spans="1:14" hidden="1">
      <c r="A234" s="151">
        <f t="shared" si="12"/>
        <v>1</v>
      </c>
      <c r="B234" s="155" t="s">
        <v>204</v>
      </c>
      <c r="C234" s="156">
        <v>217112</v>
      </c>
      <c r="D234" s="157" t="s">
        <v>373</v>
      </c>
      <c r="E234" s="158">
        <f>SUM(E235:E236)</f>
        <v>0</v>
      </c>
      <c r="F234" s="158">
        <f>SUM(F235:F236)</f>
        <v>0</v>
      </c>
      <c r="G234" s="158">
        <f>SUM(G235:G236)</f>
        <v>0</v>
      </c>
      <c r="H234" s="154">
        <f t="shared" si="13"/>
        <v>0</v>
      </c>
      <c r="I234" s="154">
        <f t="shared" si="14"/>
        <v>0</v>
      </c>
      <c r="J234" s="1"/>
      <c r="K234" s="1"/>
      <c r="L234" s="1"/>
      <c r="M234" s="1"/>
      <c r="N234" s="1"/>
    </row>
    <row r="235" spans="1:14" hidden="1">
      <c r="A235" s="151">
        <f t="shared" si="12"/>
        <v>1</v>
      </c>
      <c r="B235" s="151" t="s">
        <v>206</v>
      </c>
      <c r="C235" s="159">
        <v>2171121</v>
      </c>
      <c r="D235" s="160" t="s">
        <v>301</v>
      </c>
      <c r="E235" s="161">
        <f>SUMIF(Lanç!$C$3:$C$114,C235,Lanç!$F$3:$F$114)</f>
        <v>0</v>
      </c>
      <c r="F235" s="161">
        <f>SUMIF(Lanç!$C$115:$C$6504,C235,Lanç!$F$115:$F$6504)</f>
        <v>0</v>
      </c>
      <c r="G235" s="161">
        <f>SUMIF(Lanç!$C$115:$C$6504,C235,Lanç!$G$115:$G$6504)</f>
        <v>0</v>
      </c>
      <c r="H235" s="162">
        <f t="shared" si="13"/>
        <v>0</v>
      </c>
      <c r="I235" s="162">
        <f t="shared" si="14"/>
        <v>0</v>
      </c>
    </row>
    <row r="236" spans="1:14" hidden="1">
      <c r="A236" s="151">
        <f t="shared" si="12"/>
        <v>1</v>
      </c>
      <c r="B236" s="151" t="s">
        <v>206</v>
      </c>
      <c r="C236" s="159">
        <v>2171122</v>
      </c>
      <c r="D236" s="160" t="s">
        <v>304</v>
      </c>
      <c r="E236" s="161">
        <f>SUMIF(Lanç!$C$3:$C$114,C236,Lanç!$F$3:$F$114)</f>
        <v>0</v>
      </c>
      <c r="F236" s="161">
        <f>SUMIF(Lanç!$C$115:$C$6504,C236,Lanç!$F$115:$F$6504)</f>
        <v>0</v>
      </c>
      <c r="G236" s="161">
        <f>SUMIF(Lanç!$C$115:$C$6504,C236,Lanç!$G$115:$G$6504)</f>
        <v>0</v>
      </c>
      <c r="H236" s="162">
        <f t="shared" si="13"/>
        <v>0</v>
      </c>
      <c r="I236" s="162">
        <f t="shared" si="14"/>
        <v>0</v>
      </c>
    </row>
    <row r="237" spans="1:14" hidden="1">
      <c r="A237" s="151">
        <f t="shared" si="12"/>
        <v>1</v>
      </c>
      <c r="B237" s="155" t="s">
        <v>204</v>
      </c>
      <c r="C237" s="156">
        <v>21712</v>
      </c>
      <c r="D237" s="157" t="s">
        <v>307</v>
      </c>
      <c r="E237" s="158">
        <f>SUM(E238:E239)</f>
        <v>0</v>
      </c>
      <c r="F237" s="158">
        <f>SUM(F238:F239)</f>
        <v>0</v>
      </c>
      <c r="G237" s="158">
        <f>SUM(G238:G239)</f>
        <v>0</v>
      </c>
      <c r="H237" s="154">
        <f t="shared" si="13"/>
        <v>0</v>
      </c>
      <c r="I237" s="154">
        <f t="shared" si="14"/>
        <v>0</v>
      </c>
      <c r="J237" s="1"/>
      <c r="K237" s="1"/>
      <c r="L237" s="1"/>
      <c r="M237" s="1"/>
      <c r="N237" s="1"/>
    </row>
    <row r="238" spans="1:14" hidden="1">
      <c r="A238" s="151">
        <f t="shared" si="12"/>
        <v>1</v>
      </c>
      <c r="B238" s="151" t="s">
        <v>206</v>
      </c>
      <c r="C238" s="159">
        <v>217121</v>
      </c>
      <c r="D238" s="160" t="s">
        <v>308</v>
      </c>
      <c r="E238" s="161">
        <f>SUMIF(Lanç!$C$3:$C$114,C238,Lanç!$F$3:$F$114)</f>
        <v>0</v>
      </c>
      <c r="F238" s="161">
        <f>SUMIF(Lanç!$C$115:$C$6504,C238,Lanç!$F$115:$F$6504)</f>
        <v>0</v>
      </c>
      <c r="G238" s="161">
        <f>SUMIF(Lanç!$C$115:$C$6504,C238,Lanç!$G$115:$G$6504)</f>
        <v>0</v>
      </c>
      <c r="H238" s="162">
        <f t="shared" si="13"/>
        <v>0</v>
      </c>
      <c r="I238" s="162">
        <f t="shared" si="14"/>
        <v>0</v>
      </c>
    </row>
    <row r="239" spans="1:14" hidden="1">
      <c r="A239" s="151">
        <f t="shared" si="12"/>
        <v>1</v>
      </c>
      <c r="B239" s="155" t="s">
        <v>204</v>
      </c>
      <c r="C239" s="156">
        <v>217122</v>
      </c>
      <c r="D239" s="157" t="s">
        <v>374</v>
      </c>
      <c r="E239" s="158">
        <f>SUM(E240:E241)</f>
        <v>0</v>
      </c>
      <c r="F239" s="158">
        <f>SUM(F240:F241)</f>
        <v>0</v>
      </c>
      <c r="G239" s="158">
        <f>SUM(G240:G241)</f>
        <v>0</v>
      </c>
      <c r="H239" s="154">
        <f t="shared" si="13"/>
        <v>0</v>
      </c>
      <c r="I239" s="154">
        <f t="shared" si="14"/>
        <v>0</v>
      </c>
      <c r="J239" s="1"/>
      <c r="K239" s="1"/>
      <c r="L239" s="1"/>
      <c r="M239" s="1"/>
      <c r="N239" s="1"/>
    </row>
    <row r="240" spans="1:14" hidden="1">
      <c r="A240" s="151">
        <f t="shared" si="12"/>
        <v>1</v>
      </c>
      <c r="B240" s="151" t="s">
        <v>206</v>
      </c>
      <c r="C240" s="159">
        <v>2171221</v>
      </c>
      <c r="D240" s="160" t="s">
        <v>311</v>
      </c>
      <c r="E240" s="161">
        <f>SUMIF(Lanç!$C$3:$C$114,C240,Lanç!$F$3:$F$114)</f>
        <v>0</v>
      </c>
      <c r="F240" s="161">
        <f>SUMIF(Lanç!$C$115:$C$6504,C240,Lanç!$F$115:$F$6504)</f>
        <v>0</v>
      </c>
      <c r="G240" s="161">
        <f>SUMIF(Lanç!$C$115:$C$6504,C240,Lanç!$G$115:$G$6504)</f>
        <v>0</v>
      </c>
      <c r="H240" s="162">
        <f t="shared" si="13"/>
        <v>0</v>
      </c>
      <c r="I240" s="162">
        <f t="shared" si="14"/>
        <v>0</v>
      </c>
    </row>
    <row r="241" spans="1:14" hidden="1">
      <c r="A241" s="151">
        <f t="shared" si="12"/>
        <v>1</v>
      </c>
      <c r="B241" s="151" t="s">
        <v>206</v>
      </c>
      <c r="C241" s="159">
        <v>2171222</v>
      </c>
      <c r="D241" s="160" t="s">
        <v>314</v>
      </c>
      <c r="E241" s="161">
        <f>SUMIF(Lanç!$C$3:$C$114,C241,Lanç!$F$3:$F$114)</f>
        <v>0</v>
      </c>
      <c r="F241" s="161">
        <f>SUMIF(Lanç!$C$115:$C$6504,C241,Lanç!$F$115:$F$6504)</f>
        <v>0</v>
      </c>
      <c r="G241" s="161">
        <f>SUMIF(Lanç!$C$115:$C$6504,C241,Lanç!$G$115:$G$6504)</f>
        <v>0</v>
      </c>
      <c r="H241" s="162">
        <f t="shared" si="13"/>
        <v>0</v>
      </c>
      <c r="I241" s="162">
        <f t="shared" si="14"/>
        <v>0</v>
      </c>
    </row>
    <row r="242" spans="1:14" hidden="1">
      <c r="A242" s="151">
        <f t="shared" si="12"/>
        <v>1</v>
      </c>
      <c r="B242" s="155" t="s">
        <v>204</v>
      </c>
      <c r="C242" s="156">
        <v>21713</v>
      </c>
      <c r="D242" s="157" t="s">
        <v>317</v>
      </c>
      <c r="E242" s="158">
        <f>SUM(E243:E244)</f>
        <v>0</v>
      </c>
      <c r="F242" s="158">
        <f>SUM(F243:F244)</f>
        <v>0</v>
      </c>
      <c r="G242" s="158">
        <f>SUM(G243:G244)</f>
        <v>0</v>
      </c>
      <c r="H242" s="154">
        <f t="shared" si="13"/>
        <v>0</v>
      </c>
      <c r="I242" s="154">
        <f t="shared" si="14"/>
        <v>0</v>
      </c>
      <c r="J242" s="1"/>
      <c r="K242" s="1"/>
      <c r="L242" s="1"/>
      <c r="M242" s="1"/>
      <c r="N242" s="1"/>
    </row>
    <row r="243" spans="1:14" hidden="1">
      <c r="A243" s="151">
        <f t="shared" si="12"/>
        <v>1</v>
      </c>
      <c r="B243" s="151" t="s">
        <v>206</v>
      </c>
      <c r="C243" s="159">
        <v>217131</v>
      </c>
      <c r="D243" s="160" t="s">
        <v>318</v>
      </c>
      <c r="E243" s="161">
        <f>SUMIF(Lanç!$C$3:$C$114,C243,Lanç!$F$3:$F$114)</f>
        <v>0</v>
      </c>
      <c r="F243" s="161">
        <f>SUMIF(Lanç!$C$115:$C$6504,C243,Lanç!$F$115:$F$6504)</f>
        <v>0</v>
      </c>
      <c r="G243" s="161">
        <f>SUMIF(Lanç!$C$115:$C$6504,C243,Lanç!$G$115:$G$6504)</f>
        <v>0</v>
      </c>
      <c r="H243" s="162">
        <f t="shared" si="13"/>
        <v>0</v>
      </c>
      <c r="I243" s="162">
        <f t="shared" si="14"/>
        <v>0</v>
      </c>
    </row>
    <row r="244" spans="1:14" hidden="1">
      <c r="A244" s="151">
        <f t="shared" si="12"/>
        <v>1</v>
      </c>
      <c r="B244" s="155" t="s">
        <v>204</v>
      </c>
      <c r="C244" s="156">
        <v>217132</v>
      </c>
      <c r="D244" s="157" t="s">
        <v>375</v>
      </c>
      <c r="E244" s="158">
        <f>SUM(E245:E246)</f>
        <v>0</v>
      </c>
      <c r="F244" s="158">
        <f>SUM(F245:F246)</f>
        <v>0</v>
      </c>
      <c r="G244" s="158">
        <f>SUM(G245:G246)</f>
        <v>0</v>
      </c>
      <c r="H244" s="154">
        <f t="shared" si="13"/>
        <v>0</v>
      </c>
      <c r="I244" s="154">
        <f t="shared" si="14"/>
        <v>0</v>
      </c>
      <c r="J244" s="1"/>
      <c r="K244" s="1"/>
      <c r="L244" s="1"/>
      <c r="M244" s="1"/>
      <c r="N244" s="1"/>
    </row>
    <row r="245" spans="1:14" hidden="1">
      <c r="A245" s="151">
        <f t="shared" si="12"/>
        <v>1</v>
      </c>
      <c r="B245" s="151" t="s">
        <v>206</v>
      </c>
      <c r="C245" s="159">
        <v>2171321</v>
      </c>
      <c r="D245" s="160" t="s">
        <v>321</v>
      </c>
      <c r="E245" s="161">
        <f>SUMIF(Lanç!$C$3:$C$114,C245,Lanç!$F$3:$F$114)</f>
        <v>0</v>
      </c>
      <c r="F245" s="161">
        <f>SUMIF(Lanç!$C$115:$C$6504,C245,Lanç!$F$115:$F$6504)</f>
        <v>0</v>
      </c>
      <c r="G245" s="161">
        <f>SUMIF(Lanç!$C$115:$C$6504,C245,Lanç!$G$115:$G$6504)</f>
        <v>0</v>
      </c>
      <c r="H245" s="162">
        <f t="shared" si="13"/>
        <v>0</v>
      </c>
      <c r="I245" s="162">
        <f t="shared" si="14"/>
        <v>0</v>
      </c>
    </row>
    <row r="246" spans="1:14" hidden="1">
      <c r="A246" s="151">
        <f t="shared" si="12"/>
        <v>1</v>
      </c>
      <c r="B246" s="151" t="s">
        <v>206</v>
      </c>
      <c r="C246" s="159">
        <v>2171322</v>
      </c>
      <c r="D246" s="160" t="s">
        <v>324</v>
      </c>
      <c r="E246" s="161">
        <f>SUMIF(Lanç!$C$3:$C$114,C246,Lanç!$F$3:$F$114)</f>
        <v>0</v>
      </c>
      <c r="F246" s="161">
        <f>SUMIF(Lanç!$C$115:$C$6504,C246,Lanç!$F$115:$F$6504)</f>
        <v>0</v>
      </c>
      <c r="G246" s="161">
        <f>SUMIF(Lanç!$C$115:$C$6504,C246,Lanç!$G$115:$G$6504)</f>
        <v>0</v>
      </c>
      <c r="H246" s="162">
        <f t="shared" si="13"/>
        <v>0</v>
      </c>
      <c r="I246" s="162">
        <f t="shared" si="14"/>
        <v>0</v>
      </c>
    </row>
    <row r="247" spans="1:14" hidden="1">
      <c r="A247" s="151">
        <f t="shared" si="12"/>
        <v>1</v>
      </c>
      <c r="B247" s="155" t="s">
        <v>204</v>
      </c>
      <c r="C247" s="156">
        <v>21714</v>
      </c>
      <c r="D247" s="157" t="s">
        <v>327</v>
      </c>
      <c r="E247" s="158">
        <f>SUM(E248:E249)</f>
        <v>0</v>
      </c>
      <c r="F247" s="158">
        <f>SUM(F248:F249)</f>
        <v>0</v>
      </c>
      <c r="G247" s="158">
        <f>SUM(G248:G249)</f>
        <v>0</v>
      </c>
      <c r="H247" s="154">
        <f t="shared" si="13"/>
        <v>0</v>
      </c>
      <c r="I247" s="154">
        <f t="shared" si="14"/>
        <v>0</v>
      </c>
      <c r="J247" s="1"/>
      <c r="K247" s="1"/>
      <c r="L247" s="1"/>
      <c r="M247" s="1"/>
      <c r="N247" s="1"/>
    </row>
    <row r="248" spans="1:14" hidden="1">
      <c r="A248" s="151">
        <f t="shared" si="12"/>
        <v>1</v>
      </c>
      <c r="B248" s="151" t="s">
        <v>206</v>
      </c>
      <c r="C248" s="159">
        <v>217141</v>
      </c>
      <c r="D248" s="160" t="s">
        <v>328</v>
      </c>
      <c r="E248" s="161">
        <f>SUMIF(Lanç!$C$3:$C$114,C248,Lanç!$F$3:$F$114)</f>
        <v>0</v>
      </c>
      <c r="F248" s="161">
        <f>SUMIF(Lanç!$C$115:$C$6504,C248,Lanç!$F$115:$F$6504)</f>
        <v>0</v>
      </c>
      <c r="G248" s="161">
        <f>SUMIF(Lanç!$C$115:$C$6504,C248,Lanç!$G$115:$G$6504)</f>
        <v>0</v>
      </c>
      <c r="H248" s="162">
        <f t="shared" si="13"/>
        <v>0</v>
      </c>
      <c r="I248" s="162">
        <f t="shared" si="14"/>
        <v>0</v>
      </c>
    </row>
    <row r="249" spans="1:14" hidden="1">
      <c r="A249" s="151">
        <f t="shared" si="12"/>
        <v>1</v>
      </c>
      <c r="B249" s="155" t="s">
        <v>204</v>
      </c>
      <c r="C249" s="156">
        <v>217142</v>
      </c>
      <c r="D249" s="157" t="s">
        <v>376</v>
      </c>
      <c r="E249" s="158">
        <f>SUM(E250:E251)</f>
        <v>0</v>
      </c>
      <c r="F249" s="158">
        <f>SUM(F250:F251)</f>
        <v>0</v>
      </c>
      <c r="G249" s="158">
        <f>SUM(G250:G251)</f>
        <v>0</v>
      </c>
      <c r="H249" s="154">
        <f t="shared" si="13"/>
        <v>0</v>
      </c>
      <c r="I249" s="154">
        <f t="shared" si="14"/>
        <v>0</v>
      </c>
      <c r="J249" s="1"/>
      <c r="K249" s="1"/>
      <c r="L249" s="1"/>
      <c r="M249" s="1"/>
      <c r="N249" s="1"/>
    </row>
    <row r="250" spans="1:14" hidden="1">
      <c r="A250" s="151">
        <f t="shared" si="12"/>
        <v>1</v>
      </c>
      <c r="B250" s="151" t="s">
        <v>206</v>
      </c>
      <c r="C250" s="159">
        <v>2171421</v>
      </c>
      <c r="D250" s="160" t="s">
        <v>332</v>
      </c>
      <c r="E250" s="161">
        <f>SUMIF(Lanç!$C$3:$C$114,C250,Lanç!$F$3:$F$114)</f>
        <v>0</v>
      </c>
      <c r="F250" s="161">
        <f>SUMIF(Lanç!$C$115:$C$6504,C250,Lanç!$F$115:$F$6504)</f>
        <v>0</v>
      </c>
      <c r="G250" s="161">
        <f>SUMIF(Lanç!$C$115:$C$6504,C250,Lanç!$G$115:$G$6504)</f>
        <v>0</v>
      </c>
      <c r="H250" s="162">
        <f t="shared" si="13"/>
        <v>0</v>
      </c>
      <c r="I250" s="162">
        <f t="shared" si="14"/>
        <v>0</v>
      </c>
    </row>
    <row r="251" spans="1:14" hidden="1">
      <c r="A251" s="151">
        <f t="shared" si="12"/>
        <v>1</v>
      </c>
      <c r="B251" s="151" t="s">
        <v>206</v>
      </c>
      <c r="C251" s="159">
        <v>2171422</v>
      </c>
      <c r="D251" s="160" t="s">
        <v>335</v>
      </c>
      <c r="E251" s="161">
        <f>SUMIF(Lanç!$C$3:$C$114,C251,Lanç!$F$3:$F$114)</f>
        <v>0</v>
      </c>
      <c r="F251" s="161">
        <f>SUMIF(Lanç!$C$115:$C$6504,C251,Lanç!$F$115:$F$6504)</f>
        <v>0</v>
      </c>
      <c r="G251" s="161">
        <f>SUMIF(Lanç!$C$115:$C$6504,C251,Lanç!$G$115:$G$6504)</f>
        <v>0</v>
      </c>
      <c r="H251" s="162">
        <f t="shared" si="13"/>
        <v>0</v>
      </c>
      <c r="I251" s="162">
        <f t="shared" si="14"/>
        <v>0</v>
      </c>
    </row>
    <row r="252" spans="1:14" hidden="1">
      <c r="A252" s="151">
        <f t="shared" si="12"/>
        <v>1</v>
      </c>
      <c r="B252" s="155" t="s">
        <v>204</v>
      </c>
      <c r="C252" s="156">
        <v>21715</v>
      </c>
      <c r="D252" s="157" t="s">
        <v>338</v>
      </c>
      <c r="E252" s="158">
        <f>SUM(E253:E254)</f>
        <v>0</v>
      </c>
      <c r="F252" s="158">
        <f>SUM(F253:F254)</f>
        <v>0</v>
      </c>
      <c r="G252" s="158">
        <f>SUM(G253:G254)</f>
        <v>0</v>
      </c>
      <c r="H252" s="154">
        <f t="shared" si="13"/>
        <v>0</v>
      </c>
      <c r="I252" s="154">
        <f t="shared" si="14"/>
        <v>0</v>
      </c>
      <c r="J252" s="1"/>
      <c r="K252" s="1"/>
      <c r="L252" s="1"/>
      <c r="M252" s="1"/>
      <c r="N252" s="1"/>
    </row>
    <row r="253" spans="1:14" hidden="1">
      <c r="A253" s="151">
        <f t="shared" si="12"/>
        <v>1</v>
      </c>
      <c r="B253" s="151" t="s">
        <v>206</v>
      </c>
      <c r="C253" s="159">
        <v>217151</v>
      </c>
      <c r="D253" s="160" t="s">
        <v>339</v>
      </c>
      <c r="E253" s="161">
        <f>SUMIF(Lanç!$C$3:$C$114,C253,Lanç!$F$3:$F$114)</f>
        <v>0</v>
      </c>
      <c r="F253" s="161">
        <f>SUMIF(Lanç!$C$115:$C$6504,C253,Lanç!$F$115:$F$6504)</f>
        <v>0</v>
      </c>
      <c r="G253" s="161">
        <f>SUMIF(Lanç!$C$115:$C$6504,C253,Lanç!$G$115:$G$6504)</f>
        <v>0</v>
      </c>
      <c r="H253" s="162">
        <f t="shared" si="13"/>
        <v>0</v>
      </c>
      <c r="I253" s="162">
        <f t="shared" si="14"/>
        <v>0</v>
      </c>
    </row>
    <row r="254" spans="1:14" hidden="1">
      <c r="A254" s="151">
        <f t="shared" si="12"/>
        <v>1</v>
      </c>
      <c r="B254" s="155" t="s">
        <v>204</v>
      </c>
      <c r="C254" s="156">
        <v>217152</v>
      </c>
      <c r="D254" s="157" t="s">
        <v>342</v>
      </c>
      <c r="E254" s="158">
        <f>SUM(E255:E256)</f>
        <v>0</v>
      </c>
      <c r="F254" s="158">
        <f>SUM(F255:F256)</f>
        <v>0</v>
      </c>
      <c r="G254" s="158">
        <f>SUM(G255:G256)</f>
        <v>0</v>
      </c>
      <c r="H254" s="154">
        <f t="shared" si="13"/>
        <v>0</v>
      </c>
      <c r="I254" s="154">
        <f t="shared" si="14"/>
        <v>0</v>
      </c>
      <c r="J254" s="1"/>
      <c r="K254" s="1"/>
      <c r="L254" s="1"/>
      <c r="M254" s="1"/>
      <c r="N254" s="1"/>
    </row>
    <row r="255" spans="1:14" hidden="1">
      <c r="A255" s="151">
        <f t="shared" si="12"/>
        <v>1</v>
      </c>
      <c r="B255" s="151" t="s">
        <v>206</v>
      </c>
      <c r="C255" s="159">
        <v>2171521</v>
      </c>
      <c r="D255" s="160" t="s">
        <v>343</v>
      </c>
      <c r="E255" s="161">
        <f>SUMIF(Lanç!$C$3:$C$114,C255,Lanç!$F$3:$F$114)</f>
        <v>0</v>
      </c>
      <c r="F255" s="161">
        <f>SUMIF(Lanç!$C$115:$C$6504,C255,Lanç!$F$115:$F$6504)</f>
        <v>0</v>
      </c>
      <c r="G255" s="161">
        <f>SUMIF(Lanç!$C$115:$C$6504,C255,Lanç!$G$115:$G$6504)</f>
        <v>0</v>
      </c>
      <c r="H255" s="162">
        <f t="shared" si="13"/>
        <v>0</v>
      </c>
      <c r="I255" s="162">
        <f t="shared" si="14"/>
        <v>0</v>
      </c>
    </row>
    <row r="256" spans="1:14" hidden="1">
      <c r="A256" s="151">
        <f t="shared" si="12"/>
        <v>1</v>
      </c>
      <c r="B256" s="151" t="s">
        <v>206</v>
      </c>
      <c r="C256" s="159">
        <v>2171522</v>
      </c>
      <c r="D256" s="160" t="s">
        <v>346</v>
      </c>
      <c r="E256" s="161">
        <f>SUMIF(Lanç!$C$3:$C$114,C256,Lanç!$F$3:$F$114)</f>
        <v>0</v>
      </c>
      <c r="F256" s="161">
        <f>SUMIF(Lanç!$C$115:$C$6504,C256,Lanç!$F$115:$F$6504)</f>
        <v>0</v>
      </c>
      <c r="G256" s="161">
        <f>SUMIF(Lanç!$C$115:$C$6504,C256,Lanç!$G$115:$G$6504)</f>
        <v>0</v>
      </c>
      <c r="H256" s="162">
        <f t="shared" si="13"/>
        <v>0</v>
      </c>
      <c r="I256" s="162">
        <f t="shared" si="14"/>
        <v>0</v>
      </c>
    </row>
    <row r="257" spans="1:14" hidden="1">
      <c r="A257" s="151">
        <f t="shared" si="12"/>
        <v>1</v>
      </c>
      <c r="B257" s="155" t="s">
        <v>204</v>
      </c>
      <c r="C257" s="156">
        <v>2172</v>
      </c>
      <c r="D257" s="157" t="s">
        <v>349</v>
      </c>
      <c r="E257" s="158">
        <f>SUM(E258,E263)</f>
        <v>0</v>
      </c>
      <c r="F257" s="158">
        <f>SUM(F258,F263)</f>
        <v>0</v>
      </c>
      <c r="G257" s="158">
        <f>SUM(G258,G263)</f>
        <v>0</v>
      </c>
      <c r="H257" s="154">
        <f t="shared" si="13"/>
        <v>0</v>
      </c>
      <c r="I257" s="154">
        <f t="shared" si="14"/>
        <v>0</v>
      </c>
      <c r="J257" s="1"/>
      <c r="K257" s="1"/>
      <c r="L257" s="1"/>
      <c r="M257" s="1"/>
      <c r="N257" s="1"/>
    </row>
    <row r="258" spans="1:14" hidden="1">
      <c r="A258" s="151">
        <f t="shared" si="12"/>
        <v>1</v>
      </c>
      <c r="B258" s="155" t="s">
        <v>204</v>
      </c>
      <c r="C258" s="156">
        <v>21721</v>
      </c>
      <c r="D258" s="157" t="s">
        <v>349</v>
      </c>
      <c r="E258" s="158">
        <f>SUM(E259:E260)</f>
        <v>0</v>
      </c>
      <c r="F258" s="158">
        <f>SUM(F259:F260)</f>
        <v>0</v>
      </c>
      <c r="G258" s="158">
        <f>SUM(G259:G260)</f>
        <v>0</v>
      </c>
      <c r="H258" s="154">
        <f t="shared" si="13"/>
        <v>0</v>
      </c>
      <c r="I258" s="154">
        <f t="shared" si="14"/>
        <v>0</v>
      </c>
      <c r="J258" s="1"/>
      <c r="K258" s="1"/>
      <c r="L258" s="1"/>
      <c r="M258" s="1"/>
      <c r="N258" s="1"/>
    </row>
    <row r="259" spans="1:14" hidden="1">
      <c r="A259" s="151">
        <f t="shared" si="12"/>
        <v>1</v>
      </c>
      <c r="B259" s="151" t="s">
        <v>206</v>
      </c>
      <c r="C259" s="159">
        <v>217211</v>
      </c>
      <c r="D259" s="160" t="s">
        <v>350</v>
      </c>
      <c r="E259" s="161">
        <f>SUMIF(Lanç!$C$3:$C$114,C259,Lanç!$F$3:$F$114)</f>
        <v>0</v>
      </c>
      <c r="F259" s="161">
        <f>SUMIF(Lanç!$C$115:$C$6504,C259,Lanç!$F$115:$F$6504)</f>
        <v>0</v>
      </c>
      <c r="G259" s="161">
        <f>SUMIF(Lanç!$C$115:$C$6504,C259,Lanç!$G$115:$G$6504)</f>
        <v>0</v>
      </c>
      <c r="H259" s="162">
        <f t="shared" si="13"/>
        <v>0</v>
      </c>
      <c r="I259" s="162">
        <f t="shared" si="14"/>
        <v>0</v>
      </c>
    </row>
    <row r="260" spans="1:14" hidden="1">
      <c r="A260" s="151">
        <f t="shared" si="12"/>
        <v>1</v>
      </c>
      <c r="B260" s="155" t="s">
        <v>204</v>
      </c>
      <c r="C260" s="156">
        <v>217212</v>
      </c>
      <c r="D260" s="157" t="s">
        <v>353</v>
      </c>
      <c r="E260" s="158">
        <f>SUM(E261:E262)</f>
        <v>0</v>
      </c>
      <c r="F260" s="158">
        <f>SUM(F261:F262)</f>
        <v>0</v>
      </c>
      <c r="G260" s="158">
        <f>SUM(G261:G262)</f>
        <v>0</v>
      </c>
      <c r="H260" s="154">
        <f t="shared" si="13"/>
        <v>0</v>
      </c>
      <c r="I260" s="154">
        <f t="shared" si="14"/>
        <v>0</v>
      </c>
      <c r="J260" s="1"/>
      <c r="K260" s="1"/>
      <c r="L260" s="1"/>
      <c r="M260" s="1"/>
      <c r="N260" s="1"/>
    </row>
    <row r="261" spans="1:14" hidden="1">
      <c r="A261" s="151">
        <f t="shared" si="12"/>
        <v>1</v>
      </c>
      <c r="B261" s="151" t="s">
        <v>206</v>
      </c>
      <c r="C261" s="159">
        <v>2172121</v>
      </c>
      <c r="D261" s="160" t="s">
        <v>354</v>
      </c>
      <c r="E261" s="161">
        <f>SUMIF(Lanç!$C$3:$C$114,C261,Lanç!$F$3:$F$114)</f>
        <v>0</v>
      </c>
      <c r="F261" s="161">
        <f>SUMIF(Lanç!$C$115:$C$6504,C261,Lanç!$F$115:$F$6504)</f>
        <v>0</v>
      </c>
      <c r="G261" s="161">
        <f>SUMIF(Lanç!$C$115:$C$6504,C261,Lanç!$G$115:$G$6504)</f>
        <v>0</v>
      </c>
      <c r="H261" s="162">
        <f t="shared" si="13"/>
        <v>0</v>
      </c>
      <c r="I261" s="162">
        <f t="shared" si="14"/>
        <v>0</v>
      </c>
    </row>
    <row r="262" spans="1:14" hidden="1">
      <c r="A262" s="151">
        <f t="shared" ref="A262:A325" si="15">IF(E262+F262+G262+H262+I262=0,1,0)</f>
        <v>1</v>
      </c>
      <c r="B262" s="151" t="s">
        <v>206</v>
      </c>
      <c r="C262" s="159">
        <v>2172122</v>
      </c>
      <c r="D262" s="160" t="s">
        <v>357</v>
      </c>
      <c r="E262" s="161">
        <f>SUMIF(Lanç!$C$3:$C$114,C262,Lanç!$F$3:$F$114)</f>
        <v>0</v>
      </c>
      <c r="F262" s="161">
        <f>SUMIF(Lanç!$C$115:$C$6504,C262,Lanç!$F$115:$F$6504)</f>
        <v>0</v>
      </c>
      <c r="G262" s="161">
        <f>SUMIF(Lanç!$C$115:$C$6504,C262,Lanç!$G$115:$G$6504)</f>
        <v>0</v>
      </c>
      <c r="H262" s="162">
        <f t="shared" ref="H262:H325" si="16">(F262)-(G262)</f>
        <v>0</v>
      </c>
      <c r="I262" s="162">
        <f t="shared" ref="I262:I325" si="17">(E262)+(H262)</f>
        <v>0</v>
      </c>
    </row>
    <row r="263" spans="1:14" hidden="1">
      <c r="A263" s="151">
        <f t="shared" si="15"/>
        <v>1</v>
      </c>
      <c r="B263" s="155" t="s">
        <v>204</v>
      </c>
      <c r="C263" s="156">
        <v>21724</v>
      </c>
      <c r="D263" s="157" t="s">
        <v>360</v>
      </c>
      <c r="E263" s="158">
        <f>SUM(E264:E265)</f>
        <v>0</v>
      </c>
      <c r="F263" s="158">
        <f>SUM(F264:F265)</f>
        <v>0</v>
      </c>
      <c r="G263" s="158">
        <f>SUM(G264:G265)</f>
        <v>0</v>
      </c>
      <c r="H263" s="154">
        <f t="shared" si="16"/>
        <v>0</v>
      </c>
      <c r="I263" s="154">
        <f t="shared" si="17"/>
        <v>0</v>
      </c>
      <c r="J263" s="1"/>
      <c r="K263" s="1"/>
      <c r="L263" s="1"/>
      <c r="M263" s="1"/>
      <c r="N263" s="1"/>
    </row>
    <row r="264" spans="1:14" hidden="1">
      <c r="A264" s="151">
        <f t="shared" si="15"/>
        <v>1</v>
      </c>
      <c r="B264" s="151" t="s">
        <v>206</v>
      </c>
      <c r="C264" s="159">
        <v>217241</v>
      </c>
      <c r="D264" s="160" t="s">
        <v>361</v>
      </c>
      <c r="E264" s="161">
        <f>SUMIF(Lanç!$C$3:$C$114,C264,Lanç!$F$3:$F$114)</f>
        <v>0</v>
      </c>
      <c r="F264" s="161">
        <f>SUMIF(Lanç!$C$115:$C$6504,C264,Lanç!$F$115:$F$6504)</f>
        <v>0</v>
      </c>
      <c r="G264" s="161">
        <f>SUMIF(Lanç!$C$115:$C$6504,C264,Lanç!$G$115:$G$6504)</f>
        <v>0</v>
      </c>
      <c r="H264" s="162">
        <f t="shared" si="16"/>
        <v>0</v>
      </c>
      <c r="I264" s="162">
        <f t="shared" si="17"/>
        <v>0</v>
      </c>
    </row>
    <row r="265" spans="1:14" hidden="1">
      <c r="A265" s="151">
        <f t="shared" si="15"/>
        <v>1</v>
      </c>
      <c r="B265" s="155" t="s">
        <v>204</v>
      </c>
      <c r="C265" s="156">
        <v>217242</v>
      </c>
      <c r="D265" s="157" t="s">
        <v>364</v>
      </c>
      <c r="E265" s="158">
        <f>SUM(E266:E267)</f>
        <v>0</v>
      </c>
      <c r="F265" s="158">
        <f>SUM(F266:F267)</f>
        <v>0</v>
      </c>
      <c r="G265" s="158">
        <f>SUM(G266:G267)</f>
        <v>0</v>
      </c>
      <c r="H265" s="154">
        <f t="shared" si="16"/>
        <v>0</v>
      </c>
      <c r="I265" s="154">
        <f t="shared" si="17"/>
        <v>0</v>
      </c>
      <c r="J265" s="1"/>
      <c r="K265" s="1"/>
      <c r="L265" s="1"/>
      <c r="M265" s="1"/>
      <c r="N265" s="1"/>
    </row>
    <row r="266" spans="1:14" hidden="1">
      <c r="A266" s="151">
        <f t="shared" si="15"/>
        <v>1</v>
      </c>
      <c r="B266" s="151" t="s">
        <v>206</v>
      </c>
      <c r="C266" s="159">
        <v>2172421</v>
      </c>
      <c r="D266" s="160" t="s">
        <v>365</v>
      </c>
      <c r="E266" s="161">
        <f>SUMIF(Lanç!$C$3:$C$114,C266,Lanç!$F$3:$F$114)</f>
        <v>0</v>
      </c>
      <c r="F266" s="161">
        <f>SUMIF(Lanç!$C$115:$C$6504,C266,Lanç!$F$115:$F$6504)</f>
        <v>0</v>
      </c>
      <c r="G266" s="161">
        <f>SUMIF(Lanç!$C$115:$C$6504,C266,Lanç!$G$115:$G$6504)</f>
        <v>0</v>
      </c>
      <c r="H266" s="162">
        <f t="shared" si="16"/>
        <v>0</v>
      </c>
      <c r="I266" s="162">
        <f t="shared" si="17"/>
        <v>0</v>
      </c>
    </row>
    <row r="267" spans="1:14" hidden="1">
      <c r="A267" s="151">
        <f t="shared" si="15"/>
        <v>1</v>
      </c>
      <c r="B267" s="151" t="s">
        <v>206</v>
      </c>
      <c r="C267" s="159">
        <v>2172422</v>
      </c>
      <c r="D267" s="160" t="s">
        <v>368</v>
      </c>
      <c r="E267" s="161">
        <f>SUMIF(Lanç!$C$3:$C$114,C267,Lanç!$F$3:$F$114)</f>
        <v>0</v>
      </c>
      <c r="F267" s="161">
        <f>SUMIF(Lanç!$C$115:$C$6504,C267,Lanç!$F$115:$F$6504)</f>
        <v>0</v>
      </c>
      <c r="G267" s="161">
        <f>SUMIF(Lanç!$C$115:$C$6504,C267,Lanç!$G$115:$G$6504)</f>
        <v>0</v>
      </c>
      <c r="H267" s="162">
        <f t="shared" si="16"/>
        <v>0</v>
      </c>
      <c r="I267" s="162">
        <f t="shared" si="17"/>
        <v>0</v>
      </c>
    </row>
    <row r="268" spans="1:14" hidden="1">
      <c r="A268" s="151">
        <f t="shared" si="15"/>
        <v>1</v>
      </c>
      <c r="B268" s="155" t="s">
        <v>204</v>
      </c>
      <c r="C268" s="156">
        <v>218</v>
      </c>
      <c r="D268" s="157" t="s">
        <v>377</v>
      </c>
      <c r="E268" s="158">
        <f>SUM(E269,E294)</f>
        <v>0</v>
      </c>
      <c r="F268" s="158">
        <f>SUMIF(Lanç!$C$115:$C$6504,C268,Lanç!$F$115:$F$6504)</f>
        <v>0</v>
      </c>
      <c r="G268" s="158">
        <f>SUMIF(Lanç!$C$115:$C$6504,C268,Lanç!$G$115:$G$6504)</f>
        <v>0</v>
      </c>
      <c r="H268" s="154">
        <f t="shared" si="16"/>
        <v>0</v>
      </c>
      <c r="I268" s="154">
        <f t="shared" si="17"/>
        <v>0</v>
      </c>
      <c r="J268" s="1"/>
      <c r="K268" s="1"/>
      <c r="L268" s="1"/>
      <c r="M268" s="1"/>
      <c r="N268" s="1"/>
    </row>
    <row r="269" spans="1:14" hidden="1">
      <c r="A269" s="151">
        <f t="shared" si="15"/>
        <v>1</v>
      </c>
      <c r="B269" s="155" t="s">
        <v>204</v>
      </c>
      <c r="C269" s="156">
        <v>2181</v>
      </c>
      <c r="D269" s="157" t="s">
        <v>372</v>
      </c>
      <c r="E269" s="158">
        <f>SUM(E270,E274,E279,E284,E289)</f>
        <v>0</v>
      </c>
      <c r="F269" s="158">
        <f>SUMIF(Lanç!$C$115:$C$6504,C269,Lanç!$F$115:$F$6504)</f>
        <v>0</v>
      </c>
      <c r="G269" s="158">
        <f>SUMIF(Lanç!$C$115:$C$6504,C269,Lanç!$G$115:$G$6504)</f>
        <v>0</v>
      </c>
      <c r="H269" s="154">
        <f t="shared" si="16"/>
        <v>0</v>
      </c>
      <c r="I269" s="154">
        <f t="shared" si="17"/>
        <v>0</v>
      </c>
      <c r="J269" s="1"/>
      <c r="K269" s="1"/>
      <c r="L269" s="1"/>
      <c r="M269" s="1"/>
      <c r="N269" s="1"/>
    </row>
    <row r="270" spans="1:14" hidden="1">
      <c r="A270" s="151">
        <f t="shared" si="15"/>
        <v>1</v>
      </c>
      <c r="B270" s="155" t="s">
        <v>204</v>
      </c>
      <c r="C270" s="156">
        <v>21811</v>
      </c>
      <c r="D270" s="157" t="s">
        <v>296</v>
      </c>
      <c r="E270" s="158">
        <f>SUM(E271:E273)</f>
        <v>0</v>
      </c>
      <c r="F270" s="158">
        <f>SUM(F271:F273)</f>
        <v>0</v>
      </c>
      <c r="G270" s="158">
        <f>SUM(G271:G273)</f>
        <v>0</v>
      </c>
      <c r="H270" s="154">
        <f t="shared" si="16"/>
        <v>0</v>
      </c>
      <c r="I270" s="154">
        <f t="shared" si="17"/>
        <v>0</v>
      </c>
      <c r="J270" s="1"/>
      <c r="K270" s="1"/>
      <c r="L270" s="1"/>
      <c r="M270" s="1"/>
      <c r="N270" s="1"/>
    </row>
    <row r="271" spans="1:14" hidden="1">
      <c r="A271" s="151">
        <f t="shared" si="15"/>
        <v>1</v>
      </c>
      <c r="B271" s="151" t="s">
        <v>206</v>
      </c>
      <c r="C271" s="159">
        <v>218111</v>
      </c>
      <c r="D271" s="160" t="s">
        <v>297</v>
      </c>
      <c r="E271" s="161">
        <f>SUMIF(Lanç!$C$3:$C$114,C271,Lanç!$F$3:$F$114)</f>
        <v>0</v>
      </c>
      <c r="F271" s="161">
        <f>SUMIF(Lanç!$C$115:$C$6504,C271,Lanç!$F$115:$F$6504)</f>
        <v>0</v>
      </c>
      <c r="G271" s="161">
        <f>SUMIF(Lanç!$C$115:$C$6504,C271,Lanç!$G$115:$G$6504)</f>
        <v>0</v>
      </c>
      <c r="H271" s="162">
        <f t="shared" si="16"/>
        <v>0</v>
      </c>
      <c r="I271" s="162">
        <f t="shared" si="17"/>
        <v>0</v>
      </c>
    </row>
    <row r="272" spans="1:14" hidden="1">
      <c r="A272" s="151">
        <f t="shared" si="15"/>
        <v>1</v>
      </c>
      <c r="B272" s="151" t="s">
        <v>206</v>
      </c>
      <c r="C272" s="159">
        <v>2181121</v>
      </c>
      <c r="D272" s="160" t="s">
        <v>301</v>
      </c>
      <c r="E272" s="161">
        <f>SUMIF(Lanç!$C$3:$C$114,C272,Lanç!$F$3:$F$114)</f>
        <v>0</v>
      </c>
      <c r="F272" s="161">
        <f>SUMIF(Lanç!$C$115:$C$6504,C272,Lanç!$F$115:$F$6504)</f>
        <v>0</v>
      </c>
      <c r="G272" s="161">
        <f>SUMIF(Lanç!$C$115:$C$6504,C272,Lanç!$G$115:$G$6504)</f>
        <v>0</v>
      </c>
      <c r="H272" s="162">
        <f t="shared" si="16"/>
        <v>0</v>
      </c>
      <c r="I272" s="162">
        <f t="shared" si="17"/>
        <v>0</v>
      </c>
    </row>
    <row r="273" spans="1:14" hidden="1">
      <c r="A273" s="151">
        <f t="shared" si="15"/>
        <v>1</v>
      </c>
      <c r="B273" s="151" t="s">
        <v>206</v>
      </c>
      <c r="C273" s="159">
        <v>2181122</v>
      </c>
      <c r="D273" s="160" t="s">
        <v>304</v>
      </c>
      <c r="E273" s="161">
        <f>SUMIF(Lanç!$C$3:$C$114,C273,Lanç!$F$3:$F$114)</f>
        <v>0</v>
      </c>
      <c r="F273" s="161">
        <f>SUMIF(Lanç!$C$115:$C$6504,C273,Lanç!$F$115:$F$6504)</f>
        <v>0</v>
      </c>
      <c r="G273" s="161">
        <f>SUMIF(Lanç!$C$115:$C$6504,C273,Lanç!$G$115:$G$6504)</f>
        <v>0</v>
      </c>
      <c r="H273" s="162">
        <f t="shared" si="16"/>
        <v>0</v>
      </c>
      <c r="I273" s="162">
        <f t="shared" si="17"/>
        <v>0</v>
      </c>
    </row>
    <row r="274" spans="1:14" hidden="1">
      <c r="A274" s="151">
        <f t="shared" si="15"/>
        <v>1</v>
      </c>
      <c r="B274" s="155" t="s">
        <v>204</v>
      </c>
      <c r="C274" s="156">
        <v>21812</v>
      </c>
      <c r="D274" s="157" t="s">
        <v>307</v>
      </c>
      <c r="E274" s="158">
        <f>SUM(E275:E276)</f>
        <v>0</v>
      </c>
      <c r="F274" s="158">
        <f>SUM(F275:F276)</f>
        <v>0</v>
      </c>
      <c r="G274" s="158">
        <f>SUM(G275:G276)</f>
        <v>0</v>
      </c>
      <c r="H274" s="154">
        <f t="shared" si="16"/>
        <v>0</v>
      </c>
      <c r="I274" s="154">
        <f t="shared" si="17"/>
        <v>0</v>
      </c>
      <c r="J274" s="1"/>
      <c r="K274" s="1"/>
      <c r="L274" s="1"/>
      <c r="M274" s="1"/>
      <c r="N274" s="1"/>
    </row>
    <row r="275" spans="1:14" hidden="1">
      <c r="A275" s="151">
        <f t="shared" si="15"/>
        <v>1</v>
      </c>
      <c r="B275" s="151" t="s">
        <v>206</v>
      </c>
      <c r="C275" s="159">
        <v>218121</v>
      </c>
      <c r="D275" s="160" t="s">
        <v>308</v>
      </c>
      <c r="E275" s="161">
        <f>SUMIF(Lanç!$C$3:$C$114,C275,Lanç!$F$3:$F$114)</f>
        <v>0</v>
      </c>
      <c r="F275" s="161">
        <f>SUMIF(Lanç!$C$115:$C$6504,C275,Lanç!$F$115:$F$6504)</f>
        <v>0</v>
      </c>
      <c r="G275" s="161">
        <f>SUMIF(Lanç!$C$115:$C$6504,C275,Lanç!$G$115:$G$6504)</f>
        <v>0</v>
      </c>
      <c r="H275" s="162">
        <f t="shared" si="16"/>
        <v>0</v>
      </c>
      <c r="I275" s="162">
        <f t="shared" si="17"/>
        <v>0</v>
      </c>
    </row>
    <row r="276" spans="1:14" hidden="1">
      <c r="A276" s="151">
        <f t="shared" si="15"/>
        <v>1</v>
      </c>
      <c r="B276" s="155" t="s">
        <v>204</v>
      </c>
      <c r="C276" s="156">
        <v>218122</v>
      </c>
      <c r="D276" s="157" t="s">
        <v>374</v>
      </c>
      <c r="E276" s="158">
        <f>SUM(E277:E278)</f>
        <v>0</v>
      </c>
      <c r="F276" s="158">
        <f>SUM(F277:F278)</f>
        <v>0</v>
      </c>
      <c r="G276" s="158">
        <f>SUM(G277:G278)</f>
        <v>0</v>
      </c>
      <c r="H276" s="154">
        <f t="shared" si="16"/>
        <v>0</v>
      </c>
      <c r="I276" s="154">
        <f t="shared" si="17"/>
        <v>0</v>
      </c>
      <c r="J276" s="1"/>
      <c r="K276" s="1"/>
      <c r="L276" s="1"/>
      <c r="M276" s="1"/>
      <c r="N276" s="1"/>
    </row>
    <row r="277" spans="1:14" hidden="1">
      <c r="A277" s="151">
        <f t="shared" si="15"/>
        <v>1</v>
      </c>
      <c r="B277" s="151" t="s">
        <v>206</v>
      </c>
      <c r="C277" s="159">
        <v>2181221</v>
      </c>
      <c r="D277" s="160" t="s">
        <v>311</v>
      </c>
      <c r="E277" s="161">
        <f>SUMIF(Lanç!$C$3:$C$114,C277,Lanç!$F$3:$F$114)</f>
        <v>0</v>
      </c>
      <c r="F277" s="161">
        <f>SUMIF(Lanç!$C$115:$C$6504,C277,Lanç!$F$115:$F$6504)</f>
        <v>0</v>
      </c>
      <c r="G277" s="161">
        <f>SUMIF(Lanç!$C$115:$C$6504,C277,Lanç!$G$115:$G$6504)</f>
        <v>0</v>
      </c>
      <c r="H277" s="162">
        <f t="shared" si="16"/>
        <v>0</v>
      </c>
      <c r="I277" s="162">
        <f t="shared" si="17"/>
        <v>0</v>
      </c>
    </row>
    <row r="278" spans="1:14" hidden="1">
      <c r="A278" s="151">
        <f t="shared" si="15"/>
        <v>1</v>
      </c>
      <c r="B278" s="151" t="s">
        <v>206</v>
      </c>
      <c r="C278" s="159">
        <v>2181222</v>
      </c>
      <c r="D278" s="160" t="s">
        <v>314</v>
      </c>
      <c r="E278" s="161">
        <f>SUMIF(Lanç!$C$3:$C$114,C278,Lanç!$F$3:$F$114)</f>
        <v>0</v>
      </c>
      <c r="F278" s="161">
        <f>SUMIF(Lanç!$C$115:$C$6504,C278,Lanç!$F$115:$F$6504)</f>
        <v>0</v>
      </c>
      <c r="G278" s="161">
        <f>SUMIF(Lanç!$C$115:$C$6504,C278,Lanç!$G$115:$G$6504)</f>
        <v>0</v>
      </c>
      <c r="H278" s="162">
        <f t="shared" si="16"/>
        <v>0</v>
      </c>
      <c r="I278" s="162">
        <f t="shared" si="17"/>
        <v>0</v>
      </c>
    </row>
    <row r="279" spans="1:14" hidden="1">
      <c r="A279" s="151">
        <f t="shared" si="15"/>
        <v>1</v>
      </c>
      <c r="B279" s="155" t="s">
        <v>204</v>
      </c>
      <c r="C279" s="156">
        <v>21813</v>
      </c>
      <c r="D279" s="157" t="s">
        <v>317</v>
      </c>
      <c r="E279" s="158">
        <f>SUM(E280:E281)</f>
        <v>0</v>
      </c>
      <c r="F279" s="158">
        <f>SUM(F280:F281)</f>
        <v>0</v>
      </c>
      <c r="G279" s="158">
        <f>SUM(G280:G281)</f>
        <v>0</v>
      </c>
      <c r="H279" s="154">
        <f t="shared" si="16"/>
        <v>0</v>
      </c>
      <c r="I279" s="154">
        <f t="shared" si="17"/>
        <v>0</v>
      </c>
      <c r="J279" s="1"/>
      <c r="K279" s="1"/>
      <c r="L279" s="1"/>
      <c r="M279" s="1"/>
      <c r="N279" s="1"/>
    </row>
    <row r="280" spans="1:14" hidden="1">
      <c r="A280" s="151">
        <f t="shared" si="15"/>
        <v>1</v>
      </c>
      <c r="B280" s="151" t="s">
        <v>206</v>
      </c>
      <c r="C280" s="159">
        <v>218131</v>
      </c>
      <c r="D280" s="160" t="s">
        <v>318</v>
      </c>
      <c r="E280" s="161">
        <f>SUMIF(Lanç!$C$3:$C$114,C280,Lanç!$F$3:$F$114)</f>
        <v>0</v>
      </c>
      <c r="F280" s="161">
        <f>SUMIF(Lanç!$C$115:$C$6504,C280,Lanç!$F$115:$F$6504)</f>
        <v>0</v>
      </c>
      <c r="G280" s="161">
        <f>SUMIF(Lanç!$C$115:$C$6504,C280,Lanç!$G$115:$G$6504)</f>
        <v>0</v>
      </c>
      <c r="H280" s="162">
        <f t="shared" si="16"/>
        <v>0</v>
      </c>
      <c r="I280" s="162">
        <f t="shared" si="17"/>
        <v>0</v>
      </c>
    </row>
    <row r="281" spans="1:14" hidden="1">
      <c r="A281" s="151">
        <f t="shared" si="15"/>
        <v>1</v>
      </c>
      <c r="B281" s="155" t="s">
        <v>204</v>
      </c>
      <c r="C281" s="156">
        <v>218132</v>
      </c>
      <c r="D281" s="157" t="s">
        <v>375</v>
      </c>
      <c r="E281" s="158">
        <f>SUM(E282:E283)</f>
        <v>0</v>
      </c>
      <c r="F281" s="158">
        <f>SUM(F282:F283)</f>
        <v>0</v>
      </c>
      <c r="G281" s="158">
        <f>SUM(G282:G283)</f>
        <v>0</v>
      </c>
      <c r="H281" s="154">
        <f t="shared" si="16"/>
        <v>0</v>
      </c>
      <c r="I281" s="154">
        <f t="shared" si="17"/>
        <v>0</v>
      </c>
      <c r="J281" s="1"/>
      <c r="K281" s="1"/>
      <c r="L281" s="1"/>
      <c r="M281" s="1"/>
      <c r="N281" s="1"/>
    </row>
    <row r="282" spans="1:14" hidden="1">
      <c r="A282" s="151">
        <f t="shared" si="15"/>
        <v>1</v>
      </c>
      <c r="B282" s="151" t="s">
        <v>206</v>
      </c>
      <c r="C282" s="159">
        <v>2181321</v>
      </c>
      <c r="D282" s="160" t="s">
        <v>321</v>
      </c>
      <c r="E282" s="161">
        <f>SUMIF(Lanç!$C$3:$C$114,C282,Lanç!$F$3:$F$114)</f>
        <v>0</v>
      </c>
      <c r="F282" s="161">
        <f>SUMIF(Lanç!$C$115:$C$6504,C282,Lanç!$F$115:$F$6504)</f>
        <v>0</v>
      </c>
      <c r="G282" s="161">
        <f>SUMIF(Lanç!$C$115:$C$6504,C282,Lanç!$G$115:$G$6504)</f>
        <v>0</v>
      </c>
      <c r="H282" s="162">
        <f t="shared" si="16"/>
        <v>0</v>
      </c>
      <c r="I282" s="162">
        <f t="shared" si="17"/>
        <v>0</v>
      </c>
    </row>
    <row r="283" spans="1:14" hidden="1">
      <c r="A283" s="151">
        <f t="shared" si="15"/>
        <v>1</v>
      </c>
      <c r="B283" s="151" t="s">
        <v>206</v>
      </c>
      <c r="C283" s="159">
        <v>2181322</v>
      </c>
      <c r="D283" s="160" t="s">
        <v>324</v>
      </c>
      <c r="E283" s="161">
        <f>SUMIF(Lanç!$C$3:$C$114,C283,Lanç!$F$3:$F$114)</f>
        <v>0</v>
      </c>
      <c r="F283" s="161">
        <f>SUMIF(Lanç!$C$115:$C$6504,C283,Lanç!$F$115:$F$6504)</f>
        <v>0</v>
      </c>
      <c r="G283" s="161">
        <f>SUMIF(Lanç!$C$115:$C$6504,C283,Lanç!$G$115:$G$6504)</f>
        <v>0</v>
      </c>
      <c r="H283" s="162">
        <f t="shared" si="16"/>
        <v>0</v>
      </c>
      <c r="I283" s="162">
        <f t="shared" si="17"/>
        <v>0</v>
      </c>
    </row>
    <row r="284" spans="1:14" hidden="1">
      <c r="A284" s="151">
        <f t="shared" si="15"/>
        <v>1</v>
      </c>
      <c r="B284" s="155" t="s">
        <v>204</v>
      </c>
      <c r="C284" s="156">
        <v>21814</v>
      </c>
      <c r="D284" s="157" t="s">
        <v>327</v>
      </c>
      <c r="E284" s="158">
        <f>SUM(E285:E286)</f>
        <v>0</v>
      </c>
      <c r="F284" s="158">
        <f>SUM(F285:F286)</f>
        <v>0</v>
      </c>
      <c r="G284" s="158">
        <f>SUM(G285:G286)</f>
        <v>0</v>
      </c>
      <c r="H284" s="154">
        <f t="shared" si="16"/>
        <v>0</v>
      </c>
      <c r="I284" s="154">
        <f t="shared" si="17"/>
        <v>0</v>
      </c>
      <c r="J284" s="1"/>
      <c r="K284" s="1"/>
      <c r="L284" s="1"/>
      <c r="M284" s="1"/>
      <c r="N284" s="1"/>
    </row>
    <row r="285" spans="1:14" hidden="1">
      <c r="A285" s="151">
        <f t="shared" si="15"/>
        <v>1</v>
      </c>
      <c r="B285" s="151" t="s">
        <v>206</v>
      </c>
      <c r="C285" s="159">
        <v>218141</v>
      </c>
      <c r="D285" s="160" t="s">
        <v>328</v>
      </c>
      <c r="E285" s="161">
        <f>SUMIF(Lanç!$C$3:$C$114,C285,Lanç!$F$3:$F$114)</f>
        <v>0</v>
      </c>
      <c r="F285" s="161">
        <f>SUMIF(Lanç!$C$115:$C$6504,C285,Lanç!$F$115:$F$6504)</f>
        <v>0</v>
      </c>
      <c r="G285" s="161">
        <f>SUMIF(Lanç!$C$115:$C$6504,C285,Lanç!$G$115:$G$6504)</f>
        <v>0</v>
      </c>
      <c r="H285" s="162">
        <f t="shared" si="16"/>
        <v>0</v>
      </c>
      <c r="I285" s="162">
        <f t="shared" si="17"/>
        <v>0</v>
      </c>
    </row>
    <row r="286" spans="1:14" hidden="1">
      <c r="A286" s="151">
        <f t="shared" si="15"/>
        <v>1</v>
      </c>
      <c r="B286" s="155" t="s">
        <v>204</v>
      </c>
      <c r="C286" s="156">
        <v>218142</v>
      </c>
      <c r="D286" s="157" t="s">
        <v>376</v>
      </c>
      <c r="E286" s="158">
        <f>SUM(E287:E288)</f>
        <v>0</v>
      </c>
      <c r="F286" s="158">
        <f>SUM(F287:F288)</f>
        <v>0</v>
      </c>
      <c r="G286" s="158">
        <f>SUM(G287:G288)</f>
        <v>0</v>
      </c>
      <c r="H286" s="154">
        <f t="shared" si="16"/>
        <v>0</v>
      </c>
      <c r="I286" s="154">
        <f t="shared" si="17"/>
        <v>0</v>
      </c>
      <c r="J286" s="1"/>
      <c r="K286" s="1"/>
      <c r="L286" s="1"/>
      <c r="M286" s="1"/>
      <c r="N286" s="1"/>
    </row>
    <row r="287" spans="1:14" hidden="1">
      <c r="A287" s="151">
        <f t="shared" si="15"/>
        <v>1</v>
      </c>
      <c r="B287" s="151" t="s">
        <v>206</v>
      </c>
      <c r="C287" s="159">
        <v>2181421</v>
      </c>
      <c r="D287" s="160" t="s">
        <v>332</v>
      </c>
      <c r="E287" s="161">
        <f>SUMIF(Lanç!$C$3:$C$114,C287,Lanç!$F$3:$F$114)</f>
        <v>0</v>
      </c>
      <c r="F287" s="161">
        <f>SUMIF(Lanç!$C$115:$C$6504,C287,Lanç!$F$115:$F$6504)</f>
        <v>0</v>
      </c>
      <c r="G287" s="161">
        <f>SUMIF(Lanç!$C$115:$C$6504,C287,Lanç!$G$115:$G$6504)</f>
        <v>0</v>
      </c>
      <c r="H287" s="162">
        <f t="shared" si="16"/>
        <v>0</v>
      </c>
      <c r="I287" s="162">
        <f t="shared" si="17"/>
        <v>0</v>
      </c>
    </row>
    <row r="288" spans="1:14" hidden="1">
      <c r="A288" s="151">
        <f t="shared" si="15"/>
        <v>1</v>
      </c>
      <c r="B288" s="151" t="s">
        <v>206</v>
      </c>
      <c r="C288" s="159">
        <v>2181422</v>
      </c>
      <c r="D288" s="160" t="s">
        <v>335</v>
      </c>
      <c r="E288" s="161">
        <f>SUMIF(Lanç!$C$3:$C$114,C288,Lanç!$F$3:$F$114)</f>
        <v>0</v>
      </c>
      <c r="F288" s="161">
        <f>SUMIF(Lanç!$C$115:$C$6504,C288,Lanç!$F$115:$F$6504)</f>
        <v>0</v>
      </c>
      <c r="G288" s="161">
        <f>SUMIF(Lanç!$C$115:$C$6504,C288,Lanç!$G$115:$G$6504)</f>
        <v>0</v>
      </c>
      <c r="H288" s="162">
        <f t="shared" si="16"/>
        <v>0</v>
      </c>
      <c r="I288" s="162">
        <f t="shared" si="17"/>
        <v>0</v>
      </c>
    </row>
    <row r="289" spans="1:14" hidden="1">
      <c r="A289" s="151">
        <f t="shared" si="15"/>
        <v>1</v>
      </c>
      <c r="B289" s="155" t="s">
        <v>204</v>
      </c>
      <c r="C289" s="156">
        <v>21815</v>
      </c>
      <c r="D289" s="157" t="s">
        <v>338</v>
      </c>
      <c r="E289" s="158">
        <f>SUM(E290:E291)</f>
        <v>0</v>
      </c>
      <c r="F289" s="158">
        <f>SUM(F290:F291)</f>
        <v>0</v>
      </c>
      <c r="G289" s="158">
        <f>SUM(G290:G291)</f>
        <v>0</v>
      </c>
      <c r="H289" s="154">
        <f t="shared" si="16"/>
        <v>0</v>
      </c>
      <c r="I289" s="154">
        <f t="shared" si="17"/>
        <v>0</v>
      </c>
      <c r="J289" s="1"/>
      <c r="K289" s="1"/>
      <c r="L289" s="1"/>
      <c r="M289" s="1"/>
      <c r="N289" s="1"/>
    </row>
    <row r="290" spans="1:14" hidden="1">
      <c r="A290" s="151">
        <f t="shared" si="15"/>
        <v>1</v>
      </c>
      <c r="B290" s="151" t="s">
        <v>206</v>
      </c>
      <c r="C290" s="159">
        <v>218151</v>
      </c>
      <c r="D290" s="160" t="s">
        <v>339</v>
      </c>
      <c r="E290" s="161">
        <f>SUMIF(Lanç!$C$3:$C$114,C290,Lanç!$F$3:$F$114)</f>
        <v>0</v>
      </c>
      <c r="F290" s="161">
        <f>SUMIF(Lanç!$C$115:$C$6504,C290,Lanç!$F$115:$F$6504)</f>
        <v>0</v>
      </c>
      <c r="G290" s="161">
        <f>SUMIF(Lanç!$C$115:$C$6504,C290,Lanç!$G$115:$G$6504)</f>
        <v>0</v>
      </c>
      <c r="H290" s="162">
        <f t="shared" si="16"/>
        <v>0</v>
      </c>
      <c r="I290" s="162">
        <f t="shared" si="17"/>
        <v>0</v>
      </c>
    </row>
    <row r="291" spans="1:14" hidden="1">
      <c r="A291" s="151">
        <f t="shared" si="15"/>
        <v>1</v>
      </c>
      <c r="B291" s="155" t="s">
        <v>204</v>
      </c>
      <c r="C291" s="156">
        <v>218152</v>
      </c>
      <c r="D291" s="157" t="s">
        <v>342</v>
      </c>
      <c r="E291" s="158">
        <f>SUM(E292:E293)</f>
        <v>0</v>
      </c>
      <c r="F291" s="158">
        <f>SUM(F292:F293)</f>
        <v>0</v>
      </c>
      <c r="G291" s="158">
        <f>SUM(G292:G293)</f>
        <v>0</v>
      </c>
      <c r="H291" s="154">
        <f t="shared" si="16"/>
        <v>0</v>
      </c>
      <c r="I291" s="154">
        <f t="shared" si="17"/>
        <v>0</v>
      </c>
      <c r="J291" s="1"/>
      <c r="K291" s="1"/>
      <c r="L291" s="1"/>
      <c r="M291" s="1"/>
      <c r="N291" s="1"/>
    </row>
    <row r="292" spans="1:14" hidden="1">
      <c r="A292" s="151">
        <f t="shared" si="15"/>
        <v>1</v>
      </c>
      <c r="B292" s="151" t="s">
        <v>206</v>
      </c>
      <c r="C292" s="159">
        <v>2181521</v>
      </c>
      <c r="D292" s="160" t="s">
        <v>343</v>
      </c>
      <c r="E292" s="161">
        <f>SUMIF(Lanç!$C$3:$C$114,C292,Lanç!$F$3:$F$114)</f>
        <v>0</v>
      </c>
      <c r="F292" s="161">
        <f>SUMIF(Lanç!$C$115:$C$6504,C292,Lanç!$F$115:$F$6504)</f>
        <v>0</v>
      </c>
      <c r="G292" s="161">
        <f>SUMIF(Lanç!$C$115:$C$6504,C292,Lanç!$G$115:$G$6504)</f>
        <v>0</v>
      </c>
      <c r="H292" s="162">
        <f t="shared" si="16"/>
        <v>0</v>
      </c>
      <c r="I292" s="162">
        <f t="shared" si="17"/>
        <v>0</v>
      </c>
    </row>
    <row r="293" spans="1:14" hidden="1">
      <c r="A293" s="151">
        <f t="shared" si="15"/>
        <v>1</v>
      </c>
      <c r="B293" s="151" t="s">
        <v>206</v>
      </c>
      <c r="C293" s="159">
        <v>2181522</v>
      </c>
      <c r="D293" s="160" t="s">
        <v>346</v>
      </c>
      <c r="E293" s="161">
        <f>SUMIF(Lanç!$C$3:$C$114,C293,Lanç!$F$3:$F$114)</f>
        <v>0</v>
      </c>
      <c r="F293" s="161">
        <f>SUMIF(Lanç!$C$115:$C$6504,C293,Lanç!$F$115:$F$6504)</f>
        <v>0</v>
      </c>
      <c r="G293" s="161">
        <f>SUMIF(Lanç!$C$115:$C$6504,C293,Lanç!$G$115:$G$6504)</f>
        <v>0</v>
      </c>
      <c r="H293" s="162">
        <f t="shared" si="16"/>
        <v>0</v>
      </c>
      <c r="I293" s="162">
        <f t="shared" si="17"/>
        <v>0</v>
      </c>
    </row>
    <row r="294" spans="1:14" hidden="1">
      <c r="A294" s="151">
        <f t="shared" si="15"/>
        <v>1</v>
      </c>
      <c r="B294" s="155" t="s">
        <v>204</v>
      </c>
      <c r="C294" s="156">
        <v>2182</v>
      </c>
      <c r="D294" s="157" t="s">
        <v>349</v>
      </c>
      <c r="E294" s="158">
        <f>SUM(E295,E300)</f>
        <v>0</v>
      </c>
      <c r="F294" s="158">
        <f>SUMIF(Lanç!$C$115:$C$6504,C294,Lanç!$F$115:$F$6504)</f>
        <v>0</v>
      </c>
      <c r="G294" s="158">
        <f>SUMIF(Lanç!$C$115:$C$6504,C294,Lanç!$G$115:$G$6504)</f>
        <v>0</v>
      </c>
      <c r="H294" s="154">
        <f t="shared" si="16"/>
        <v>0</v>
      </c>
      <c r="I294" s="154">
        <f t="shared" si="17"/>
        <v>0</v>
      </c>
      <c r="J294" s="1"/>
      <c r="K294" s="1"/>
      <c r="L294" s="1"/>
      <c r="M294" s="1"/>
      <c r="N294" s="1"/>
    </row>
    <row r="295" spans="1:14" hidden="1">
      <c r="A295" s="151">
        <f t="shared" si="15"/>
        <v>1</v>
      </c>
      <c r="B295" s="155" t="s">
        <v>204</v>
      </c>
      <c r="C295" s="156">
        <v>21821</v>
      </c>
      <c r="D295" s="157" t="s">
        <v>349</v>
      </c>
      <c r="E295" s="158">
        <f>SUM(E296:E297)</f>
        <v>0</v>
      </c>
      <c r="F295" s="158">
        <f>SUM(F296:F297)</f>
        <v>0</v>
      </c>
      <c r="G295" s="158">
        <f>SUM(G296:G297)</f>
        <v>0</v>
      </c>
      <c r="H295" s="154">
        <f t="shared" si="16"/>
        <v>0</v>
      </c>
      <c r="I295" s="154">
        <f t="shared" si="17"/>
        <v>0</v>
      </c>
    </row>
    <row r="296" spans="1:14" hidden="1">
      <c r="A296" s="151">
        <f t="shared" si="15"/>
        <v>1</v>
      </c>
      <c r="B296" s="151" t="s">
        <v>206</v>
      </c>
      <c r="C296" s="159">
        <v>218211</v>
      </c>
      <c r="D296" s="160" t="s">
        <v>350</v>
      </c>
      <c r="E296" s="161">
        <f>SUMIF(Lanç!$C$3:$C$114,C296,Lanç!$F$3:$F$114)</f>
        <v>0</v>
      </c>
      <c r="F296" s="161">
        <f>SUMIF(Lanç!$C$115:$C$6504,C296,Lanç!$F$115:$F$6504)</f>
        <v>0</v>
      </c>
      <c r="G296" s="161">
        <f>SUMIF(Lanç!$C$115:$C$6504,C296,Lanç!$G$115:$G$6504)</f>
        <v>0</v>
      </c>
      <c r="H296" s="162">
        <f t="shared" si="16"/>
        <v>0</v>
      </c>
      <c r="I296" s="162">
        <f t="shared" si="17"/>
        <v>0</v>
      </c>
    </row>
    <row r="297" spans="1:14" hidden="1">
      <c r="A297" s="151">
        <f t="shared" si="15"/>
        <v>1</v>
      </c>
      <c r="B297" s="155" t="s">
        <v>204</v>
      </c>
      <c r="C297" s="156">
        <v>218212</v>
      </c>
      <c r="D297" s="157" t="s">
        <v>353</v>
      </c>
      <c r="E297" s="158">
        <f>SUM(E298:E299)</f>
        <v>0</v>
      </c>
      <c r="F297" s="158">
        <f>SUM(F298:F299)</f>
        <v>0</v>
      </c>
      <c r="G297" s="158">
        <f>SUM(G298:G299)</f>
        <v>0</v>
      </c>
      <c r="H297" s="154">
        <f t="shared" si="16"/>
        <v>0</v>
      </c>
      <c r="I297" s="154">
        <f t="shared" si="17"/>
        <v>0</v>
      </c>
      <c r="J297" s="1"/>
      <c r="K297" s="1"/>
      <c r="L297" s="1"/>
      <c r="M297" s="1"/>
      <c r="N297" s="1"/>
    </row>
    <row r="298" spans="1:14" hidden="1">
      <c r="A298" s="151">
        <f t="shared" si="15"/>
        <v>1</v>
      </c>
      <c r="B298" s="151" t="s">
        <v>206</v>
      </c>
      <c r="C298" s="159">
        <v>2182121</v>
      </c>
      <c r="D298" s="160" t="s">
        <v>354</v>
      </c>
      <c r="E298" s="161">
        <f>SUMIF(Lanç!$C$3:$C$114,C298,Lanç!$F$3:$F$114)</f>
        <v>0</v>
      </c>
      <c r="F298" s="161">
        <f>SUMIF(Lanç!$C$115:$C$6504,C298,Lanç!$F$115:$F$6504)</f>
        <v>0</v>
      </c>
      <c r="G298" s="161">
        <f>SUMIF(Lanç!$C$115:$C$6504,C298,Lanç!$G$115:$G$6504)</f>
        <v>0</v>
      </c>
      <c r="H298" s="162">
        <f t="shared" si="16"/>
        <v>0</v>
      </c>
      <c r="I298" s="162">
        <f t="shared" si="17"/>
        <v>0</v>
      </c>
    </row>
    <row r="299" spans="1:14" hidden="1">
      <c r="A299" s="151">
        <f t="shared" si="15"/>
        <v>1</v>
      </c>
      <c r="B299" s="151" t="s">
        <v>206</v>
      </c>
      <c r="C299" s="159">
        <v>2182122</v>
      </c>
      <c r="D299" s="160" t="s">
        <v>357</v>
      </c>
      <c r="E299" s="161">
        <f>SUMIF(Lanç!$C$3:$C$114,C299,Lanç!$F$3:$F$114)</f>
        <v>0</v>
      </c>
      <c r="F299" s="161">
        <f>SUMIF(Lanç!$C$115:$C$6504,C299,Lanç!$F$115:$F$6504)</f>
        <v>0</v>
      </c>
      <c r="G299" s="161">
        <f>SUMIF(Lanç!$C$115:$C$6504,C299,Lanç!$G$115:$G$6504)</f>
        <v>0</v>
      </c>
      <c r="H299" s="162">
        <f t="shared" si="16"/>
        <v>0</v>
      </c>
      <c r="I299" s="162">
        <f t="shared" si="17"/>
        <v>0</v>
      </c>
    </row>
    <row r="300" spans="1:14" hidden="1">
      <c r="A300" s="151">
        <f t="shared" si="15"/>
        <v>1</v>
      </c>
      <c r="B300" s="155" t="s">
        <v>204</v>
      </c>
      <c r="C300" s="156">
        <v>21824</v>
      </c>
      <c r="D300" s="157" t="s">
        <v>360</v>
      </c>
      <c r="E300" s="158">
        <f>SUM(E301:E302)</f>
        <v>0</v>
      </c>
      <c r="F300" s="158">
        <f>SUM(F301:F302)</f>
        <v>0</v>
      </c>
      <c r="G300" s="158">
        <f>SUM(G301:G302)</f>
        <v>0</v>
      </c>
      <c r="H300" s="154">
        <f t="shared" si="16"/>
        <v>0</v>
      </c>
      <c r="I300" s="154">
        <f t="shared" si="17"/>
        <v>0</v>
      </c>
      <c r="J300" s="1"/>
      <c r="K300" s="1"/>
      <c r="L300" s="1"/>
      <c r="M300" s="1"/>
      <c r="N300" s="1"/>
    </row>
    <row r="301" spans="1:14" hidden="1">
      <c r="A301" s="151">
        <f t="shared" si="15"/>
        <v>1</v>
      </c>
      <c r="B301" s="151" t="s">
        <v>206</v>
      </c>
      <c r="C301" s="159">
        <v>218241</v>
      </c>
      <c r="D301" s="160" t="s">
        <v>361</v>
      </c>
      <c r="E301" s="161">
        <f>SUMIF(Lanç!$C$3:$C$114,C301,Lanç!$F$3:$F$114)</f>
        <v>0</v>
      </c>
      <c r="F301" s="161">
        <f>SUMIF(Lanç!$C$115:$C$6504,C301,Lanç!$F$115:$F$6504)</f>
        <v>0</v>
      </c>
      <c r="G301" s="161">
        <f>SUMIF(Lanç!$C$115:$C$6504,C301,Lanç!$G$115:$G$6504)</f>
        <v>0</v>
      </c>
      <c r="H301" s="162">
        <f t="shared" si="16"/>
        <v>0</v>
      </c>
      <c r="I301" s="162">
        <f t="shared" si="17"/>
        <v>0</v>
      </c>
    </row>
    <row r="302" spans="1:14" hidden="1">
      <c r="A302" s="151">
        <f t="shared" si="15"/>
        <v>1</v>
      </c>
      <c r="B302" s="155" t="s">
        <v>204</v>
      </c>
      <c r="C302" s="156">
        <v>218242</v>
      </c>
      <c r="D302" s="157" t="s">
        <v>364</v>
      </c>
      <c r="E302" s="158">
        <f>SUM(E303:E304)</f>
        <v>0</v>
      </c>
      <c r="F302" s="158">
        <f>SUM(F303:F304)</f>
        <v>0</v>
      </c>
      <c r="G302" s="158">
        <f>SUM(G303:G304)</f>
        <v>0</v>
      </c>
      <c r="H302" s="154">
        <f t="shared" si="16"/>
        <v>0</v>
      </c>
      <c r="I302" s="154">
        <f t="shared" si="17"/>
        <v>0</v>
      </c>
      <c r="J302" s="1"/>
      <c r="K302" s="1"/>
      <c r="L302" s="1"/>
      <c r="M302" s="1"/>
      <c r="N302" s="1"/>
    </row>
    <row r="303" spans="1:14" hidden="1">
      <c r="A303" s="151">
        <f t="shared" si="15"/>
        <v>1</v>
      </c>
      <c r="B303" s="151" t="s">
        <v>206</v>
      </c>
      <c r="C303" s="159">
        <v>2182421</v>
      </c>
      <c r="D303" s="160" t="s">
        <v>365</v>
      </c>
      <c r="E303" s="161">
        <f>SUMIF(Lanç!$C$3:$C$114,C303,Lanç!$F$3:$F$114)</f>
        <v>0</v>
      </c>
      <c r="F303" s="161">
        <f>SUMIF(Lanç!$C$115:$C$6504,C303,Lanç!$F$115:$F$6504)</f>
        <v>0</v>
      </c>
      <c r="G303" s="161">
        <f>SUMIF(Lanç!$C$115:$C$6504,C303,Lanç!$G$115:$G$6504)</f>
        <v>0</v>
      </c>
      <c r="H303" s="162">
        <f t="shared" si="16"/>
        <v>0</v>
      </c>
      <c r="I303" s="162">
        <f t="shared" si="17"/>
        <v>0</v>
      </c>
    </row>
    <row r="304" spans="1:14" hidden="1">
      <c r="A304" s="151">
        <f t="shared" si="15"/>
        <v>1</v>
      </c>
      <c r="B304" s="151" t="s">
        <v>206</v>
      </c>
      <c r="C304" s="159">
        <v>2182422</v>
      </c>
      <c r="D304" s="160" t="s">
        <v>368</v>
      </c>
      <c r="E304" s="161">
        <f>SUMIF(Lanç!$C$3:$C$114,C304,Lanç!$F$3:$F$114)</f>
        <v>0</v>
      </c>
      <c r="F304" s="161">
        <f>SUMIF(Lanç!$C$115:$C$6504,C304,Lanç!$F$115:$F$6504)</f>
        <v>0</v>
      </c>
      <c r="G304" s="161">
        <f>SUMIF(Lanç!$C$115:$C$6504,C304,Lanç!$G$115:$G$6504)</f>
        <v>0</v>
      </c>
      <c r="H304" s="162">
        <f t="shared" si="16"/>
        <v>0</v>
      </c>
      <c r="I304" s="162">
        <f t="shared" si="17"/>
        <v>0</v>
      </c>
    </row>
    <row r="305" spans="1:14" hidden="1">
      <c r="A305" s="151">
        <f t="shared" si="15"/>
        <v>1</v>
      </c>
      <c r="B305" s="155" t="s">
        <v>204</v>
      </c>
      <c r="C305" s="156">
        <v>219</v>
      </c>
      <c r="D305" s="157" t="s">
        <v>378</v>
      </c>
      <c r="E305" s="158">
        <f>SUM(E306)</f>
        <v>0</v>
      </c>
      <c r="F305" s="158">
        <f>SUM(F306)</f>
        <v>0</v>
      </c>
      <c r="G305" s="158">
        <f>SUM(G306)</f>
        <v>0</v>
      </c>
      <c r="H305" s="154">
        <f t="shared" si="16"/>
        <v>0</v>
      </c>
      <c r="I305" s="154">
        <f t="shared" si="17"/>
        <v>0</v>
      </c>
      <c r="J305" s="1"/>
      <c r="K305" s="1"/>
      <c r="L305" s="1"/>
      <c r="M305" s="1"/>
      <c r="N305" s="1"/>
    </row>
    <row r="306" spans="1:14" hidden="1">
      <c r="A306" s="151">
        <f t="shared" si="15"/>
        <v>1</v>
      </c>
      <c r="B306" s="151" t="s">
        <v>206</v>
      </c>
      <c r="C306" s="159">
        <v>219</v>
      </c>
      <c r="D306" s="160" t="s">
        <v>378</v>
      </c>
      <c r="E306" s="161">
        <f>SUMIF(Lanç!$C$3:$C$114,C306,Lanç!$F$3:$F$114)</f>
        <v>0</v>
      </c>
      <c r="F306" s="161">
        <f>SUMIF(Lanç!$C$115:$C$6504,C306,Lanç!$F$115:$F$6504)</f>
        <v>0</v>
      </c>
      <c r="G306" s="161">
        <f>SUMIF(Lanç!$C$115:$C$6504,C306,Lanç!$G$115:$G$6504)</f>
        <v>0</v>
      </c>
      <c r="H306" s="162">
        <f t="shared" si="16"/>
        <v>0</v>
      </c>
      <c r="I306" s="162">
        <f t="shared" si="17"/>
        <v>0</v>
      </c>
    </row>
    <row r="307" spans="1:14">
      <c r="A307" s="151">
        <f t="shared" si="15"/>
        <v>0</v>
      </c>
      <c r="B307" s="155" t="s">
        <v>202</v>
      </c>
      <c r="C307" s="156">
        <v>22</v>
      </c>
      <c r="D307" s="157" t="s">
        <v>379</v>
      </c>
      <c r="E307" s="158">
        <f>SUM(E308,E311,E314,E317,E320,E323)</f>
        <v>27786230.640000001</v>
      </c>
      <c r="F307" s="158">
        <f>SUM(F308,F311,F314,F317,F320,F323)</f>
        <v>35855037.18</v>
      </c>
      <c r="G307" s="158">
        <f>SUM(G308,G311,G314,G317,G320,G323)</f>
        <v>0</v>
      </c>
      <c r="H307" s="154">
        <f t="shared" si="16"/>
        <v>35855037.18</v>
      </c>
      <c r="I307" s="154">
        <f t="shared" si="17"/>
        <v>63641267.82</v>
      </c>
      <c r="J307" s="1"/>
      <c r="K307" s="1"/>
      <c r="L307" s="1"/>
      <c r="M307" s="1"/>
      <c r="N307" s="1"/>
    </row>
    <row r="308" spans="1:14">
      <c r="A308" s="151">
        <f t="shared" si="15"/>
        <v>0</v>
      </c>
      <c r="B308" s="155" t="s">
        <v>204</v>
      </c>
      <c r="C308" s="156">
        <v>221</v>
      </c>
      <c r="D308" s="157" t="s">
        <v>380</v>
      </c>
      <c r="E308" s="158">
        <f>SUM(E309:E310)</f>
        <v>27786230.640000001</v>
      </c>
      <c r="F308" s="158">
        <f>SUM(F309:F310)</f>
        <v>35855037.18</v>
      </c>
      <c r="G308" s="158">
        <f>SUM(G309:G310)</f>
        <v>0</v>
      </c>
      <c r="H308" s="154">
        <f t="shared" si="16"/>
        <v>35855037.18</v>
      </c>
      <c r="I308" s="154">
        <f t="shared" si="17"/>
        <v>63641267.82</v>
      </c>
    </row>
    <row r="309" spans="1:14">
      <c r="A309" s="151">
        <f t="shared" si="15"/>
        <v>0</v>
      </c>
      <c r="B309" s="151" t="s">
        <v>206</v>
      </c>
      <c r="C309" s="159">
        <v>2211</v>
      </c>
      <c r="D309" s="160" t="s">
        <v>381</v>
      </c>
      <c r="E309" s="161">
        <f>SUMIF(Lanç!$C$3:$C$114,C309,Lanç!$F$3:$F$114)</f>
        <v>27786230.640000001</v>
      </c>
      <c r="F309" s="161">
        <f>SUMIF(Lanç!$C$115:$C$6504,C309,Lanç!$F$115:$F$6504)</f>
        <v>35855037.18</v>
      </c>
      <c r="G309" s="161">
        <f>SUMIF(Lanç!$C$115:$C$6504,C309,Lanç!$G$115:$G$6504)</f>
        <v>0</v>
      </c>
      <c r="H309" s="162">
        <f t="shared" si="16"/>
        <v>35855037.18</v>
      </c>
      <c r="I309" s="162">
        <f t="shared" si="17"/>
        <v>63641267.82</v>
      </c>
    </row>
    <row r="310" spans="1:14" hidden="1">
      <c r="A310" s="151">
        <f t="shared" si="15"/>
        <v>1</v>
      </c>
      <c r="B310" s="151" t="s">
        <v>206</v>
      </c>
      <c r="C310" s="159">
        <v>2212</v>
      </c>
      <c r="D310" s="160" t="s">
        <v>382</v>
      </c>
      <c r="E310" s="161">
        <f>SUMIF(Lanç!$C$3:$C$114,C310,Lanç!$F$3:$F$114)</f>
        <v>0</v>
      </c>
      <c r="F310" s="161">
        <f>SUMIF(Lanç!$C$115:$C$6504,C310,Lanç!$F$115:$F$6504)</f>
        <v>0</v>
      </c>
      <c r="G310" s="161">
        <f>SUMIF(Lanç!$C$115:$C$6504,C310,Lanç!$G$115:$G$6504)</f>
        <v>0</v>
      </c>
      <c r="H310" s="162">
        <f t="shared" si="16"/>
        <v>0</v>
      </c>
      <c r="I310" s="162">
        <f t="shared" si="17"/>
        <v>0</v>
      </c>
    </row>
    <row r="311" spans="1:14" hidden="1">
      <c r="A311" s="151">
        <f t="shared" si="15"/>
        <v>1</v>
      </c>
      <c r="B311" s="155" t="s">
        <v>204</v>
      </c>
      <c r="C311" s="156">
        <v>222</v>
      </c>
      <c r="D311" s="157" t="s">
        <v>383</v>
      </c>
      <c r="E311" s="158">
        <f>SUM(E312:E313)</f>
        <v>0</v>
      </c>
      <c r="F311" s="158">
        <f>SUM(F312:F313)</f>
        <v>0</v>
      </c>
      <c r="G311" s="158">
        <f>SUM(G312:G313)</f>
        <v>0</v>
      </c>
      <c r="H311" s="154">
        <f t="shared" si="16"/>
        <v>0</v>
      </c>
      <c r="I311" s="154">
        <f t="shared" si="17"/>
        <v>0</v>
      </c>
      <c r="J311" s="1"/>
      <c r="K311" s="1"/>
      <c r="L311" s="1"/>
      <c r="M311" s="1"/>
      <c r="N311" s="1"/>
    </row>
    <row r="312" spans="1:14" hidden="1">
      <c r="A312" s="151">
        <f t="shared" si="15"/>
        <v>1</v>
      </c>
      <c r="B312" s="151" t="s">
        <v>206</v>
      </c>
      <c r="C312" s="159">
        <v>2221</v>
      </c>
      <c r="D312" s="160" t="s">
        <v>384</v>
      </c>
      <c r="E312" s="161">
        <f>SUMIF(Lanç!$C$3:$C$114,C312,Lanç!$F$3:$F$114)</f>
        <v>0</v>
      </c>
      <c r="F312" s="161">
        <f>SUMIF(Lanç!$C$115:$C$6504,C312,Lanç!$F$115:$F$6504)</f>
        <v>0</v>
      </c>
      <c r="G312" s="161">
        <f>SUMIF(Lanç!$C$115:$C$6504,C312,Lanç!$G$115:$G$6504)</f>
        <v>0</v>
      </c>
      <c r="H312" s="162">
        <f t="shared" si="16"/>
        <v>0</v>
      </c>
      <c r="I312" s="162">
        <f t="shared" si="17"/>
        <v>0</v>
      </c>
    </row>
    <row r="313" spans="1:14" hidden="1">
      <c r="A313" s="151">
        <f t="shared" si="15"/>
        <v>1</v>
      </c>
      <c r="B313" s="151" t="s">
        <v>206</v>
      </c>
      <c r="C313" s="159">
        <v>2222</v>
      </c>
      <c r="D313" s="160" t="s">
        <v>385</v>
      </c>
      <c r="E313" s="161">
        <f>SUMIF(Lanç!$C$3:$C$114,C313,Lanç!$F$3:$F$114)</f>
        <v>0</v>
      </c>
      <c r="F313" s="161">
        <f>SUMIF(Lanç!$C$115:$C$6504,C313,Lanç!$F$115:$F$6504)</f>
        <v>0</v>
      </c>
      <c r="G313" s="161">
        <f>SUMIF(Lanç!$C$115:$C$6504,C313,Lanç!$G$115:$G$6504)</f>
        <v>0</v>
      </c>
      <c r="H313" s="162">
        <f t="shared" si="16"/>
        <v>0</v>
      </c>
      <c r="I313" s="162">
        <f t="shared" si="17"/>
        <v>0</v>
      </c>
    </row>
    <row r="314" spans="1:14" hidden="1">
      <c r="A314" s="151">
        <f t="shared" si="15"/>
        <v>1</v>
      </c>
      <c r="B314" s="155" t="s">
        <v>204</v>
      </c>
      <c r="C314" s="156">
        <v>223</v>
      </c>
      <c r="D314" s="157" t="s">
        <v>317</v>
      </c>
      <c r="E314" s="158">
        <f>SUM(E315:E316)</f>
        <v>0</v>
      </c>
      <c r="F314" s="158">
        <f>SUM(F315:F316)</f>
        <v>0</v>
      </c>
      <c r="G314" s="158">
        <f>SUM(G315:G316)</f>
        <v>0</v>
      </c>
      <c r="H314" s="154">
        <f t="shared" si="16"/>
        <v>0</v>
      </c>
      <c r="I314" s="154">
        <f t="shared" si="17"/>
        <v>0</v>
      </c>
      <c r="J314" s="1"/>
      <c r="K314" s="1"/>
      <c r="L314" s="1"/>
      <c r="M314" s="1"/>
      <c r="N314" s="1"/>
    </row>
    <row r="315" spans="1:14" hidden="1">
      <c r="A315" s="151">
        <f t="shared" si="15"/>
        <v>1</v>
      </c>
      <c r="B315" s="151" t="s">
        <v>206</v>
      </c>
      <c r="C315" s="159">
        <v>2231</v>
      </c>
      <c r="D315" s="160" t="s">
        <v>386</v>
      </c>
      <c r="E315" s="161">
        <f>SUMIF(Lanç!$C$3:$C$114,C315,Lanç!$F$3:$F$114)</f>
        <v>0</v>
      </c>
      <c r="F315" s="161">
        <f>SUMIF(Lanç!$C$115:$C$6504,C315,Lanç!$F$115:$F$6504)</f>
        <v>0</v>
      </c>
      <c r="G315" s="161">
        <f>SUMIF(Lanç!$C$115:$C$6504,C315,Lanç!$G$115:$G$6504)</f>
        <v>0</v>
      </c>
      <c r="H315" s="162">
        <f t="shared" si="16"/>
        <v>0</v>
      </c>
      <c r="I315" s="162">
        <f t="shared" si="17"/>
        <v>0</v>
      </c>
    </row>
    <row r="316" spans="1:14" hidden="1">
      <c r="A316" s="151">
        <f t="shared" si="15"/>
        <v>1</v>
      </c>
      <c r="B316" s="151" t="s">
        <v>206</v>
      </c>
      <c r="C316" s="159">
        <v>2232</v>
      </c>
      <c r="D316" s="160" t="s">
        <v>387</v>
      </c>
      <c r="E316" s="161">
        <f>SUMIF(Lanç!$C$3:$C$114,C316,Lanç!$F$3:$F$114)</f>
        <v>0</v>
      </c>
      <c r="F316" s="161">
        <f>SUMIF(Lanç!$C$115:$C$6504,C316,Lanç!$F$115:$F$6504)</f>
        <v>0</v>
      </c>
      <c r="G316" s="161">
        <f>SUMIF(Lanç!$C$115:$C$6504,C316,Lanç!$G$115:$G$6504)</f>
        <v>0</v>
      </c>
      <c r="H316" s="162">
        <f t="shared" si="16"/>
        <v>0</v>
      </c>
      <c r="I316" s="162">
        <f t="shared" si="17"/>
        <v>0</v>
      </c>
    </row>
    <row r="317" spans="1:14" hidden="1">
      <c r="A317" s="151">
        <f t="shared" si="15"/>
        <v>1</v>
      </c>
      <c r="B317" s="155" t="s">
        <v>204</v>
      </c>
      <c r="C317" s="156">
        <v>224</v>
      </c>
      <c r="D317" s="157" t="s">
        <v>327</v>
      </c>
      <c r="E317" s="158">
        <f>SUM(E318:E319)</f>
        <v>0</v>
      </c>
      <c r="F317" s="158">
        <f>SUM(F318:F319)</f>
        <v>0</v>
      </c>
      <c r="G317" s="158">
        <f>SUM(G318:G319)</f>
        <v>0</v>
      </c>
      <c r="H317" s="154">
        <f t="shared" si="16"/>
        <v>0</v>
      </c>
      <c r="I317" s="154">
        <f t="shared" si="17"/>
        <v>0</v>
      </c>
      <c r="J317" s="1"/>
      <c r="K317" s="1"/>
      <c r="L317" s="1"/>
      <c r="M317" s="1"/>
      <c r="N317" s="1"/>
    </row>
    <row r="318" spans="1:14" hidden="1">
      <c r="A318" s="151">
        <f t="shared" si="15"/>
        <v>1</v>
      </c>
      <c r="B318" s="151" t="s">
        <v>206</v>
      </c>
      <c r="C318" s="159">
        <v>2241</v>
      </c>
      <c r="D318" s="160" t="s">
        <v>388</v>
      </c>
      <c r="E318" s="161">
        <f>SUMIF(Lanç!$C$3:$C$114,C318,Lanç!$F$3:$F$114)</f>
        <v>0</v>
      </c>
      <c r="F318" s="161">
        <f>SUMIF(Lanç!$C$115:$C$6504,C318,Lanç!$F$115:$F$6504)</f>
        <v>0</v>
      </c>
      <c r="G318" s="161">
        <f>SUMIF(Lanç!$C$115:$C$6504,C318,Lanç!$G$115:$G$6504)</f>
        <v>0</v>
      </c>
      <c r="H318" s="162">
        <f t="shared" si="16"/>
        <v>0</v>
      </c>
      <c r="I318" s="162">
        <f t="shared" si="17"/>
        <v>0</v>
      </c>
    </row>
    <row r="319" spans="1:14" hidden="1">
      <c r="A319" s="151">
        <f t="shared" si="15"/>
        <v>1</v>
      </c>
      <c r="B319" s="151" t="s">
        <v>206</v>
      </c>
      <c r="C319" s="159">
        <v>2242</v>
      </c>
      <c r="D319" s="160" t="s">
        <v>389</v>
      </c>
      <c r="E319" s="161">
        <f>SUMIF(Lanç!$C$3:$C$114,C319,Lanç!$F$3:$F$114)</f>
        <v>0</v>
      </c>
      <c r="F319" s="161">
        <f>SUMIF(Lanç!$C$115:$C$6504,C319,Lanç!$F$115:$F$6504)</f>
        <v>0</v>
      </c>
      <c r="G319" s="161">
        <f>SUMIF(Lanç!$C$115:$C$6504,C319,Lanç!$G$115:$G$6504)</f>
        <v>0</v>
      </c>
      <c r="H319" s="162">
        <f t="shared" si="16"/>
        <v>0</v>
      </c>
      <c r="I319" s="162">
        <f t="shared" si="17"/>
        <v>0</v>
      </c>
    </row>
    <row r="320" spans="1:14" hidden="1">
      <c r="A320" s="151">
        <f t="shared" si="15"/>
        <v>1</v>
      </c>
      <c r="B320" s="155" t="s">
        <v>204</v>
      </c>
      <c r="C320" s="156">
        <v>225</v>
      </c>
      <c r="D320" s="157" t="s">
        <v>338</v>
      </c>
      <c r="E320" s="158">
        <f>SUM(E321:E322)</f>
        <v>0</v>
      </c>
      <c r="F320" s="158">
        <f>SUM(F321:F322)</f>
        <v>0</v>
      </c>
      <c r="G320" s="158">
        <f>SUM(G321:G322)</f>
        <v>0</v>
      </c>
      <c r="H320" s="154">
        <f t="shared" si="16"/>
        <v>0</v>
      </c>
      <c r="I320" s="154">
        <f t="shared" si="17"/>
        <v>0</v>
      </c>
      <c r="J320" s="1"/>
      <c r="K320" s="1"/>
      <c r="L320" s="1"/>
      <c r="M320" s="1"/>
      <c r="N320" s="1"/>
    </row>
    <row r="321" spans="1:14" hidden="1">
      <c r="A321" s="151">
        <f t="shared" si="15"/>
        <v>1</v>
      </c>
      <c r="B321" s="151" t="s">
        <v>206</v>
      </c>
      <c r="C321" s="159">
        <v>2251</v>
      </c>
      <c r="D321" s="160" t="s">
        <v>390</v>
      </c>
      <c r="E321" s="161">
        <f>SUMIF(Lanç!$C$3:$C$114,C321,Lanç!$F$3:$F$114)</f>
        <v>0</v>
      </c>
      <c r="F321" s="161">
        <f>SUMIF(Lanç!$C$115:$C$6504,C321,Lanç!$F$115:$F$6504)</f>
        <v>0</v>
      </c>
      <c r="G321" s="161">
        <f>SUMIF(Lanç!$C$115:$C$6504,C321,Lanç!$G$115:$G$6504)</f>
        <v>0</v>
      </c>
      <c r="H321" s="162">
        <f t="shared" si="16"/>
        <v>0</v>
      </c>
      <c r="I321" s="162">
        <f t="shared" si="17"/>
        <v>0</v>
      </c>
    </row>
    <row r="322" spans="1:14" hidden="1">
      <c r="A322" s="151">
        <f t="shared" si="15"/>
        <v>1</v>
      </c>
      <c r="B322" s="151" t="s">
        <v>206</v>
      </c>
      <c r="C322" s="159">
        <v>2252</v>
      </c>
      <c r="D322" s="160" t="s">
        <v>391</v>
      </c>
      <c r="E322" s="161">
        <f>SUMIF(Lanç!$C$3:$C$114,C322,Lanç!$F$3:$F$114)</f>
        <v>0</v>
      </c>
      <c r="F322" s="161">
        <f>SUMIF(Lanç!$C$115:$C$6504,C322,Lanç!$F$115:$F$6504)</f>
        <v>0</v>
      </c>
      <c r="G322" s="161">
        <f>SUMIF(Lanç!$C$115:$C$6504,C322,Lanç!$G$115:$G$6504)</f>
        <v>0</v>
      </c>
      <c r="H322" s="162">
        <f t="shared" si="16"/>
        <v>0</v>
      </c>
      <c r="I322" s="162">
        <f t="shared" si="17"/>
        <v>0</v>
      </c>
    </row>
    <row r="323" spans="1:14" hidden="1">
      <c r="A323" s="151">
        <f t="shared" si="15"/>
        <v>1</v>
      </c>
      <c r="B323" s="155" t="s">
        <v>204</v>
      </c>
      <c r="C323" s="156">
        <v>229</v>
      </c>
      <c r="D323" s="157" t="s">
        <v>392</v>
      </c>
      <c r="E323" s="158">
        <f>SUM(E324)</f>
        <v>0</v>
      </c>
      <c r="F323" s="158">
        <f>SUM(F324)</f>
        <v>0</v>
      </c>
      <c r="G323" s="158">
        <f>SUM(G324)</f>
        <v>0</v>
      </c>
      <c r="H323" s="154">
        <f t="shared" si="16"/>
        <v>0</v>
      </c>
      <c r="I323" s="154">
        <f t="shared" si="17"/>
        <v>0</v>
      </c>
      <c r="J323" s="1"/>
      <c r="K323" s="1"/>
      <c r="L323" s="1"/>
      <c r="M323" s="1"/>
      <c r="N323" s="1"/>
    </row>
    <row r="324" spans="1:14" hidden="1">
      <c r="A324" s="151">
        <f t="shared" si="15"/>
        <v>1</v>
      </c>
      <c r="B324" s="151" t="s">
        <v>206</v>
      </c>
      <c r="C324" s="159">
        <v>229</v>
      </c>
      <c r="D324" s="160" t="s">
        <v>392</v>
      </c>
      <c r="E324" s="161">
        <f>SUMIF(Lanç!$C$3:$C$114,C324,Lanç!$F$3:$F$114)</f>
        <v>0</v>
      </c>
      <c r="F324" s="161">
        <f>SUMIF(Lanç!$C$115:$C$6504,C324,Lanç!$F$115:$F$6504)</f>
        <v>0</v>
      </c>
      <c r="G324" s="161">
        <f>SUMIF(Lanç!$C$115:$C$6504,C324,Lanç!$G$115:$G$6504)</f>
        <v>0</v>
      </c>
      <c r="H324" s="162">
        <f t="shared" si="16"/>
        <v>0</v>
      </c>
      <c r="I324" s="162">
        <f t="shared" si="17"/>
        <v>0</v>
      </c>
    </row>
    <row r="325" spans="1:14" hidden="1">
      <c r="A325" s="151">
        <f t="shared" si="15"/>
        <v>1</v>
      </c>
      <c r="B325" s="155" t="s">
        <v>202</v>
      </c>
      <c r="C325" s="156">
        <v>23</v>
      </c>
      <c r="D325" s="157" t="s">
        <v>393</v>
      </c>
      <c r="E325" s="158">
        <f>SUM(E326:E327)</f>
        <v>0</v>
      </c>
      <c r="F325" s="158">
        <f>SUM(F326:F327)</f>
        <v>0</v>
      </c>
      <c r="G325" s="158">
        <f>SUM(G326:G327)</f>
        <v>0</v>
      </c>
      <c r="H325" s="154">
        <f t="shared" si="16"/>
        <v>0</v>
      </c>
      <c r="I325" s="154">
        <f t="shared" si="17"/>
        <v>0</v>
      </c>
      <c r="J325" s="1"/>
      <c r="K325" s="1"/>
      <c r="L325" s="1"/>
      <c r="M325" s="1"/>
      <c r="N325" s="1"/>
    </row>
    <row r="326" spans="1:14" hidden="1">
      <c r="A326" s="151">
        <f t="shared" ref="A326:A389" si="18">IF(E326+F326+G326+H326+I326=0,1,0)</f>
        <v>1</v>
      </c>
      <c r="B326" s="151" t="s">
        <v>206</v>
      </c>
      <c r="C326" s="159">
        <v>231</v>
      </c>
      <c r="D326" s="160" t="s">
        <v>394</v>
      </c>
      <c r="E326" s="161">
        <f>SUMIF(Lanç!$C$3:$C$114,C326,Lanç!$F$3:$F$114)</f>
        <v>0</v>
      </c>
      <c r="F326" s="161">
        <f>SUMIF(Lanç!$C$115:$C$6504,C326,Lanç!$F$115:$F$6504)</f>
        <v>0</v>
      </c>
      <c r="G326" s="161">
        <f>SUMIF(Lanç!$C$115:$C$6504,C326,Lanç!$G$115:$G$6504)</f>
        <v>0</v>
      </c>
      <c r="H326" s="162">
        <f t="shared" ref="H326:H389" si="19">(F326)-(G326)</f>
        <v>0</v>
      </c>
      <c r="I326" s="162">
        <f t="shared" ref="I326:I389" si="20">(E326)+(H326)</f>
        <v>0</v>
      </c>
    </row>
    <row r="327" spans="1:14" hidden="1">
      <c r="A327" s="151">
        <f t="shared" si="18"/>
        <v>1</v>
      </c>
      <c r="B327" s="151" t="s">
        <v>206</v>
      </c>
      <c r="C327" s="159">
        <v>232</v>
      </c>
      <c r="D327" s="160" t="s">
        <v>269</v>
      </c>
      <c r="E327" s="161">
        <f>SUMIF(Lanç!$C$3:$C$114,C327,Lanç!$F$3:$F$114)</f>
        <v>0</v>
      </c>
      <c r="F327" s="161">
        <f>SUMIF(Lanç!$C$115:$C$6504,C327,Lanç!$F$115:$F$6504)</f>
        <v>0</v>
      </c>
      <c r="G327" s="161">
        <f>SUMIF(Lanç!$C$115:$C$6504,C327,Lanç!$G$115:$G$6504)</f>
        <v>0</v>
      </c>
      <c r="H327" s="162">
        <f t="shared" si="19"/>
        <v>0</v>
      </c>
      <c r="I327" s="162">
        <f t="shared" si="20"/>
        <v>0</v>
      </c>
    </row>
    <row r="328" spans="1:14" hidden="1">
      <c r="A328" s="151">
        <f t="shared" si="18"/>
        <v>1</v>
      </c>
      <c r="B328" s="155" t="s">
        <v>202</v>
      </c>
      <c r="C328" s="156">
        <v>24</v>
      </c>
      <c r="D328" s="157" t="s">
        <v>395</v>
      </c>
      <c r="E328" s="158">
        <f>SUM(E329,E331,E333)</f>
        <v>0</v>
      </c>
      <c r="F328" s="158">
        <f>SUM(F329,F331,F333)</f>
        <v>0</v>
      </c>
      <c r="G328" s="158">
        <f>SUM(G329,G331,G333)</f>
        <v>0</v>
      </c>
      <c r="H328" s="154">
        <f t="shared" si="19"/>
        <v>0</v>
      </c>
      <c r="I328" s="154">
        <f t="shared" si="20"/>
        <v>0</v>
      </c>
      <c r="J328" s="1"/>
      <c r="K328" s="1"/>
      <c r="L328" s="1"/>
      <c r="M328" s="1"/>
      <c r="N328" s="1"/>
    </row>
    <row r="329" spans="1:14" hidden="1">
      <c r="A329" s="151">
        <f t="shared" si="18"/>
        <v>1</v>
      </c>
      <c r="B329" s="155" t="s">
        <v>204</v>
      </c>
      <c r="C329" s="156">
        <v>241</v>
      </c>
      <c r="D329" s="157" t="s">
        <v>396</v>
      </c>
      <c r="E329" s="158">
        <f>SUM(E330)</f>
        <v>0</v>
      </c>
      <c r="F329" s="158">
        <f>SUM(F330)</f>
        <v>0</v>
      </c>
      <c r="G329" s="158">
        <f>SUM(G330)</f>
        <v>0</v>
      </c>
      <c r="H329" s="154">
        <f t="shared" si="19"/>
        <v>0</v>
      </c>
      <c r="I329" s="154">
        <f t="shared" si="20"/>
        <v>0</v>
      </c>
    </row>
    <row r="330" spans="1:14" hidden="1">
      <c r="A330" s="151">
        <f t="shared" si="18"/>
        <v>1</v>
      </c>
      <c r="B330" s="151" t="s">
        <v>206</v>
      </c>
      <c r="C330" s="159">
        <v>2411</v>
      </c>
      <c r="D330" s="160" t="s">
        <v>397</v>
      </c>
      <c r="E330" s="161">
        <f>SUMIF(Lanç!$C$3:$C$114,C330,Lanç!$F$3:$F$114)</f>
        <v>0</v>
      </c>
      <c r="F330" s="161">
        <f>SUMIF(Lanç!$C$115:$C$6504,C330,Lanç!$F$115:$F$6504)</f>
        <v>0</v>
      </c>
      <c r="G330" s="161">
        <f>SUMIF(Lanç!$C$115:$C$6504,C330,Lanç!$G$115:$G$6504)</f>
        <v>0</v>
      </c>
      <c r="H330" s="162">
        <f t="shared" si="19"/>
        <v>0</v>
      </c>
      <c r="I330" s="162">
        <f t="shared" si="20"/>
        <v>0</v>
      </c>
    </row>
    <row r="331" spans="1:14" hidden="1">
      <c r="A331" s="151">
        <f t="shared" si="18"/>
        <v>1</v>
      </c>
      <c r="B331" s="155" t="s">
        <v>204</v>
      </c>
      <c r="C331" s="156">
        <v>242</v>
      </c>
      <c r="D331" s="157" t="s">
        <v>398</v>
      </c>
      <c r="E331" s="158">
        <f>SUM(E332)</f>
        <v>0</v>
      </c>
      <c r="F331" s="158">
        <f>SUM(F332)</f>
        <v>0</v>
      </c>
      <c r="G331" s="158">
        <f>SUM(G332)</f>
        <v>0</v>
      </c>
      <c r="H331" s="154">
        <f t="shared" si="19"/>
        <v>0</v>
      </c>
      <c r="I331" s="154">
        <f t="shared" si="20"/>
        <v>0</v>
      </c>
      <c r="J331" s="1"/>
      <c r="K331" s="1"/>
      <c r="L331" s="1"/>
      <c r="M331" s="1"/>
      <c r="N331" s="1"/>
    </row>
    <row r="332" spans="1:14" hidden="1">
      <c r="A332" s="151">
        <f t="shared" si="18"/>
        <v>1</v>
      </c>
      <c r="B332" s="151" t="s">
        <v>206</v>
      </c>
      <c r="C332" s="159">
        <v>2421</v>
      </c>
      <c r="D332" s="160" t="s">
        <v>399</v>
      </c>
      <c r="E332" s="161">
        <f>SUMIF(Lanç!$C$3:$C$114,C332,Lanç!$F$3:$F$114)</f>
        <v>0</v>
      </c>
      <c r="F332" s="161">
        <f>SUMIF(Lanç!$C$115:$C$6504,C332,Lanç!$F$115:$F$6504)</f>
        <v>0</v>
      </c>
      <c r="G332" s="161">
        <f>SUMIF(Lanç!$C$115:$C$6504,C332,Lanç!$G$115:$G$6504)</f>
        <v>0</v>
      </c>
      <c r="H332" s="162">
        <f t="shared" si="19"/>
        <v>0</v>
      </c>
      <c r="I332" s="162">
        <f t="shared" si="20"/>
        <v>0</v>
      </c>
    </row>
    <row r="333" spans="1:14" hidden="1">
      <c r="A333" s="151">
        <f t="shared" si="18"/>
        <v>1</v>
      </c>
      <c r="B333" s="155" t="s">
        <v>204</v>
      </c>
      <c r="C333" s="156">
        <v>249</v>
      </c>
      <c r="D333" s="157" t="s">
        <v>400</v>
      </c>
      <c r="E333" s="158">
        <f>SUM(E334)</f>
        <v>0</v>
      </c>
      <c r="F333" s="158">
        <f>SUM(F334)</f>
        <v>0</v>
      </c>
      <c r="G333" s="158">
        <f>SUM(G334)</f>
        <v>0</v>
      </c>
      <c r="H333" s="154">
        <f t="shared" si="19"/>
        <v>0</v>
      </c>
      <c r="I333" s="154">
        <f t="shared" si="20"/>
        <v>0</v>
      </c>
      <c r="J333" s="1"/>
      <c r="K333" s="1"/>
      <c r="L333" s="1"/>
      <c r="M333" s="1"/>
      <c r="N333" s="1"/>
    </row>
    <row r="334" spans="1:14" hidden="1">
      <c r="A334" s="151">
        <f t="shared" si="18"/>
        <v>1</v>
      </c>
      <c r="B334" s="151" t="s">
        <v>206</v>
      </c>
      <c r="C334" s="159">
        <v>2491</v>
      </c>
      <c r="D334" s="160" t="s">
        <v>401</v>
      </c>
      <c r="E334" s="161">
        <f>SUMIF(Lanç!$C$3:$C$114,C334,Lanç!$F$3:$F$114)</f>
        <v>0</v>
      </c>
      <c r="F334" s="161">
        <f>SUMIF(Lanç!$C$115:$C$6504,C334,Lanç!$F$115:$F$6504)</f>
        <v>0</v>
      </c>
      <c r="G334" s="161">
        <f>SUMIF(Lanç!$C$115:$C$6504,C334,Lanç!$G$115:$G$6504)</f>
        <v>0</v>
      </c>
      <c r="H334" s="162">
        <f t="shared" si="19"/>
        <v>0</v>
      </c>
      <c r="I334" s="162">
        <f t="shared" si="20"/>
        <v>0</v>
      </c>
    </row>
    <row r="335" spans="1:14" hidden="1">
      <c r="A335" s="151">
        <f t="shared" si="18"/>
        <v>1</v>
      </c>
      <c r="B335" s="155" t="s">
        <v>202</v>
      </c>
      <c r="C335" s="156">
        <v>25</v>
      </c>
      <c r="D335" s="157" t="s">
        <v>402</v>
      </c>
      <c r="E335" s="158">
        <f>SUM(E336,E338)</f>
        <v>0</v>
      </c>
      <c r="F335" s="158">
        <f>SUM(F336,F338)</f>
        <v>0</v>
      </c>
      <c r="G335" s="158">
        <f>SUM(G336,G338)</f>
        <v>0</v>
      </c>
      <c r="H335" s="154">
        <f t="shared" si="19"/>
        <v>0</v>
      </c>
      <c r="I335" s="154">
        <f t="shared" si="20"/>
        <v>0</v>
      </c>
      <c r="J335" s="1"/>
      <c r="K335" s="1"/>
      <c r="L335" s="1"/>
      <c r="M335" s="1"/>
      <c r="N335" s="1"/>
    </row>
    <row r="336" spans="1:14" hidden="1">
      <c r="A336" s="151">
        <f t="shared" si="18"/>
        <v>1</v>
      </c>
      <c r="B336" s="155" t="s">
        <v>204</v>
      </c>
      <c r="C336" s="156">
        <v>251</v>
      </c>
      <c r="D336" s="157" t="s">
        <v>403</v>
      </c>
      <c r="E336" s="158">
        <f>SUM(E337)</f>
        <v>0</v>
      </c>
      <c r="F336" s="158">
        <f>SUM(F337)</f>
        <v>0</v>
      </c>
      <c r="G336" s="158">
        <f>SUM(G337)</f>
        <v>0</v>
      </c>
      <c r="H336" s="154">
        <f t="shared" si="19"/>
        <v>0</v>
      </c>
      <c r="I336" s="154">
        <f t="shared" si="20"/>
        <v>0</v>
      </c>
    </row>
    <row r="337" spans="1:14" hidden="1">
      <c r="A337" s="151">
        <f t="shared" si="18"/>
        <v>1</v>
      </c>
      <c r="B337" s="151" t="s">
        <v>206</v>
      </c>
      <c r="C337" s="159">
        <v>2511</v>
      </c>
      <c r="D337" s="160" t="s">
        <v>404</v>
      </c>
      <c r="E337" s="161">
        <f>SUMIF(Lanç!$C$3:$C$114,C337,Lanç!$F$3:$F$114)</f>
        <v>0</v>
      </c>
      <c r="F337" s="161">
        <f>SUMIF(Lanç!$C$115:$C$6504,C337,Lanç!$F$115:$F$6504)</f>
        <v>0</v>
      </c>
      <c r="G337" s="161">
        <f>SUMIF(Lanç!$C$115:$C$6504,C337,Lanç!$G$115:$G$6504)</f>
        <v>0</v>
      </c>
      <c r="H337" s="162">
        <f t="shared" si="19"/>
        <v>0</v>
      </c>
      <c r="I337" s="162">
        <f t="shared" si="20"/>
        <v>0</v>
      </c>
    </row>
    <row r="338" spans="1:14" hidden="1">
      <c r="A338" s="151">
        <f t="shared" si="18"/>
        <v>1</v>
      </c>
      <c r="B338" s="155" t="s">
        <v>204</v>
      </c>
      <c r="C338" s="156">
        <v>252</v>
      </c>
      <c r="D338" s="157" t="s">
        <v>405</v>
      </c>
      <c r="E338" s="158">
        <f>SUM(E339)</f>
        <v>0</v>
      </c>
      <c r="F338" s="158">
        <f>SUM(F339)</f>
        <v>0</v>
      </c>
      <c r="G338" s="158">
        <f>SUM(G339)</f>
        <v>0</v>
      </c>
      <c r="H338" s="154">
        <f t="shared" si="19"/>
        <v>0</v>
      </c>
      <c r="I338" s="154">
        <f t="shared" si="20"/>
        <v>0</v>
      </c>
      <c r="J338" s="1"/>
      <c r="K338" s="1"/>
      <c r="L338" s="1"/>
      <c r="M338" s="1"/>
      <c r="N338" s="1"/>
    </row>
    <row r="339" spans="1:14" hidden="1">
      <c r="A339" s="151">
        <f t="shared" si="18"/>
        <v>1</v>
      </c>
      <c r="B339" s="151" t="s">
        <v>206</v>
      </c>
      <c r="C339" s="159">
        <v>2521</v>
      </c>
      <c r="D339" s="160" t="s">
        <v>406</v>
      </c>
      <c r="E339" s="161">
        <f>SUMIF(Lanç!$C$3:$C$114,C339,Lanç!$F$3:$F$114)</f>
        <v>0</v>
      </c>
      <c r="F339" s="161">
        <f>SUMIF(Lanç!$C$115:$C$6504,C339,Lanç!$F$115:$F$6504)</f>
        <v>0</v>
      </c>
      <c r="G339" s="161">
        <f>SUMIF(Lanç!$C$115:$C$6504,C339,Lanç!$G$115:$G$6504)</f>
        <v>0</v>
      </c>
      <c r="H339" s="162">
        <f t="shared" si="19"/>
        <v>0</v>
      </c>
      <c r="I339" s="162">
        <f t="shared" si="20"/>
        <v>0</v>
      </c>
    </row>
    <row r="340" spans="1:14">
      <c r="A340" s="151">
        <f t="shared" si="18"/>
        <v>0</v>
      </c>
      <c r="B340" s="155" t="s">
        <v>202</v>
      </c>
      <c r="C340" s="156">
        <v>26</v>
      </c>
      <c r="D340" s="157" t="s">
        <v>407</v>
      </c>
      <c r="E340" s="158">
        <f>SUM(E341,E344,E346,E349)</f>
        <v>0</v>
      </c>
      <c r="F340" s="158">
        <f>SUM(F341,F344,F346,F349)</f>
        <v>4500000</v>
      </c>
      <c r="G340" s="158">
        <f>SUM(G341,G344,G346,G349)</f>
        <v>0</v>
      </c>
      <c r="H340" s="154">
        <f t="shared" si="19"/>
        <v>4500000</v>
      </c>
      <c r="I340" s="154">
        <f t="shared" si="20"/>
        <v>4500000</v>
      </c>
      <c r="J340" s="1"/>
      <c r="K340" s="1"/>
      <c r="L340" s="1"/>
      <c r="M340" s="1"/>
      <c r="N340" s="1"/>
    </row>
    <row r="341" spans="1:14">
      <c r="A341" s="151">
        <f t="shared" si="18"/>
        <v>0</v>
      </c>
      <c r="B341" s="155" t="s">
        <v>204</v>
      </c>
      <c r="C341" s="156">
        <v>261</v>
      </c>
      <c r="D341" s="157" t="s">
        <v>349</v>
      </c>
      <c r="E341" s="158">
        <f>SUM(E342:E343)</f>
        <v>0</v>
      </c>
      <c r="F341" s="158">
        <f>SUM(F342:F343)</f>
        <v>4500000</v>
      </c>
      <c r="G341" s="158">
        <f>SUM(G342:G343)</f>
        <v>0</v>
      </c>
      <c r="H341" s="154">
        <f t="shared" si="19"/>
        <v>4500000</v>
      </c>
      <c r="I341" s="154">
        <f t="shared" si="20"/>
        <v>4500000</v>
      </c>
    </row>
    <row r="342" spans="1:14">
      <c r="A342" s="151">
        <f t="shared" si="18"/>
        <v>0</v>
      </c>
      <c r="B342" s="151" t="s">
        <v>206</v>
      </c>
      <c r="C342" s="159">
        <v>2611</v>
      </c>
      <c r="D342" s="160" t="s">
        <v>408</v>
      </c>
      <c r="E342" s="161">
        <f>SUMIF(Lanç!C3:C114,C342,Lanç!F3:F114)</f>
        <v>0</v>
      </c>
      <c r="F342" s="161">
        <f>SUMIF(Lanç!C115:C6504,C342,Lanç!F115:F6504)</f>
        <v>4500000</v>
      </c>
      <c r="G342" s="161">
        <f>SUMIF(Lanç!C115:C6504,C342,Lanç!G115:G6504)</f>
        <v>0</v>
      </c>
      <c r="H342" s="162">
        <f t="shared" si="19"/>
        <v>4500000</v>
      </c>
      <c r="I342" s="162">
        <f t="shared" si="20"/>
        <v>4500000</v>
      </c>
    </row>
    <row r="343" spans="1:14" hidden="1">
      <c r="A343" s="151">
        <f t="shared" si="18"/>
        <v>1</v>
      </c>
      <c r="B343" s="151" t="s">
        <v>206</v>
      </c>
      <c r="C343" s="159">
        <v>2612</v>
      </c>
      <c r="D343" s="160" t="s">
        <v>409</v>
      </c>
      <c r="E343" s="161">
        <f>SUMIF(Lanç!$C$3:$C$114,C343,Lanç!$F$3:$F$114)</f>
        <v>0</v>
      </c>
      <c r="F343" s="161">
        <f>SUMIF(Lanç!$C$115:$C$6504,C343,Lanç!$F$115:$F$6504)</f>
        <v>0</v>
      </c>
      <c r="G343" s="161">
        <f>SUMIF(Lanç!$C$115:$C$6504,C343,Lanç!$G$115:$G$6504)</f>
        <v>0</v>
      </c>
      <c r="H343" s="162">
        <f t="shared" si="19"/>
        <v>0</v>
      </c>
      <c r="I343" s="162">
        <f t="shared" si="20"/>
        <v>0</v>
      </c>
    </row>
    <row r="344" spans="1:14" hidden="1">
      <c r="A344" s="151">
        <f t="shared" si="18"/>
        <v>1</v>
      </c>
      <c r="B344" s="155" t="s">
        <v>204</v>
      </c>
      <c r="C344" s="156">
        <v>262</v>
      </c>
      <c r="D344" s="157" t="s">
        <v>269</v>
      </c>
      <c r="E344" s="158">
        <f>SUM(E345)</f>
        <v>0</v>
      </c>
      <c r="F344" s="158">
        <f>SUM(F345)</f>
        <v>0</v>
      </c>
      <c r="G344" s="158">
        <f>SUM(G345)</f>
        <v>0</v>
      </c>
      <c r="H344" s="154">
        <f t="shared" si="19"/>
        <v>0</v>
      </c>
      <c r="I344" s="154">
        <f t="shared" si="20"/>
        <v>0</v>
      </c>
      <c r="J344" s="1"/>
      <c r="K344" s="1"/>
      <c r="L344" s="1"/>
      <c r="M344" s="1"/>
      <c r="N344" s="1"/>
    </row>
    <row r="345" spans="1:14" hidden="1">
      <c r="A345" s="151">
        <f t="shared" si="18"/>
        <v>1</v>
      </c>
      <c r="B345" s="151" t="s">
        <v>206</v>
      </c>
      <c r="C345" s="159">
        <v>262</v>
      </c>
      <c r="D345" s="160" t="s">
        <v>269</v>
      </c>
      <c r="E345" s="161">
        <f>SUMIF(Lanç!$C$3:$C$114,C345,Lanç!$F$3:$F$114)</f>
        <v>0</v>
      </c>
      <c r="F345" s="161">
        <f>SUMIF(Lanç!$C$115:$C$6504,C345,Lanç!$F$115:$F$6504)</f>
        <v>0</v>
      </c>
      <c r="G345" s="161">
        <f>SUMIF(Lanç!$C$115:$C$6504,D345,Lanç!$F$115:$F$6504)</f>
        <v>0</v>
      </c>
      <c r="H345" s="162">
        <f t="shared" si="19"/>
        <v>0</v>
      </c>
      <c r="I345" s="162">
        <f t="shared" si="20"/>
        <v>0</v>
      </c>
    </row>
    <row r="346" spans="1:14" hidden="1">
      <c r="A346" s="151">
        <f t="shared" si="18"/>
        <v>1</v>
      </c>
      <c r="B346" s="155" t="s">
        <v>204</v>
      </c>
      <c r="C346" s="156">
        <v>264</v>
      </c>
      <c r="D346" s="157" t="s">
        <v>360</v>
      </c>
      <c r="E346" s="158">
        <f>SUM(E347:E348)</f>
        <v>0</v>
      </c>
      <c r="F346" s="158">
        <f>SUM(F347:F348)</f>
        <v>0</v>
      </c>
      <c r="G346" s="158">
        <f>SUM(G347:G348)</f>
        <v>0</v>
      </c>
      <c r="H346" s="154">
        <f t="shared" si="19"/>
        <v>0</v>
      </c>
      <c r="I346" s="154">
        <f t="shared" si="20"/>
        <v>0</v>
      </c>
      <c r="J346" s="1"/>
      <c r="K346" s="1"/>
      <c r="L346" s="1"/>
      <c r="M346" s="1"/>
      <c r="N346" s="1"/>
    </row>
    <row r="347" spans="1:14" hidden="1">
      <c r="A347" s="151">
        <f t="shared" si="18"/>
        <v>1</v>
      </c>
      <c r="B347" s="151" t="s">
        <v>206</v>
      </c>
      <c r="C347" s="159">
        <v>2641</v>
      </c>
      <c r="D347" s="160" t="s">
        <v>410</v>
      </c>
      <c r="E347" s="161">
        <f>SUMIF(Lanç!$C$3:$C$114,C347,Lanç!$F$3:$F$114)</f>
        <v>0</v>
      </c>
      <c r="F347" s="161">
        <f>SUMIF(Lanç!$C$115:$C$6504,C347,Lanç!$F$115:$F$6504)</f>
        <v>0</v>
      </c>
      <c r="G347" s="161">
        <f>SUMIF(Lanç!$C$115:$C$6504,C347,Lanç!$G$115:$G$6504)</f>
        <v>0</v>
      </c>
      <c r="H347" s="162">
        <f t="shared" si="19"/>
        <v>0</v>
      </c>
      <c r="I347" s="162">
        <f t="shared" si="20"/>
        <v>0</v>
      </c>
    </row>
    <row r="348" spans="1:14" hidden="1">
      <c r="A348" s="151">
        <f t="shared" si="18"/>
        <v>1</v>
      </c>
      <c r="B348" s="151" t="s">
        <v>206</v>
      </c>
      <c r="C348" s="159">
        <v>2642</v>
      </c>
      <c r="D348" s="160" t="s">
        <v>411</v>
      </c>
      <c r="E348" s="161">
        <f>SUMIF(Lanç!$C$3:$C$114,C348,Lanç!$F$3:$F$114)</f>
        <v>0</v>
      </c>
      <c r="F348" s="161">
        <f>SUMIF(Lanç!$C$115:$C$6504,C348,Lanç!$F$115:$F$6504)</f>
        <v>0</v>
      </c>
      <c r="G348" s="161">
        <f>SUMIF(Lanç!$C$115:$C$6504,C348,Lanç!$G$115:$G$6504)</f>
        <v>0</v>
      </c>
      <c r="H348" s="162">
        <f t="shared" si="19"/>
        <v>0</v>
      </c>
      <c r="I348" s="162">
        <f t="shared" si="20"/>
        <v>0</v>
      </c>
    </row>
    <row r="349" spans="1:14" hidden="1">
      <c r="A349" s="151">
        <f t="shared" si="18"/>
        <v>1</v>
      </c>
      <c r="B349" s="155" t="s">
        <v>204</v>
      </c>
      <c r="C349" s="156">
        <v>269</v>
      </c>
      <c r="D349" s="157" t="s">
        <v>400</v>
      </c>
      <c r="E349" s="158">
        <f t="shared" ref="E349:G350" si="21">SUM(E350)</f>
        <v>0</v>
      </c>
      <c r="F349" s="158">
        <f t="shared" si="21"/>
        <v>0</v>
      </c>
      <c r="G349" s="158">
        <f t="shared" si="21"/>
        <v>0</v>
      </c>
      <c r="H349" s="154">
        <f t="shared" si="19"/>
        <v>0</v>
      </c>
      <c r="I349" s="154">
        <f t="shared" si="20"/>
        <v>0</v>
      </c>
      <c r="J349" s="1"/>
      <c r="K349" s="1"/>
      <c r="L349" s="1"/>
      <c r="M349" s="1"/>
      <c r="N349" s="1"/>
    </row>
    <row r="350" spans="1:14" s="57" customFormat="1" hidden="1">
      <c r="A350" s="155">
        <f t="shared" si="18"/>
        <v>1</v>
      </c>
      <c r="B350" s="155" t="s">
        <v>204</v>
      </c>
      <c r="C350" s="156">
        <v>2691</v>
      </c>
      <c r="D350" s="157" t="s">
        <v>349</v>
      </c>
      <c r="E350" s="158">
        <f t="shared" si="21"/>
        <v>0</v>
      </c>
      <c r="F350" s="158">
        <f t="shared" si="21"/>
        <v>0</v>
      </c>
      <c r="G350" s="158">
        <f t="shared" si="21"/>
        <v>0</v>
      </c>
      <c r="H350" s="163">
        <f t="shared" si="19"/>
        <v>0</v>
      </c>
      <c r="I350" s="163">
        <f t="shared" si="20"/>
        <v>0</v>
      </c>
    </row>
    <row r="351" spans="1:14" hidden="1">
      <c r="A351" s="151">
        <f t="shared" si="18"/>
        <v>1</v>
      </c>
      <c r="B351" s="151" t="s">
        <v>206</v>
      </c>
      <c r="C351" s="159">
        <v>26911</v>
      </c>
      <c r="D351" s="160" t="s">
        <v>381</v>
      </c>
      <c r="E351" s="161">
        <f>SUMIF(Lanç!$C$3:$C$114,C351,Lanç!$F$3:$F$114)</f>
        <v>0</v>
      </c>
      <c r="F351" s="161">
        <f>SUMIF(Lanç!$C$115:$C$6504,C351,Lanç!$F$115:$F$6504)</f>
        <v>0</v>
      </c>
      <c r="G351" s="161">
        <f>SUMIF(Lanç!$C$115:$C$6504,C351,Lanç!$G$115:$G$6504)</f>
        <v>0</v>
      </c>
      <c r="H351" s="162">
        <f t="shared" si="19"/>
        <v>0</v>
      </c>
      <c r="I351" s="162">
        <f t="shared" si="20"/>
        <v>0</v>
      </c>
    </row>
    <row r="352" spans="1:14">
      <c r="A352" s="151">
        <f t="shared" si="18"/>
        <v>0</v>
      </c>
      <c r="B352" s="155" t="s">
        <v>202</v>
      </c>
      <c r="C352" s="156">
        <v>27</v>
      </c>
      <c r="D352" s="157" t="s">
        <v>412</v>
      </c>
      <c r="E352" s="158">
        <f>SUM(E353,E357,E361)</f>
        <v>11330086.949999999</v>
      </c>
      <c r="F352" s="158">
        <f>SUM(F353,F357,F361)</f>
        <v>0</v>
      </c>
      <c r="G352" s="158">
        <f>SUM(G353,G357,G361)</f>
        <v>0</v>
      </c>
      <c r="H352" s="154">
        <f t="shared" si="19"/>
        <v>0</v>
      </c>
      <c r="I352" s="154">
        <f t="shared" si="20"/>
        <v>11330086.949999999</v>
      </c>
      <c r="J352" s="1"/>
      <c r="K352" s="1"/>
      <c r="L352" s="1"/>
      <c r="M352" s="1"/>
      <c r="N352" s="1"/>
    </row>
    <row r="353" spans="1:14">
      <c r="A353" s="151">
        <f t="shared" si="18"/>
        <v>0</v>
      </c>
      <c r="B353" s="155" t="s">
        <v>204</v>
      </c>
      <c r="C353" s="156">
        <v>271</v>
      </c>
      <c r="D353" s="157" t="s">
        <v>380</v>
      </c>
      <c r="E353" s="158">
        <f>SUM(E354:E356)</f>
        <v>11330086.949999999</v>
      </c>
      <c r="F353" s="158">
        <f>SUM(F354:F356)</f>
        <v>0</v>
      </c>
      <c r="G353" s="158">
        <f>SUM(G354:G356)</f>
        <v>0</v>
      </c>
      <c r="H353" s="154">
        <f t="shared" si="19"/>
        <v>0</v>
      </c>
      <c r="I353" s="154">
        <f t="shared" si="20"/>
        <v>11330086.949999999</v>
      </c>
    </row>
    <row r="354" spans="1:14" hidden="1">
      <c r="A354" s="151">
        <f t="shared" si="18"/>
        <v>1</v>
      </c>
      <c r="B354" s="151" t="s">
        <v>206</v>
      </c>
      <c r="C354" s="159">
        <v>2711</v>
      </c>
      <c r="D354" s="160" t="s">
        <v>297</v>
      </c>
      <c r="E354" s="161">
        <f>SUMIF(Lanç!$C$3:$C$114,C354,Lanç!$F$3:$F$114)</f>
        <v>0</v>
      </c>
      <c r="F354" s="161">
        <f>SUMIF(Lanç!$C$115:$C$6504,C354,Lanç!$F$115:$F$6504)</f>
        <v>0</v>
      </c>
      <c r="G354" s="161">
        <f>SUMIF(Lanç!$C$115:$C$6504,C354,Lanç!$G$115:$G$6504)</f>
        <v>0</v>
      </c>
      <c r="H354" s="162">
        <f t="shared" si="19"/>
        <v>0</v>
      </c>
      <c r="I354" s="162">
        <f t="shared" si="20"/>
        <v>0</v>
      </c>
    </row>
    <row r="355" spans="1:14" hidden="1">
      <c r="A355" s="151">
        <f t="shared" si="18"/>
        <v>1</v>
      </c>
      <c r="B355" s="151" t="s">
        <v>206</v>
      </c>
      <c r="C355" s="159">
        <v>2712</v>
      </c>
      <c r="D355" s="160" t="s">
        <v>301</v>
      </c>
      <c r="E355" s="161">
        <f>SUMIF(Lanç!$C$3:$C$114,C355,Lanç!$F$3:$F$114)</f>
        <v>0</v>
      </c>
      <c r="F355" s="161">
        <f>SUMIF(Lanç!$C$115:$C$6504,C355,Lanç!$F$115:$F$6504)</f>
        <v>0</v>
      </c>
      <c r="G355" s="161">
        <f>SUMIF(Lanç!$C$115:$C$6504,C355,Lanç!$G$115:$G$6504)</f>
        <v>0</v>
      </c>
      <c r="H355" s="162">
        <f t="shared" si="19"/>
        <v>0</v>
      </c>
      <c r="I355" s="162">
        <f t="shared" si="20"/>
        <v>0</v>
      </c>
    </row>
    <row r="356" spans="1:14">
      <c r="A356" s="151">
        <f t="shared" si="18"/>
        <v>0</v>
      </c>
      <c r="B356" s="151" t="s">
        <v>206</v>
      </c>
      <c r="C356" s="159">
        <v>2713</v>
      </c>
      <c r="D356" s="160" t="s">
        <v>304</v>
      </c>
      <c r="E356" s="161">
        <f>SUMIF(Lanç!$C$3:$C$114,C356,Lanç!$F$3:$F$114)</f>
        <v>11330086.949999999</v>
      </c>
      <c r="F356" s="161">
        <f>SUMIF(Lanç!$C$115:$C$6504,C356,Lanç!$F$115:$F$6504)</f>
        <v>0</v>
      </c>
      <c r="G356" s="161">
        <f>SUMIF(Lanç!$C$115:$C$6504,C356,Lanç!$G$115:$G$6504)</f>
        <v>0</v>
      </c>
      <c r="H356" s="162">
        <f t="shared" si="19"/>
        <v>0</v>
      </c>
      <c r="I356" s="162">
        <f t="shared" si="20"/>
        <v>11330086.949999999</v>
      </c>
    </row>
    <row r="357" spans="1:14" hidden="1">
      <c r="A357" s="151">
        <f t="shared" si="18"/>
        <v>1</v>
      </c>
      <c r="B357" s="155" t="s">
        <v>204</v>
      </c>
      <c r="C357" s="156">
        <v>272</v>
      </c>
      <c r="D357" s="157" t="s">
        <v>338</v>
      </c>
      <c r="E357" s="158">
        <f>SUM(E358:E360)</f>
        <v>0</v>
      </c>
      <c r="F357" s="158">
        <f>SUM(F358:F360)</f>
        <v>0</v>
      </c>
      <c r="G357" s="158">
        <f>SUM(G358:G360)</f>
        <v>0</v>
      </c>
      <c r="H357" s="154">
        <f t="shared" si="19"/>
        <v>0</v>
      </c>
      <c r="I357" s="154">
        <f t="shared" si="20"/>
        <v>0</v>
      </c>
      <c r="J357" s="1"/>
      <c r="K357" s="1"/>
      <c r="L357" s="1"/>
      <c r="M357" s="1"/>
      <c r="N357" s="1"/>
    </row>
    <row r="358" spans="1:14" hidden="1">
      <c r="A358" s="151">
        <f t="shared" si="18"/>
        <v>1</v>
      </c>
      <c r="B358" s="151" t="s">
        <v>206</v>
      </c>
      <c r="C358" s="159">
        <v>2721</v>
      </c>
      <c r="D358" s="160" t="s">
        <v>339</v>
      </c>
      <c r="E358" s="161">
        <f>SUMIF(Lanç!$C$3:$C$114,C358,Lanç!$F$3:$F$114)</f>
        <v>0</v>
      </c>
      <c r="F358" s="161">
        <f>SUMIF(Lanç!$C$115:$C$6504,C358,Lanç!$F$115:$F$6504)</f>
        <v>0</v>
      </c>
      <c r="G358" s="161">
        <f>SUMIF(Lanç!$C$115:$C$6504,C358,Lanç!$G$115:$G$6504)</f>
        <v>0</v>
      </c>
      <c r="H358" s="162">
        <f t="shared" si="19"/>
        <v>0</v>
      </c>
      <c r="I358" s="162">
        <f t="shared" si="20"/>
        <v>0</v>
      </c>
    </row>
    <row r="359" spans="1:14" hidden="1">
      <c r="A359" s="151">
        <f t="shared" si="18"/>
        <v>1</v>
      </c>
      <c r="B359" s="151" t="s">
        <v>206</v>
      </c>
      <c r="C359" s="159">
        <v>2722</v>
      </c>
      <c r="D359" s="160" t="s">
        <v>343</v>
      </c>
      <c r="E359" s="161">
        <f>SUMIF(Lanç!$C$3:$C$114,C359,Lanç!$F$3:$F$114)</f>
        <v>0</v>
      </c>
      <c r="F359" s="161">
        <f>SUMIF(Lanç!$C$115:$C$6504,C359,Lanç!$F$115:$F$6504)</f>
        <v>0</v>
      </c>
      <c r="G359" s="161">
        <f>SUMIF(Lanç!$C$115:$C$6504,C359,Lanç!$G$115:$G$6504)</f>
        <v>0</v>
      </c>
      <c r="H359" s="162">
        <f t="shared" si="19"/>
        <v>0</v>
      </c>
      <c r="I359" s="162">
        <f t="shared" si="20"/>
        <v>0</v>
      </c>
    </row>
    <row r="360" spans="1:14" hidden="1">
      <c r="A360" s="151">
        <f t="shared" si="18"/>
        <v>1</v>
      </c>
      <c r="B360" s="151" t="s">
        <v>206</v>
      </c>
      <c r="C360" s="159">
        <v>2723</v>
      </c>
      <c r="D360" s="160" t="s">
        <v>346</v>
      </c>
      <c r="E360" s="161">
        <f>SUMIF(Lanç!$C$3:$C$114,C360,Lanç!$F$3:$F$114)</f>
        <v>0</v>
      </c>
      <c r="F360" s="161">
        <f>SUMIF(Lanç!$C$115:$C$6504,C360,Lanç!$F$115:$F$6504)</f>
        <v>0</v>
      </c>
      <c r="G360" s="161">
        <f>SUMIF(Lanç!$C$115:$C$6504,C360,Lanç!$G$115:$G$6504)</f>
        <v>0</v>
      </c>
      <c r="H360" s="162">
        <f t="shared" si="19"/>
        <v>0</v>
      </c>
      <c r="I360" s="162">
        <f t="shared" si="20"/>
        <v>0</v>
      </c>
    </row>
    <row r="361" spans="1:14" hidden="1">
      <c r="A361" s="151">
        <f t="shared" si="18"/>
        <v>1</v>
      </c>
      <c r="B361" s="155" t="s">
        <v>204</v>
      </c>
      <c r="C361" s="156">
        <v>273</v>
      </c>
      <c r="D361" s="157" t="s">
        <v>349</v>
      </c>
      <c r="E361" s="158">
        <f>SUM(E362:E364)</f>
        <v>0</v>
      </c>
      <c r="F361" s="158">
        <f>SUM(F362:F364)</f>
        <v>0</v>
      </c>
      <c r="G361" s="158">
        <f>SUM(G362:G364)</f>
        <v>0</v>
      </c>
      <c r="H361" s="154">
        <f t="shared" si="19"/>
        <v>0</v>
      </c>
      <c r="I361" s="154">
        <f t="shared" si="20"/>
        <v>0</v>
      </c>
      <c r="J361" s="1"/>
      <c r="K361" s="1"/>
      <c r="L361" s="1"/>
      <c r="M361" s="1"/>
      <c r="N361" s="1"/>
    </row>
    <row r="362" spans="1:14" hidden="1">
      <c r="A362" s="151">
        <f t="shared" si="18"/>
        <v>1</v>
      </c>
      <c r="B362" s="151" t="s">
        <v>206</v>
      </c>
      <c r="C362" s="159">
        <v>2731</v>
      </c>
      <c r="D362" s="160" t="s">
        <v>350</v>
      </c>
      <c r="E362" s="161">
        <f>SUMIF(Lanç!$C$3:$C$114,C362,Lanç!$F$3:$F$114)</f>
        <v>0</v>
      </c>
      <c r="F362" s="161">
        <f>SUMIF(Lanç!$C$115:$C$6504,C362,Lanç!$F$115:$F$6504)</f>
        <v>0</v>
      </c>
      <c r="G362" s="161">
        <f>SUMIF(Lanç!$C$115:$C$6504,C362,Lanç!$G$115:$G$6504)</f>
        <v>0</v>
      </c>
      <c r="H362" s="162">
        <f t="shared" si="19"/>
        <v>0</v>
      </c>
      <c r="I362" s="162">
        <f t="shared" si="20"/>
        <v>0</v>
      </c>
    </row>
    <row r="363" spans="1:14" hidden="1">
      <c r="A363" s="151">
        <f t="shared" si="18"/>
        <v>1</v>
      </c>
      <c r="B363" s="151" t="s">
        <v>206</v>
      </c>
      <c r="C363" s="159">
        <v>2732</v>
      </c>
      <c r="D363" s="160" t="s">
        <v>354</v>
      </c>
      <c r="E363" s="161">
        <f>SUMIF(Lanç!$C$3:$C$114,C363,Lanç!$F$3:$F$114)</f>
        <v>0</v>
      </c>
      <c r="F363" s="161">
        <f>SUMIF(Lanç!$C$115:$C$6504,C363,Lanç!$F$115:$F$6504)</f>
        <v>0</v>
      </c>
      <c r="G363" s="161">
        <f>SUMIF(Lanç!$C$115:$C$6504,C363,Lanç!$G$115:$G$6504)</f>
        <v>0</v>
      </c>
      <c r="H363" s="162">
        <f t="shared" si="19"/>
        <v>0</v>
      </c>
      <c r="I363" s="162">
        <f t="shared" si="20"/>
        <v>0</v>
      </c>
    </row>
    <row r="364" spans="1:14" hidden="1">
      <c r="A364" s="151">
        <f t="shared" si="18"/>
        <v>1</v>
      </c>
      <c r="B364" s="151" t="s">
        <v>206</v>
      </c>
      <c r="C364" s="159">
        <v>2733</v>
      </c>
      <c r="D364" s="160" t="s">
        <v>357</v>
      </c>
      <c r="E364" s="161">
        <f>SUMIF(Lanç!C3:C114,C364,Lanç!F3:F114)</f>
        <v>0</v>
      </c>
      <c r="F364" s="161">
        <f>SUMIF(Lanç!C115:C6504,C364,Lanç!F115:F6504)</f>
        <v>0</v>
      </c>
      <c r="G364" s="161">
        <f>SUMIF(Lanç!C115:C6504,C364,Lanç!G115:G6504)</f>
        <v>0</v>
      </c>
      <c r="H364" s="162">
        <f t="shared" si="19"/>
        <v>0</v>
      </c>
      <c r="I364" s="162">
        <f t="shared" si="20"/>
        <v>0</v>
      </c>
    </row>
    <row r="365" spans="1:14" hidden="1">
      <c r="A365" s="151">
        <f t="shared" si="18"/>
        <v>1</v>
      </c>
      <c r="B365" s="155" t="s">
        <v>202</v>
      </c>
      <c r="C365" s="156">
        <v>28</v>
      </c>
      <c r="D365" s="157" t="s">
        <v>413</v>
      </c>
      <c r="E365" s="158">
        <f>SUM(E366,E370)</f>
        <v>0</v>
      </c>
      <c r="F365" s="158">
        <f>SUM(F366,F370)</f>
        <v>0</v>
      </c>
      <c r="G365" s="158">
        <f>SUM(G366,G370)</f>
        <v>0</v>
      </c>
      <c r="H365" s="154">
        <f t="shared" si="19"/>
        <v>0</v>
      </c>
      <c r="I365" s="154">
        <f t="shared" si="20"/>
        <v>0</v>
      </c>
      <c r="J365" s="1"/>
      <c r="K365" s="1"/>
      <c r="L365" s="1"/>
      <c r="M365" s="1"/>
      <c r="N365" s="1"/>
    </row>
    <row r="366" spans="1:14" hidden="1">
      <c r="A366" s="151">
        <f t="shared" si="18"/>
        <v>1</v>
      </c>
      <c r="B366" s="155" t="s">
        <v>204</v>
      </c>
      <c r="C366" s="156">
        <v>281</v>
      </c>
      <c r="D366" s="157" t="s">
        <v>414</v>
      </c>
      <c r="E366" s="158">
        <f>SUM(E367:E369)</f>
        <v>0</v>
      </c>
      <c r="F366" s="158">
        <f>SUM(F367:F369)</f>
        <v>0</v>
      </c>
      <c r="G366" s="158">
        <f>SUM(G367:G369)</f>
        <v>0</v>
      </c>
      <c r="H366" s="154">
        <f t="shared" si="19"/>
        <v>0</v>
      </c>
      <c r="I366" s="154">
        <f t="shared" si="20"/>
        <v>0</v>
      </c>
    </row>
    <row r="367" spans="1:14" hidden="1">
      <c r="A367" s="151">
        <f t="shared" si="18"/>
        <v>1</v>
      </c>
      <c r="B367" s="151" t="s">
        <v>206</v>
      </c>
      <c r="C367" s="159">
        <v>2811</v>
      </c>
      <c r="D367" s="160" t="s">
        <v>297</v>
      </c>
      <c r="E367" s="161">
        <f>SUMIF(Lanç!$C$3:$C$114,C367,Lanç!$F$3:$F$114)</f>
        <v>0</v>
      </c>
      <c r="F367" s="161">
        <f>SUMIF(Lanç!$C$115:$C$6504,C367,Lanç!$F$115:$F$6504)</f>
        <v>0</v>
      </c>
      <c r="G367" s="161">
        <f>SUMIF(Lanç!$C$115:$C$6504,C367,Lanç!$G$115:$G$6504)</f>
        <v>0</v>
      </c>
      <c r="H367" s="162">
        <f t="shared" si="19"/>
        <v>0</v>
      </c>
      <c r="I367" s="162">
        <f t="shared" si="20"/>
        <v>0</v>
      </c>
    </row>
    <row r="368" spans="1:14" hidden="1">
      <c r="A368" s="151">
        <f t="shared" si="18"/>
        <v>1</v>
      </c>
      <c r="B368" s="151" t="s">
        <v>206</v>
      </c>
      <c r="C368" s="159">
        <v>2812</v>
      </c>
      <c r="D368" s="160" t="s">
        <v>301</v>
      </c>
      <c r="E368" s="161">
        <f>SUMIF(Lanç!$C$3:$C$114,C368,Lanç!$F$3:$F$114)</f>
        <v>0</v>
      </c>
      <c r="F368" s="161">
        <f>SUMIF(Lanç!$C$115:$C$6504,C368,Lanç!$F$115:$F$6504)</f>
        <v>0</v>
      </c>
      <c r="G368" s="161">
        <f>SUMIF(Lanç!$C$115:$C$6504,C368,Lanç!$G$115:$G$6504)</f>
        <v>0</v>
      </c>
      <c r="H368" s="162">
        <f t="shared" si="19"/>
        <v>0</v>
      </c>
      <c r="I368" s="162">
        <f t="shared" si="20"/>
        <v>0</v>
      </c>
    </row>
    <row r="369" spans="1:14" hidden="1">
      <c r="A369" s="151">
        <f t="shared" si="18"/>
        <v>1</v>
      </c>
      <c r="B369" s="151" t="s">
        <v>206</v>
      </c>
      <c r="C369" s="159">
        <v>2813</v>
      </c>
      <c r="D369" s="160" t="s">
        <v>304</v>
      </c>
      <c r="E369" s="161">
        <f>SUMIF(Lanç!$C$3:$C$114,C369,Lanç!$F$3:$F$114)</f>
        <v>0</v>
      </c>
      <c r="F369" s="161">
        <f>SUMIF(Lanç!$C$115:$C$6504,C369,Lanç!$F$115:$F$6504)</f>
        <v>0</v>
      </c>
      <c r="G369" s="161">
        <f>SUMIF(Lanç!$C$115:$C$6504,C369,Lanç!$G$115:$G$6504)</f>
        <v>0</v>
      </c>
      <c r="H369" s="162">
        <f t="shared" si="19"/>
        <v>0</v>
      </c>
      <c r="I369" s="162">
        <f t="shared" si="20"/>
        <v>0</v>
      </c>
    </row>
    <row r="370" spans="1:14" hidden="1">
      <c r="A370" s="151">
        <f t="shared" si="18"/>
        <v>1</v>
      </c>
      <c r="B370" s="155" t="s">
        <v>204</v>
      </c>
      <c r="C370" s="156">
        <v>282</v>
      </c>
      <c r="D370" s="157" t="s">
        <v>349</v>
      </c>
      <c r="E370" s="158">
        <f>SUM(E371:E373)</f>
        <v>0</v>
      </c>
      <c r="F370" s="158">
        <f>SUM(F371:F373)</f>
        <v>0</v>
      </c>
      <c r="G370" s="158">
        <f>SUM(G371:G373)</f>
        <v>0</v>
      </c>
      <c r="H370" s="154">
        <f t="shared" si="19"/>
        <v>0</v>
      </c>
      <c r="I370" s="154">
        <f t="shared" si="20"/>
        <v>0</v>
      </c>
      <c r="J370" s="1"/>
      <c r="K370" s="1"/>
      <c r="L370" s="1"/>
      <c r="M370" s="1"/>
      <c r="N370" s="1"/>
    </row>
    <row r="371" spans="1:14" hidden="1">
      <c r="A371" s="151">
        <f t="shared" si="18"/>
        <v>1</v>
      </c>
      <c r="B371" s="151" t="s">
        <v>206</v>
      </c>
      <c r="C371" s="159">
        <v>2821</v>
      </c>
      <c r="D371" s="160" t="s">
        <v>350</v>
      </c>
      <c r="E371" s="161">
        <f>SUMIF(Lanç!$C$3:$C$114,C371,Lanç!$F$3:$F$114)</f>
        <v>0</v>
      </c>
      <c r="F371" s="161">
        <f>SUMIF(Lanç!$C$115:$C$6504,C371,Lanç!$F$115:$F$6504)</f>
        <v>0</v>
      </c>
      <c r="G371" s="161">
        <f>SUMIF(Lanç!$C$115:$C$6504,C371,Lanç!$G$115:$G$6504)</f>
        <v>0</v>
      </c>
      <c r="H371" s="162">
        <f t="shared" si="19"/>
        <v>0</v>
      </c>
      <c r="I371" s="162">
        <f t="shared" si="20"/>
        <v>0</v>
      </c>
    </row>
    <row r="372" spans="1:14" hidden="1">
      <c r="A372" s="151">
        <f t="shared" si="18"/>
        <v>1</v>
      </c>
      <c r="B372" s="151" t="s">
        <v>206</v>
      </c>
      <c r="C372" s="159">
        <v>2822</v>
      </c>
      <c r="D372" s="160" t="s">
        <v>354</v>
      </c>
      <c r="E372" s="161">
        <f>SUMIF(Lanç!$C$3:$C$114,C372,Lanç!$F$3:$F$114)</f>
        <v>0</v>
      </c>
      <c r="F372" s="161">
        <f>SUMIF(Lanç!$C$115:$C$6504,C372,Lanç!$F$115:$F$6504)</f>
        <v>0</v>
      </c>
      <c r="G372" s="161">
        <f>SUMIF(Lanç!$C$115:$C$6504,C372,Lanç!$G$115:$G$6504)</f>
        <v>0</v>
      </c>
      <c r="H372" s="162">
        <f t="shared" si="19"/>
        <v>0</v>
      </c>
      <c r="I372" s="162">
        <f t="shared" si="20"/>
        <v>0</v>
      </c>
    </row>
    <row r="373" spans="1:14" hidden="1">
      <c r="A373" s="151">
        <f t="shared" si="18"/>
        <v>1</v>
      </c>
      <c r="B373" s="151" t="s">
        <v>206</v>
      </c>
      <c r="C373" s="159">
        <v>2823</v>
      </c>
      <c r="D373" s="160" t="s">
        <v>357</v>
      </c>
      <c r="E373" s="161">
        <f>SUMIF(Lanç!$C$3:$C$114,C373,Lanç!$F$3:$F$114)</f>
        <v>0</v>
      </c>
      <c r="F373" s="161">
        <f>SUMIF(Lanç!$C$115:$C$6504,C373,Lanç!$F$115:$F$6504)</f>
        <v>0</v>
      </c>
      <c r="G373" s="161">
        <f>SUMIF(Lanç!$C$115:$C$6504,C373,Lanç!$G$115:$G$6504)</f>
        <v>0</v>
      </c>
      <c r="H373" s="162">
        <f t="shared" si="19"/>
        <v>0</v>
      </c>
      <c r="I373" s="162">
        <f t="shared" si="20"/>
        <v>0</v>
      </c>
    </row>
    <row r="374" spans="1:14" hidden="1">
      <c r="A374" s="151">
        <f t="shared" si="18"/>
        <v>1</v>
      </c>
      <c r="B374" s="155" t="s">
        <v>202</v>
      </c>
      <c r="C374" s="156">
        <v>29</v>
      </c>
      <c r="D374" s="157" t="s">
        <v>415</v>
      </c>
      <c r="E374" s="158">
        <f>SUM(E375,E377,E379,E381,E383,E385)</f>
        <v>0</v>
      </c>
      <c r="F374" s="158">
        <f>SUMIF(Lanç!$C$115:$C$6504,C374,Lanç!$F$115:$F$6504)</f>
        <v>0</v>
      </c>
      <c r="G374" s="158">
        <f>SUMIF(Lanç!$C$115:$C$6504,C374,Lanç!$G$115:$G$6504)</f>
        <v>0</v>
      </c>
      <c r="H374" s="154">
        <f t="shared" si="19"/>
        <v>0</v>
      </c>
      <c r="I374" s="154">
        <f t="shared" si="20"/>
        <v>0</v>
      </c>
      <c r="J374" s="1"/>
      <c r="K374" s="1"/>
      <c r="L374" s="1"/>
      <c r="M374" s="1"/>
      <c r="N374" s="1"/>
    </row>
    <row r="375" spans="1:14" hidden="1">
      <c r="A375" s="151">
        <f t="shared" si="18"/>
        <v>1</v>
      </c>
      <c r="B375" s="155" t="s">
        <v>204</v>
      </c>
      <c r="C375" s="156">
        <v>291</v>
      </c>
      <c r="D375" s="157" t="s">
        <v>269</v>
      </c>
      <c r="E375" s="158">
        <f>SUM(E376)</f>
        <v>0</v>
      </c>
      <c r="F375" s="158">
        <f>SUM(F376)</f>
        <v>0</v>
      </c>
      <c r="G375" s="158">
        <f>SUM(G376)</f>
        <v>0</v>
      </c>
      <c r="H375" s="154">
        <f t="shared" si="19"/>
        <v>0</v>
      </c>
      <c r="I375" s="154">
        <f t="shared" si="20"/>
        <v>0</v>
      </c>
    </row>
    <row r="376" spans="1:14" hidden="1">
      <c r="A376" s="151">
        <f t="shared" si="18"/>
        <v>1</v>
      </c>
      <c r="B376" s="151" t="s">
        <v>206</v>
      </c>
      <c r="C376" s="159">
        <v>291</v>
      </c>
      <c r="D376" s="160" t="s">
        <v>269</v>
      </c>
      <c r="E376" s="161">
        <f>SUMIF(Lanç!$C$3:$C$114,C376,Lanç!$F$3:$F$114)</f>
        <v>0</v>
      </c>
      <c r="F376" s="161">
        <f>SUMIF(Lanç!$C$115:$C$6504,C376,Lanç!$F$115:$F$6504)</f>
        <v>0</v>
      </c>
      <c r="G376" s="161">
        <f>SUMIF(Lanç!$C$115:$C$6504,C376,Lanç!$G$115:$G$6504)</f>
        <v>0</v>
      </c>
      <c r="H376" s="162">
        <f t="shared" si="19"/>
        <v>0</v>
      </c>
      <c r="I376" s="162">
        <f t="shared" si="20"/>
        <v>0</v>
      </c>
    </row>
    <row r="377" spans="1:14" hidden="1">
      <c r="A377" s="151">
        <f t="shared" si="18"/>
        <v>1</v>
      </c>
      <c r="B377" s="155" t="s">
        <v>204</v>
      </c>
      <c r="C377" s="156">
        <v>292</v>
      </c>
      <c r="D377" s="157" t="s">
        <v>416</v>
      </c>
      <c r="E377" s="158">
        <f>SUM(E378)</f>
        <v>0</v>
      </c>
      <c r="F377" s="158">
        <f>SUM(F378)</f>
        <v>0</v>
      </c>
      <c r="G377" s="158">
        <f>SUM(G378)</f>
        <v>0</v>
      </c>
      <c r="H377" s="154">
        <f t="shared" si="19"/>
        <v>0</v>
      </c>
      <c r="I377" s="154">
        <f t="shared" si="20"/>
        <v>0</v>
      </c>
      <c r="J377" s="1"/>
      <c r="K377" s="1"/>
      <c r="L377" s="1"/>
      <c r="M377" s="1"/>
      <c r="N377" s="1"/>
    </row>
    <row r="378" spans="1:14" hidden="1">
      <c r="A378" s="151">
        <f t="shared" si="18"/>
        <v>1</v>
      </c>
      <c r="B378" s="151" t="s">
        <v>206</v>
      </c>
      <c r="C378" s="159">
        <v>2921</v>
      </c>
      <c r="D378" s="160" t="s">
        <v>416</v>
      </c>
      <c r="E378" s="161">
        <f>SUMIF(Lanç!$C$3:$C$114,C378,Lanç!$F$3:$F$114)</f>
        <v>0</v>
      </c>
      <c r="F378" s="161">
        <f>SUMIF(Lanç!$C$115:$C$6504,C378,Lanç!$F$115:$F$6504)</f>
        <v>0</v>
      </c>
      <c r="G378" s="161">
        <f>SUMIF(Lanç!$C$115:$C$6504,C378,Lanç!$G$115:$G$6504)</f>
        <v>0</v>
      </c>
      <c r="H378" s="162">
        <f t="shared" si="19"/>
        <v>0</v>
      </c>
      <c r="I378" s="162">
        <f t="shared" si="20"/>
        <v>0</v>
      </c>
    </row>
    <row r="379" spans="1:14" hidden="1">
      <c r="A379" s="151">
        <f t="shared" si="18"/>
        <v>1</v>
      </c>
      <c r="B379" s="155" t="s">
        <v>204</v>
      </c>
      <c r="C379" s="156">
        <v>293</v>
      </c>
      <c r="D379" s="157" t="s">
        <v>417</v>
      </c>
      <c r="E379" s="158">
        <f>SUM(E380)</f>
        <v>0</v>
      </c>
      <c r="F379" s="158">
        <f>SUM(F380)</f>
        <v>0</v>
      </c>
      <c r="G379" s="158">
        <f>SUM(G380)</f>
        <v>0</v>
      </c>
      <c r="H379" s="154">
        <f t="shared" si="19"/>
        <v>0</v>
      </c>
      <c r="I379" s="154">
        <f t="shared" si="20"/>
        <v>0</v>
      </c>
      <c r="J379" s="1"/>
      <c r="K379" s="1"/>
      <c r="L379" s="1"/>
      <c r="M379" s="1"/>
      <c r="N379" s="1"/>
    </row>
    <row r="380" spans="1:14" hidden="1">
      <c r="A380" s="151">
        <f t="shared" si="18"/>
        <v>1</v>
      </c>
      <c r="B380" s="151" t="s">
        <v>206</v>
      </c>
      <c r="C380" s="159">
        <v>2931</v>
      </c>
      <c r="D380" s="160" t="s">
        <v>417</v>
      </c>
      <c r="E380" s="161">
        <f>SUMIF(Lanç!$C$3:$C$114,C380,Lanç!$F$3:$F$114)</f>
        <v>0</v>
      </c>
      <c r="F380" s="161">
        <f>SUMIF(Lanç!$C$115:$C$6504,C380,Lanç!$F$115:$F$6504)</f>
        <v>0</v>
      </c>
      <c r="G380" s="161">
        <f>SUMIF(Lanç!$C$115:$C$6504,C380,Lanç!$G$115:$G$6504)</f>
        <v>0</v>
      </c>
      <c r="H380" s="162">
        <f t="shared" si="19"/>
        <v>0</v>
      </c>
      <c r="I380" s="162">
        <f t="shared" si="20"/>
        <v>0</v>
      </c>
    </row>
    <row r="381" spans="1:14" hidden="1">
      <c r="A381" s="151">
        <f t="shared" si="18"/>
        <v>1</v>
      </c>
      <c r="B381" s="155" t="s">
        <v>204</v>
      </c>
      <c r="C381" s="156">
        <v>294</v>
      </c>
      <c r="D381" s="157" t="s">
        <v>418</v>
      </c>
      <c r="E381" s="158">
        <f>SUM(E382)</f>
        <v>0</v>
      </c>
      <c r="F381" s="158">
        <f>SUM(F382)</f>
        <v>0</v>
      </c>
      <c r="G381" s="158">
        <f>SUM(G382)</f>
        <v>0</v>
      </c>
      <c r="H381" s="154">
        <f t="shared" si="19"/>
        <v>0</v>
      </c>
      <c r="I381" s="154">
        <f t="shared" si="20"/>
        <v>0</v>
      </c>
      <c r="J381" s="1"/>
      <c r="K381" s="1"/>
      <c r="L381" s="1"/>
      <c r="M381" s="1"/>
      <c r="N381" s="1"/>
    </row>
    <row r="382" spans="1:14" hidden="1">
      <c r="A382" s="151">
        <f t="shared" si="18"/>
        <v>1</v>
      </c>
      <c r="B382" s="151" t="s">
        <v>206</v>
      </c>
      <c r="C382" s="159">
        <v>2941</v>
      </c>
      <c r="D382" s="160" t="s">
        <v>418</v>
      </c>
      <c r="E382" s="161">
        <f>SUMIF(Lanç!$C$3:$C$114,C382,Lanç!$F$3:$F$114)</f>
        <v>0</v>
      </c>
      <c r="F382" s="161">
        <f>SUMIF(Lanç!$C$115:$C$6504,C382,Lanç!$F$115:$F$6504)</f>
        <v>0</v>
      </c>
      <c r="G382" s="161">
        <f>SUMIF(Lanç!$C$115:$C$6504,C382,Lanç!$G$115:$G$6504)</f>
        <v>0</v>
      </c>
      <c r="H382" s="162">
        <f t="shared" si="19"/>
        <v>0</v>
      </c>
      <c r="I382" s="162">
        <f t="shared" si="20"/>
        <v>0</v>
      </c>
    </row>
    <row r="383" spans="1:14" hidden="1">
      <c r="A383" s="151">
        <f t="shared" si="18"/>
        <v>1</v>
      </c>
      <c r="B383" s="155" t="s">
        <v>204</v>
      </c>
      <c r="C383" s="156">
        <v>295</v>
      </c>
      <c r="D383" s="157" t="s">
        <v>419</v>
      </c>
      <c r="E383" s="158">
        <f>SUM(E384)</f>
        <v>0</v>
      </c>
      <c r="F383" s="158">
        <f>SUM(F384)</f>
        <v>0</v>
      </c>
      <c r="G383" s="158">
        <f>SUM(G384)</f>
        <v>0</v>
      </c>
      <c r="H383" s="154">
        <f t="shared" si="19"/>
        <v>0</v>
      </c>
      <c r="I383" s="154">
        <f t="shared" si="20"/>
        <v>0</v>
      </c>
      <c r="J383" s="1"/>
      <c r="K383" s="1"/>
      <c r="L383" s="1"/>
      <c r="M383" s="1"/>
      <c r="N383" s="1"/>
    </row>
    <row r="384" spans="1:14" hidden="1">
      <c r="A384" s="151">
        <f t="shared" si="18"/>
        <v>1</v>
      </c>
      <c r="B384" s="151" t="s">
        <v>206</v>
      </c>
      <c r="C384" s="159">
        <v>2951</v>
      </c>
      <c r="D384" s="160" t="s">
        <v>419</v>
      </c>
      <c r="E384" s="161">
        <f>SUMIF(Lanç!$C$3:$C$114,C384,Lanç!$F$3:$F$114)</f>
        <v>0</v>
      </c>
      <c r="F384" s="161">
        <f>SUMIF(Lanç!$C$115:$C$6504,C384,Lanç!$F$115:$F$6504)</f>
        <v>0</v>
      </c>
      <c r="G384" s="161">
        <f>SUMIF(Lanç!$C$115:$C$6504,C384,Lanç!$G$115:$G$6504)</f>
        <v>0</v>
      </c>
      <c r="H384" s="162">
        <f t="shared" si="19"/>
        <v>0</v>
      </c>
      <c r="I384" s="162">
        <f t="shared" si="20"/>
        <v>0</v>
      </c>
    </row>
    <row r="385" spans="1:14" hidden="1">
      <c r="A385" s="151">
        <f t="shared" si="18"/>
        <v>1</v>
      </c>
      <c r="B385" s="155" t="s">
        <v>204</v>
      </c>
      <c r="C385" s="156">
        <v>296</v>
      </c>
      <c r="D385" s="157" t="s">
        <v>349</v>
      </c>
      <c r="E385" s="158">
        <f>SUM(E386)</f>
        <v>0</v>
      </c>
      <c r="F385" s="158">
        <f>SUM(F386)</f>
        <v>0</v>
      </c>
      <c r="G385" s="158">
        <f>SUM(G386)</f>
        <v>0</v>
      </c>
      <c r="H385" s="154">
        <f t="shared" si="19"/>
        <v>0</v>
      </c>
      <c r="I385" s="154">
        <f t="shared" si="20"/>
        <v>0</v>
      </c>
      <c r="J385" s="1"/>
      <c r="K385" s="1"/>
      <c r="L385" s="1"/>
      <c r="M385" s="1"/>
      <c r="N385" s="1"/>
    </row>
    <row r="386" spans="1:14" hidden="1">
      <c r="A386" s="151">
        <f t="shared" si="18"/>
        <v>1</v>
      </c>
      <c r="B386" s="151" t="s">
        <v>206</v>
      </c>
      <c r="C386" s="159">
        <v>296</v>
      </c>
      <c r="D386" s="160" t="s">
        <v>349</v>
      </c>
      <c r="E386" s="161">
        <f>SUMIF(Lanç!$C$3:$C$114,C386,Lanç!$F$3:$F$114)</f>
        <v>0</v>
      </c>
      <c r="F386" s="161">
        <f>SUMIF(Lanç!$C$115:$C$6504,C386,Lanç!$F$115:$F$6504)</f>
        <v>0</v>
      </c>
      <c r="G386" s="161">
        <f>SUMIF(Lanç!$C$115:$C$6504,C386,Lanç!$G$115:$G$6504)</f>
        <v>0</v>
      </c>
      <c r="H386" s="162">
        <f t="shared" si="19"/>
        <v>0</v>
      </c>
      <c r="I386" s="162">
        <f t="shared" si="20"/>
        <v>0</v>
      </c>
    </row>
    <row r="387" spans="1:14">
      <c r="A387" s="151">
        <f t="shared" si="18"/>
        <v>0</v>
      </c>
      <c r="B387" s="152" t="s">
        <v>200</v>
      </c>
      <c r="C387" s="153">
        <v>3</v>
      </c>
      <c r="D387" s="164" t="s">
        <v>420</v>
      </c>
      <c r="E387" s="165">
        <f>SUM(E388,E694,E1007,E1036,E1135,E1181,E1244,E1419,E1441)</f>
        <v>-167222891.44401312</v>
      </c>
      <c r="F387" s="165">
        <f>SUM(F388,F694,F1007,F1036,F1135,F1181,F1244,F1419,F1441)</f>
        <v>391358576.13999999</v>
      </c>
      <c r="G387" s="165">
        <f>SUM(G388,G694,G1007,G1036,G1135,G1181,G1244,G1419,G1441)</f>
        <v>392376900.84999996</v>
      </c>
      <c r="H387" s="154">
        <f t="shared" si="19"/>
        <v>-1018324.7099999785</v>
      </c>
      <c r="I387" s="154">
        <f t="shared" si="20"/>
        <v>-168241216.1540131</v>
      </c>
      <c r="J387" s="58"/>
      <c r="K387" s="58"/>
      <c r="L387" s="58"/>
      <c r="M387" s="58"/>
      <c r="N387" s="58"/>
    </row>
    <row r="388" spans="1:14">
      <c r="A388" s="151">
        <f t="shared" si="18"/>
        <v>0</v>
      </c>
      <c r="B388" s="155" t="s">
        <v>202</v>
      </c>
      <c r="C388" s="156">
        <v>31</v>
      </c>
      <c r="D388" s="157" t="s">
        <v>421</v>
      </c>
      <c r="E388" s="158">
        <f>SUM(E389,E522,E541,E552,E553,E574,E556,E586)</f>
        <v>97112890.892336845</v>
      </c>
      <c r="F388" s="158">
        <f>SUM(F389,F522,F541,F552,F553,F574,F556,F586)</f>
        <v>356626321.13999999</v>
      </c>
      <c r="G388" s="158">
        <f>SUM(G389,G522,G541,G552,G553,G574,G556,G586)</f>
        <v>232942663.65000001</v>
      </c>
      <c r="H388" s="154">
        <f t="shared" si="19"/>
        <v>123683657.48999998</v>
      </c>
      <c r="I388" s="154">
        <f t="shared" si="20"/>
        <v>220796548.38233683</v>
      </c>
      <c r="J388" s="1"/>
      <c r="K388" s="1"/>
      <c r="L388" s="1"/>
      <c r="M388" s="1"/>
      <c r="N388" s="1"/>
    </row>
    <row r="389" spans="1:14">
      <c r="A389" s="151">
        <f t="shared" si="18"/>
        <v>0</v>
      </c>
      <c r="B389" s="155" t="s">
        <v>204</v>
      </c>
      <c r="C389" s="156">
        <v>311</v>
      </c>
      <c r="D389" s="157" t="s">
        <v>422</v>
      </c>
      <c r="E389" s="158">
        <f>SUM(E390,E402)</f>
        <v>50464071.576800004</v>
      </c>
      <c r="F389" s="158">
        <f>SUM(F390,F402)</f>
        <v>342425530.17465001</v>
      </c>
      <c r="G389" s="158">
        <f>SUM(G390,G402)</f>
        <v>206960394.12</v>
      </c>
      <c r="H389" s="154">
        <f t="shared" si="19"/>
        <v>135465136.05465001</v>
      </c>
      <c r="I389" s="154">
        <f t="shared" si="20"/>
        <v>185929207.63145</v>
      </c>
    </row>
    <row r="390" spans="1:14" hidden="1">
      <c r="A390" s="151">
        <f t="shared" ref="A390:A453" si="22">IF(E390+F390+G390+H390+I390=0,1,0)</f>
        <v>1</v>
      </c>
      <c r="B390" s="155" t="s">
        <v>204</v>
      </c>
      <c r="C390" s="156">
        <v>3111</v>
      </c>
      <c r="D390" s="157" t="s">
        <v>423</v>
      </c>
      <c r="E390" s="158">
        <f>SUM(E391,E399)</f>
        <v>0</v>
      </c>
      <c r="F390" s="158">
        <f>SUM(F391,F399)</f>
        <v>0</v>
      </c>
      <c r="G390" s="158">
        <f>SUM(G391,G399)</f>
        <v>0</v>
      </c>
      <c r="H390" s="154">
        <f t="shared" ref="H390:H453" si="23">(F390)-(G390)</f>
        <v>0</v>
      </c>
      <c r="I390" s="154">
        <f t="shared" ref="I390:I453" si="24">(E390)+(H390)</f>
        <v>0</v>
      </c>
    </row>
    <row r="391" spans="1:14" hidden="1">
      <c r="A391" s="151">
        <f t="shared" si="22"/>
        <v>1</v>
      </c>
      <c r="B391" s="155" t="s">
        <v>204</v>
      </c>
      <c r="C391" s="156">
        <v>31111</v>
      </c>
      <c r="D391" s="157" t="s">
        <v>424</v>
      </c>
      <c r="E391" s="158">
        <f>SUM(E392,E396)</f>
        <v>0</v>
      </c>
      <c r="F391" s="158">
        <f>SUM(F392,F396)</f>
        <v>0</v>
      </c>
      <c r="G391" s="158">
        <f>SUM(G392,G396)</f>
        <v>0</v>
      </c>
      <c r="H391" s="154">
        <f t="shared" si="23"/>
        <v>0</v>
      </c>
      <c r="I391" s="154">
        <f t="shared" si="24"/>
        <v>0</v>
      </c>
    </row>
    <row r="392" spans="1:14" hidden="1">
      <c r="A392" s="151">
        <f t="shared" si="22"/>
        <v>1</v>
      </c>
      <c r="B392" s="155" t="s">
        <v>204</v>
      </c>
      <c r="C392" s="156">
        <v>311111</v>
      </c>
      <c r="D392" s="157" t="s">
        <v>425</v>
      </c>
      <c r="E392" s="158">
        <f>SUM(E393:E395)</f>
        <v>0</v>
      </c>
      <c r="F392" s="158">
        <f>SUM(F393:F395)</f>
        <v>0</v>
      </c>
      <c r="G392" s="158">
        <f>SUM(G393:G395)</f>
        <v>0</v>
      </c>
      <c r="H392" s="154">
        <f t="shared" si="23"/>
        <v>0</v>
      </c>
      <c r="I392" s="154">
        <f t="shared" si="24"/>
        <v>0</v>
      </c>
    </row>
    <row r="393" spans="1:14" hidden="1">
      <c r="A393" s="151">
        <f t="shared" si="22"/>
        <v>1</v>
      </c>
      <c r="B393" s="151" t="s">
        <v>206</v>
      </c>
      <c r="C393" s="159">
        <v>311111001</v>
      </c>
      <c r="D393" s="160" t="s">
        <v>426</v>
      </c>
      <c r="E393" s="161">
        <f>SUMIF(Lanç!$C$3:$C$114,C393,Lanç!$F$3:$F$114)</f>
        <v>0</v>
      </c>
      <c r="F393" s="161">
        <f>SUMIF(Lanç!$C$115:$C$6504,C393,Lanç!$F$115:$F$6504)</f>
        <v>0</v>
      </c>
      <c r="G393" s="161">
        <f>SUMIF(Lanç!$C$115:$C$6504,C393,Lanç!$G$115:$G$6504)</f>
        <v>0</v>
      </c>
      <c r="H393" s="162">
        <f t="shared" si="23"/>
        <v>0</v>
      </c>
      <c r="I393" s="162">
        <f t="shared" si="24"/>
        <v>0</v>
      </c>
    </row>
    <row r="394" spans="1:14" hidden="1">
      <c r="A394" s="151">
        <f t="shared" si="22"/>
        <v>1</v>
      </c>
      <c r="B394" s="151" t="s">
        <v>206</v>
      </c>
      <c r="C394" s="159">
        <v>311111002</v>
      </c>
      <c r="D394" s="160" t="s">
        <v>426</v>
      </c>
      <c r="E394" s="161">
        <f>SUMIF(Lanç!$C$3:$C$114,C394,Lanç!$F$3:$F$114)</f>
        <v>0</v>
      </c>
      <c r="F394" s="161">
        <f>SUMIF(Lanç!$C$115:$C$6504,C394,Lanç!$F$115:$F$6504)</f>
        <v>0</v>
      </c>
      <c r="G394" s="161">
        <f>SUMIF(Lanç!$C$115:$C$6504,C394,Lanç!$G$115:$G$6504)</f>
        <v>0</v>
      </c>
      <c r="H394" s="162">
        <f t="shared" si="23"/>
        <v>0</v>
      </c>
      <c r="I394" s="162">
        <f t="shared" si="24"/>
        <v>0</v>
      </c>
    </row>
    <row r="395" spans="1:14" hidden="1">
      <c r="A395" s="151">
        <f t="shared" si="22"/>
        <v>1</v>
      </c>
      <c r="B395" s="151" t="s">
        <v>206</v>
      </c>
      <c r="C395" s="159">
        <v>311111003</v>
      </c>
      <c r="D395" s="160" t="s">
        <v>426</v>
      </c>
      <c r="E395" s="161">
        <f>SUMIF(Lanç!$C$3:$C$114,C395,Lanç!$F$3:$F$114)</f>
        <v>0</v>
      </c>
      <c r="F395" s="161">
        <f>SUMIF(Lanç!$C$115:$C$6504,C395,Lanç!$F$115:$F$6504)</f>
        <v>0</v>
      </c>
      <c r="G395" s="161">
        <f>SUMIF(Lanç!$C$115:$C$6504,C395,Lanç!$G$115:$G$6504)</f>
        <v>0</v>
      </c>
      <c r="H395" s="162">
        <f t="shared" si="23"/>
        <v>0</v>
      </c>
      <c r="I395" s="162">
        <f t="shared" si="24"/>
        <v>0</v>
      </c>
    </row>
    <row r="396" spans="1:14" hidden="1">
      <c r="A396" s="151">
        <f t="shared" si="22"/>
        <v>1</v>
      </c>
      <c r="B396" s="155" t="s">
        <v>204</v>
      </c>
      <c r="C396" s="156">
        <v>311112</v>
      </c>
      <c r="D396" s="157" t="s">
        <v>427</v>
      </c>
      <c r="E396" s="158">
        <f>SUM(E397:E398)</f>
        <v>0</v>
      </c>
      <c r="F396" s="158">
        <f>SUM(F397:F398)</f>
        <v>0</v>
      </c>
      <c r="G396" s="158">
        <f>SUM(G397:G398)</f>
        <v>0</v>
      </c>
      <c r="H396" s="154">
        <f t="shared" si="23"/>
        <v>0</v>
      </c>
      <c r="I396" s="154">
        <f t="shared" si="24"/>
        <v>0</v>
      </c>
      <c r="J396" s="1"/>
      <c r="K396" s="1"/>
      <c r="L396" s="1"/>
      <c r="M396" s="1"/>
      <c r="N396" s="1"/>
    </row>
    <row r="397" spans="1:14" hidden="1">
      <c r="A397" s="151">
        <f t="shared" si="22"/>
        <v>1</v>
      </c>
      <c r="B397" s="151" t="s">
        <v>206</v>
      </c>
      <c r="C397" s="159">
        <v>311112001</v>
      </c>
      <c r="D397" s="160" t="s">
        <v>426</v>
      </c>
      <c r="E397" s="161">
        <f>SUMIF(Lanç!$C$3:$C$114,C397,Lanç!$F$3:$F$114)</f>
        <v>0</v>
      </c>
      <c r="F397" s="161">
        <f>SUMIF(Lanç!$C$115:$C$6504,C397,Lanç!$F$115:$F$6504)</f>
        <v>0</v>
      </c>
      <c r="G397" s="161">
        <f>SUMIF(Lanç!$C$115:$C$6504,C397,Lanç!$G$115:$G$6504)</f>
        <v>0</v>
      </c>
      <c r="H397" s="162">
        <f t="shared" si="23"/>
        <v>0</v>
      </c>
      <c r="I397" s="162">
        <f t="shared" si="24"/>
        <v>0</v>
      </c>
    </row>
    <row r="398" spans="1:14" hidden="1">
      <c r="A398" s="151">
        <f t="shared" si="22"/>
        <v>1</v>
      </c>
      <c r="B398" s="151" t="s">
        <v>206</v>
      </c>
      <c r="C398" s="159">
        <v>311112002</v>
      </c>
      <c r="D398" s="160" t="s">
        <v>426</v>
      </c>
      <c r="E398" s="161">
        <f>SUMIF(Lanç!$C$3:$C$114,C398,Lanç!$F$3:$F$114)</f>
        <v>0</v>
      </c>
      <c r="F398" s="161">
        <f>SUMIF(Lanç!$C$115:$C$6504,C398,Lanç!$F$115:$F$6504)</f>
        <v>0</v>
      </c>
      <c r="G398" s="161">
        <f>SUMIF(Lanç!$C$115:$C$6504,C398,Lanç!$G$115:$G$6504)</f>
        <v>0</v>
      </c>
      <c r="H398" s="162">
        <f t="shared" si="23"/>
        <v>0</v>
      </c>
      <c r="I398" s="162">
        <f t="shared" si="24"/>
        <v>0</v>
      </c>
    </row>
    <row r="399" spans="1:14" hidden="1">
      <c r="A399" s="151">
        <f t="shared" si="22"/>
        <v>1</v>
      </c>
      <c r="B399" s="155" t="s">
        <v>204</v>
      </c>
      <c r="C399" s="156">
        <v>31112</v>
      </c>
      <c r="D399" s="157" t="s">
        <v>428</v>
      </c>
      <c r="E399" s="158">
        <f>SUM(E400:E401)</f>
        <v>0</v>
      </c>
      <c r="F399" s="158">
        <f>SUM(F400:F401)</f>
        <v>0</v>
      </c>
      <c r="G399" s="158">
        <f>SUM(G400:G401)</f>
        <v>0</v>
      </c>
      <c r="H399" s="154">
        <f t="shared" si="23"/>
        <v>0</v>
      </c>
      <c r="I399" s="154">
        <f t="shared" si="24"/>
        <v>0</v>
      </c>
      <c r="J399" s="1"/>
      <c r="K399" s="1"/>
      <c r="L399" s="1"/>
      <c r="M399" s="1"/>
      <c r="N399" s="1"/>
    </row>
    <row r="400" spans="1:14" hidden="1">
      <c r="A400" s="151">
        <f t="shared" si="22"/>
        <v>1</v>
      </c>
      <c r="B400" s="151" t="s">
        <v>206</v>
      </c>
      <c r="C400" s="159">
        <v>311121</v>
      </c>
      <c r="D400" s="160" t="s">
        <v>425</v>
      </c>
      <c r="E400" s="161">
        <f>SUMIF(Lanç!$C$3:$C$114,C400,Lanç!$F$3:$F$114)</f>
        <v>0</v>
      </c>
      <c r="F400" s="161">
        <f>SUMIF(Lanç!$C$115:$C$6504,C400,Lanç!$F$115:$F$6504)</f>
        <v>0</v>
      </c>
      <c r="G400" s="161">
        <f>SUMIF(Lanç!$C$115:$C$6504,C400,Lanç!$G$115:$G$6504)</f>
        <v>0</v>
      </c>
      <c r="H400" s="162">
        <f t="shared" si="23"/>
        <v>0</v>
      </c>
      <c r="I400" s="162">
        <f t="shared" si="24"/>
        <v>0</v>
      </c>
    </row>
    <row r="401" spans="1:14" hidden="1">
      <c r="A401" s="151">
        <f t="shared" si="22"/>
        <v>1</v>
      </c>
      <c r="B401" s="151" t="s">
        <v>206</v>
      </c>
      <c r="C401" s="159">
        <v>311122</v>
      </c>
      <c r="D401" s="160" t="s">
        <v>427</v>
      </c>
      <c r="E401" s="161">
        <f>SUMIF(Lanç!$C$3:$C$114,C401,Lanç!$F$3:$F$114)</f>
        <v>0</v>
      </c>
      <c r="F401" s="161">
        <f>SUMIF(Lanç!$C$115:$C$6504,C401,Lanç!$F$115:$F$6504)</f>
        <v>0</v>
      </c>
      <c r="G401" s="161">
        <f>SUMIF(Lanç!$C$115:$C$6504,C401,Lanç!$G$115:$G$6504)</f>
        <v>0</v>
      </c>
      <c r="H401" s="162">
        <f t="shared" si="23"/>
        <v>0</v>
      </c>
      <c r="I401" s="162">
        <f t="shared" si="24"/>
        <v>0</v>
      </c>
    </row>
    <row r="402" spans="1:14">
      <c r="A402" s="151">
        <f t="shared" si="22"/>
        <v>0</v>
      </c>
      <c r="B402" s="155" t="s">
        <v>204</v>
      </c>
      <c r="C402" s="156">
        <v>3112</v>
      </c>
      <c r="D402" s="157" t="s">
        <v>429</v>
      </c>
      <c r="E402" s="158">
        <f>SUM(E403,E520)</f>
        <v>50464071.576800004</v>
      </c>
      <c r="F402" s="158">
        <f>SUM(F403,F520)</f>
        <v>342425530.17465001</v>
      </c>
      <c r="G402" s="158">
        <f>SUM(G403,G520)</f>
        <v>206960394.12</v>
      </c>
      <c r="H402" s="154">
        <f t="shared" si="23"/>
        <v>135465136.05465001</v>
      </c>
      <c r="I402" s="154">
        <f t="shared" si="24"/>
        <v>185929207.63145</v>
      </c>
      <c r="J402" s="1"/>
      <c r="K402" s="1"/>
      <c r="L402" s="1"/>
      <c r="M402" s="1"/>
      <c r="N402" s="1"/>
    </row>
    <row r="403" spans="1:14">
      <c r="A403" s="151">
        <f t="shared" si="22"/>
        <v>0</v>
      </c>
      <c r="B403" s="155" t="s">
        <v>204</v>
      </c>
      <c r="C403" s="156">
        <v>31121</v>
      </c>
      <c r="D403" s="157" t="s">
        <v>425</v>
      </c>
      <c r="E403" s="158">
        <f>SUM(E404:E519)</f>
        <v>50464071.576800004</v>
      </c>
      <c r="F403" s="158">
        <f>SUM(F404:F519)</f>
        <v>342425530.17465001</v>
      </c>
      <c r="G403" s="158">
        <f>SUM(G404:G519)</f>
        <v>206960394.12</v>
      </c>
      <c r="H403" s="154">
        <f t="shared" si="23"/>
        <v>135465136.05465001</v>
      </c>
      <c r="I403" s="154">
        <f t="shared" si="24"/>
        <v>185929207.63145</v>
      </c>
    </row>
    <row r="404" spans="1:14" hidden="1">
      <c r="A404" s="151">
        <f t="shared" si="22"/>
        <v>1</v>
      </c>
      <c r="B404" s="151" t="s">
        <v>206</v>
      </c>
      <c r="C404" s="159">
        <v>31121000</v>
      </c>
      <c r="D404" s="160" t="s">
        <v>430</v>
      </c>
      <c r="E404" s="161">
        <f>SUMIF(Lanç!$C$3:$C$114,C404,Lanç!$F$3:$F$114)</f>
        <v>0</v>
      </c>
      <c r="F404" s="161">
        <f>SUMIF(Lanç!$C$115:$C$6504,C404,Lanç!$F$115:$F$6504)</f>
        <v>0</v>
      </c>
      <c r="G404" s="161">
        <f>SUMIF(Lanç!$C$115:$C$6504,C404,Lanç!$G$115:$G$6504)</f>
        <v>0</v>
      </c>
      <c r="H404" s="162">
        <f t="shared" si="23"/>
        <v>0</v>
      </c>
      <c r="I404" s="162">
        <f t="shared" si="24"/>
        <v>0</v>
      </c>
    </row>
    <row r="405" spans="1:14" hidden="1">
      <c r="A405" s="151">
        <f t="shared" si="22"/>
        <v>1</v>
      </c>
      <c r="B405" s="151" t="s">
        <v>206</v>
      </c>
      <c r="C405" s="159">
        <v>31121001</v>
      </c>
      <c r="D405" s="160" t="s">
        <v>431</v>
      </c>
      <c r="E405" s="161">
        <f>SUMIF(Lanç!$C$3:$C$114,C405,Lanç!$F$3:$F$114)</f>
        <v>0</v>
      </c>
      <c r="F405" s="161">
        <f>SUMIF(Lanç!$C$115:$C$6504,C405,Lanç!$F$115:$F$6504)</f>
        <v>0</v>
      </c>
      <c r="G405" s="161">
        <f>SUMIF(Lanç!$C$115:$C$6504,C405,Lanç!$G$115:$G$6504)</f>
        <v>0</v>
      </c>
      <c r="H405" s="162">
        <f t="shared" si="23"/>
        <v>0</v>
      </c>
      <c r="I405" s="162">
        <f t="shared" si="24"/>
        <v>0</v>
      </c>
    </row>
    <row r="406" spans="1:14" hidden="1">
      <c r="A406" s="151">
        <f t="shared" si="22"/>
        <v>1</v>
      </c>
      <c r="B406" s="151" t="s">
        <v>206</v>
      </c>
      <c r="C406" s="159">
        <v>31121002</v>
      </c>
      <c r="D406" s="160" t="s">
        <v>432</v>
      </c>
      <c r="E406" s="161">
        <f>SUMIF(Lanç!$C$3:$C$114,C406,Lanç!$F$3:$F$114)</f>
        <v>0</v>
      </c>
      <c r="F406" s="161">
        <f>SUMIF(Lanç!$C$115:$C$6504,C406,Lanç!$F$115:$F$6504)</f>
        <v>0</v>
      </c>
      <c r="G406" s="161">
        <f>SUMIF(Lanç!$C$115:$C$6504,C406,Lanç!$G$115:$G$6504)</f>
        <v>0</v>
      </c>
      <c r="H406" s="162">
        <f t="shared" si="23"/>
        <v>0</v>
      </c>
      <c r="I406" s="162">
        <f t="shared" si="24"/>
        <v>0</v>
      </c>
    </row>
    <row r="407" spans="1:14">
      <c r="A407" s="151">
        <f t="shared" si="22"/>
        <v>0</v>
      </c>
      <c r="B407" s="151" t="s">
        <v>206</v>
      </c>
      <c r="C407" s="159">
        <v>31121003</v>
      </c>
      <c r="D407" s="160" t="s">
        <v>433</v>
      </c>
      <c r="E407" s="161">
        <f>SUMIF(Lanç!$C$3:$C$114,C407,Lanç!$F$3:$F$114)</f>
        <v>27891306.59</v>
      </c>
      <c r="F407" s="161">
        <f>SUMIF(Lanç!$C$115:$C$6504,C407,Lanç!$F$115:$F$6504)</f>
        <v>0</v>
      </c>
      <c r="G407" s="161">
        <f>SUMIF(Lanç!$C$115:$C$6504,C407,Lanç!$G$115:$G$6504)</f>
        <v>0</v>
      </c>
      <c r="H407" s="162">
        <f t="shared" si="23"/>
        <v>0</v>
      </c>
      <c r="I407" s="162">
        <f t="shared" si="24"/>
        <v>27891306.59</v>
      </c>
    </row>
    <row r="408" spans="1:14" hidden="1">
      <c r="A408" s="151">
        <f t="shared" si="22"/>
        <v>1</v>
      </c>
      <c r="B408" s="151" t="s">
        <v>206</v>
      </c>
      <c r="C408" s="159">
        <v>31121004</v>
      </c>
      <c r="D408" s="160" t="s">
        <v>434</v>
      </c>
      <c r="E408" s="161">
        <f>SUMIF(Lanç!$C$3:$C$114,C408,Lanç!$F$3:$F$114)</f>
        <v>0</v>
      </c>
      <c r="F408" s="161">
        <f>SUMIF(Lanç!$C$115:$C$6504,C408,Lanç!$F$115:$F$6504)</f>
        <v>0</v>
      </c>
      <c r="G408" s="161">
        <f>SUMIF(Lanç!$C$115:$C$6504,C408,Lanç!$G$115:$G$6504)</f>
        <v>0</v>
      </c>
      <c r="H408" s="162">
        <f t="shared" si="23"/>
        <v>0</v>
      </c>
      <c r="I408" s="162">
        <f t="shared" si="24"/>
        <v>0</v>
      </c>
    </row>
    <row r="409" spans="1:14" hidden="1">
      <c r="A409" s="151">
        <f t="shared" si="22"/>
        <v>1</v>
      </c>
      <c r="B409" s="151" t="s">
        <v>206</v>
      </c>
      <c r="C409" s="159">
        <v>31121005</v>
      </c>
      <c r="D409" s="160" t="s">
        <v>435</v>
      </c>
      <c r="E409" s="161">
        <f>SUMIF(Lanç!$C$3:$C$114,C409,Lanç!$F$3:$F$114)</f>
        <v>0</v>
      </c>
      <c r="F409" s="161">
        <f>SUMIF(Lanç!$C$115:$C$6504,C409,Lanç!$F$115:$F$6504)</f>
        <v>0</v>
      </c>
      <c r="G409" s="161">
        <f>SUMIF(Lanç!$C$115:$C$6504,C409,Lanç!$G$115:$G$6504)</f>
        <v>0</v>
      </c>
      <c r="H409" s="162">
        <f t="shared" si="23"/>
        <v>0</v>
      </c>
      <c r="I409" s="162">
        <f t="shared" si="24"/>
        <v>0</v>
      </c>
    </row>
    <row r="410" spans="1:14" hidden="1">
      <c r="A410" s="151">
        <f t="shared" si="22"/>
        <v>1</v>
      </c>
      <c r="B410" s="151" t="s">
        <v>206</v>
      </c>
      <c r="C410" s="159">
        <v>31121006</v>
      </c>
      <c r="D410" s="160" t="s">
        <v>436</v>
      </c>
      <c r="E410" s="161">
        <f>SUMIF(Lanç!C3:C114,C410,Lanç!F3:F114)</f>
        <v>0</v>
      </c>
      <c r="F410" s="161">
        <f>SUMIF(Lanç!C115:C6504,C410,Lanç!F115:F6504)</f>
        <v>0</v>
      </c>
      <c r="G410" s="161">
        <f>SUMIF(Lanç!C115:C6504,C410,Lanç!G115:G6504)</f>
        <v>0</v>
      </c>
      <c r="H410" s="162">
        <f t="shared" si="23"/>
        <v>0</v>
      </c>
      <c r="I410" s="162">
        <f t="shared" si="24"/>
        <v>0</v>
      </c>
    </row>
    <row r="411" spans="1:14" hidden="1">
      <c r="A411" s="151">
        <f t="shared" si="22"/>
        <v>1</v>
      </c>
      <c r="B411" s="151" t="s">
        <v>206</v>
      </c>
      <c r="C411" s="159">
        <v>31121007</v>
      </c>
      <c r="D411" s="160" t="s">
        <v>437</v>
      </c>
      <c r="E411" s="161">
        <f>SUMIF(Lanç!C3:C114,C411,Lanç!F3:F114)</f>
        <v>0</v>
      </c>
      <c r="F411" s="161">
        <f>SUMIF(Lanç!C115:C6504,C411,Lanç!F115:F6504)</f>
        <v>0</v>
      </c>
      <c r="G411" s="161">
        <f>SUMIF(Lanç!C115:C6504,C411,Lanç!G115:G6504)</f>
        <v>0</v>
      </c>
      <c r="H411" s="162">
        <f t="shared" si="23"/>
        <v>0</v>
      </c>
      <c r="I411" s="162">
        <f t="shared" si="24"/>
        <v>0</v>
      </c>
    </row>
    <row r="412" spans="1:14" hidden="1">
      <c r="A412" s="151">
        <f t="shared" si="22"/>
        <v>1</v>
      </c>
      <c r="B412" s="151" t="s">
        <v>206</v>
      </c>
      <c r="C412" s="159">
        <v>31121008</v>
      </c>
      <c r="D412" s="160" t="s">
        <v>438</v>
      </c>
      <c r="E412" s="161">
        <f>SUMIF(Lanç!$C$3:$C$114,C412,Lanç!$F$3:$F$114)</f>
        <v>0</v>
      </c>
      <c r="F412" s="161">
        <f>SUMIF(Lanç!$C$115:$C$6504,C412,Lanç!$F$115:$F$6504)</f>
        <v>0</v>
      </c>
      <c r="G412" s="161">
        <f>SUMIF(Lanç!$C$115:$C$6504,C412,Lanç!$G$115:$G$6504)</f>
        <v>0</v>
      </c>
      <c r="H412" s="162">
        <f t="shared" si="23"/>
        <v>0</v>
      </c>
      <c r="I412" s="162">
        <f t="shared" si="24"/>
        <v>0</v>
      </c>
    </row>
    <row r="413" spans="1:14">
      <c r="A413" s="151">
        <f t="shared" si="22"/>
        <v>0</v>
      </c>
      <c r="B413" s="151" t="s">
        <v>206</v>
      </c>
      <c r="C413" s="159">
        <v>31121009</v>
      </c>
      <c r="D413" s="160" t="s">
        <v>439</v>
      </c>
      <c r="E413" s="161">
        <f>SUMIF(Lanç!$C$3:$C$114,C413,Lanç!$F$3:$F$114)</f>
        <v>16613407.16</v>
      </c>
      <c r="F413" s="161">
        <f>SUMIF(Lanç!C115:C6504,C413,Lanç!F115:F6504)</f>
        <v>0</v>
      </c>
      <c r="G413" s="161">
        <f>SUMIF(Lanç!C115:C6504,C413,Lanç!G115:G6504)</f>
        <v>0</v>
      </c>
      <c r="H413" s="162">
        <f t="shared" si="23"/>
        <v>0</v>
      </c>
      <c r="I413" s="162">
        <f t="shared" si="24"/>
        <v>16613407.16</v>
      </c>
    </row>
    <row r="414" spans="1:14" hidden="1">
      <c r="A414" s="151">
        <f t="shared" si="22"/>
        <v>1</v>
      </c>
      <c r="B414" s="151" t="s">
        <v>206</v>
      </c>
      <c r="C414" s="159">
        <v>31121010</v>
      </c>
      <c r="D414" s="160" t="s">
        <v>440</v>
      </c>
      <c r="E414" s="161">
        <f>SUMIF(Lanç!$C$3:$C$114,C414,Lanç!$F$3:$F$114)</f>
        <v>0</v>
      </c>
      <c r="F414" s="161">
        <f>SUMIF(Lanç!$C$115:$C$6504,C414,Lanç!$F$115:$F$6504)</f>
        <v>0</v>
      </c>
      <c r="G414" s="161">
        <f>SUMIF(Lanç!$C$115:$C$6504,C414,Lanç!$G$115:$G$6504)</f>
        <v>0</v>
      </c>
      <c r="H414" s="162">
        <f t="shared" si="23"/>
        <v>0</v>
      </c>
      <c r="I414" s="162">
        <f t="shared" si="24"/>
        <v>0</v>
      </c>
    </row>
    <row r="415" spans="1:14" hidden="1">
      <c r="A415" s="151">
        <f t="shared" si="22"/>
        <v>1</v>
      </c>
      <c r="B415" s="151" t="s">
        <v>206</v>
      </c>
      <c r="C415" s="159">
        <v>31121011</v>
      </c>
      <c r="D415" s="160" t="s">
        <v>441</v>
      </c>
      <c r="E415" s="161">
        <f>SUMIF(Lanç!$C$3:$C$114,C415,Lanç!$F$3:$F$114)</f>
        <v>0</v>
      </c>
      <c r="F415" s="161">
        <f>SUMIF(Lanç!$C$115:$C$6504,C415,Lanç!$F$115:$F$6504)</f>
        <v>0</v>
      </c>
      <c r="G415" s="161">
        <f>SUMIF(Lanç!$C$115:$C$6504,C415,Lanç!$G$115:$G$6504)</f>
        <v>0</v>
      </c>
      <c r="H415" s="162">
        <f t="shared" si="23"/>
        <v>0</v>
      </c>
      <c r="I415" s="162">
        <f t="shared" si="24"/>
        <v>0</v>
      </c>
    </row>
    <row r="416" spans="1:14" hidden="1">
      <c r="A416" s="151">
        <f t="shared" si="22"/>
        <v>1</v>
      </c>
      <c r="B416" s="151" t="s">
        <v>206</v>
      </c>
      <c r="C416" s="159">
        <v>31121012</v>
      </c>
      <c r="D416" s="160" t="s">
        <v>442</v>
      </c>
      <c r="E416" s="161">
        <f>SUMIF(Lanç!$C$3:$C$114,C416,Lanç!$F$3:$F$114)</f>
        <v>0</v>
      </c>
      <c r="F416" s="161">
        <f>SUMIF(Lanç!C115:C6504,C416,Lanç!F115:F6504)</f>
        <v>0</v>
      </c>
      <c r="G416" s="161">
        <f>SUMIF(Lanç!C115:C6504,C416,Lanç!G115:G6504)</f>
        <v>0</v>
      </c>
      <c r="H416" s="162">
        <f t="shared" si="23"/>
        <v>0</v>
      </c>
      <c r="I416" s="162">
        <f t="shared" si="24"/>
        <v>0</v>
      </c>
    </row>
    <row r="417" spans="1:9" hidden="1">
      <c r="A417" s="151">
        <f t="shared" si="22"/>
        <v>1</v>
      </c>
      <c r="B417" s="151" t="s">
        <v>206</v>
      </c>
      <c r="C417" s="159">
        <v>31121013</v>
      </c>
      <c r="D417" s="160" t="s">
        <v>443</v>
      </c>
      <c r="E417" s="161">
        <f>SUMIF(Lanç!$C$3:$C$114,C417,Lanç!$F$3:$F$114)</f>
        <v>0</v>
      </c>
      <c r="F417" s="161">
        <f>SUMIF(Lanç!$C$115:$C$6504,C417,Lanç!$F$115:$F$6504)</f>
        <v>0</v>
      </c>
      <c r="G417" s="161">
        <f>SUMIF(Lanç!$C$115:$C$6504,C417,Lanç!$G$115:$G$6504)</f>
        <v>0</v>
      </c>
      <c r="H417" s="162">
        <f t="shared" si="23"/>
        <v>0</v>
      </c>
      <c r="I417" s="162">
        <f t="shared" si="24"/>
        <v>0</v>
      </c>
    </row>
    <row r="418" spans="1:9" hidden="1">
      <c r="A418" s="151">
        <f t="shared" si="22"/>
        <v>1</v>
      </c>
      <c r="B418" s="151" t="s">
        <v>206</v>
      </c>
      <c r="C418" s="159">
        <v>31121014</v>
      </c>
      <c r="D418" s="160" t="s">
        <v>444</v>
      </c>
      <c r="E418" s="161">
        <f>SUMIF(Lanç!$C$3:$C$114,C418,Lanç!$F$3:$F$114)</f>
        <v>0</v>
      </c>
      <c r="F418" s="161">
        <f>SUMIF(Lanç!$C$115:$C$6504,C418,Lanç!$F$115:$F$6504)</f>
        <v>0</v>
      </c>
      <c r="G418" s="161">
        <f>SUMIF(Lanç!$C$115:$C$6504,C418,Lanç!$G$115:$G$6504)</f>
        <v>0</v>
      </c>
      <c r="H418" s="162">
        <f t="shared" si="23"/>
        <v>0</v>
      </c>
      <c r="I418" s="162">
        <f t="shared" si="24"/>
        <v>0</v>
      </c>
    </row>
    <row r="419" spans="1:9" hidden="1">
      <c r="A419" s="151">
        <f t="shared" si="22"/>
        <v>1</v>
      </c>
      <c r="B419" s="151" t="s">
        <v>206</v>
      </c>
      <c r="C419" s="159">
        <v>31121015</v>
      </c>
      <c r="D419" s="160" t="s">
        <v>445</v>
      </c>
      <c r="E419" s="161">
        <f>SUMIF(Lanç!$C$3:$C$114,C419,Lanç!$F$3:$F$114)</f>
        <v>0</v>
      </c>
      <c r="F419" s="161">
        <f>SUMIF(Lanç!$C$115:$C$6504,C419,Lanç!$F$115:$F$6504)</f>
        <v>0</v>
      </c>
      <c r="G419" s="161">
        <f>SUMIF(Lanç!$C$115:$C$6504,C419,Lanç!$G$115:$G$6504)</f>
        <v>0</v>
      </c>
      <c r="H419" s="162">
        <f t="shared" si="23"/>
        <v>0</v>
      </c>
      <c r="I419" s="162">
        <f t="shared" si="24"/>
        <v>0</v>
      </c>
    </row>
    <row r="420" spans="1:9" hidden="1">
      <c r="A420" s="151">
        <f t="shared" si="22"/>
        <v>1</v>
      </c>
      <c r="B420" s="151" t="s">
        <v>206</v>
      </c>
      <c r="C420" s="159">
        <v>31121016</v>
      </c>
      <c r="D420" s="160" t="s">
        <v>446</v>
      </c>
      <c r="E420" s="161">
        <f>SUMIF(Lanç!$C$3:$C$114,C420,Lanç!$F$3:$F$114)</f>
        <v>0</v>
      </c>
      <c r="F420" s="161">
        <f>SUMIF(Lanç!$C$115:$C$6504,C420,Lanç!$F$115:$F$6504)</f>
        <v>0</v>
      </c>
      <c r="G420" s="161">
        <f>SUMIF(Lanç!$C$115:$C$6504,C420,Lanç!$G$115:$G$6504)</f>
        <v>0</v>
      </c>
      <c r="H420" s="162">
        <f t="shared" si="23"/>
        <v>0</v>
      </c>
      <c r="I420" s="162">
        <f t="shared" si="24"/>
        <v>0</v>
      </c>
    </row>
    <row r="421" spans="1:9" hidden="1">
      <c r="A421" s="151">
        <f t="shared" si="22"/>
        <v>1</v>
      </c>
      <c r="B421" s="151" t="s">
        <v>206</v>
      </c>
      <c r="C421" s="159">
        <v>31121017</v>
      </c>
      <c r="D421" s="160" t="s">
        <v>447</v>
      </c>
      <c r="E421" s="161">
        <f>SUMIF(Lanç!$C$3:$C$114,C421,Lanç!$F$3:$F$114)</f>
        <v>0</v>
      </c>
      <c r="F421" s="161">
        <f>SUMIF(Lanç!$C$115:$C$6504,C421,Lanç!$F$115:$F$6504)</f>
        <v>0</v>
      </c>
      <c r="G421" s="161">
        <f>SUMIF(Lanç!$C$115:$C$6504,C421,Lanç!$G$115:$G$6504)</f>
        <v>0</v>
      </c>
      <c r="H421" s="162">
        <f t="shared" si="23"/>
        <v>0</v>
      </c>
      <c r="I421" s="162">
        <f t="shared" si="24"/>
        <v>0</v>
      </c>
    </row>
    <row r="422" spans="1:9" hidden="1">
      <c r="A422" s="151">
        <f t="shared" si="22"/>
        <v>1</v>
      </c>
      <c r="B422" s="151" t="s">
        <v>206</v>
      </c>
      <c r="C422" s="159">
        <v>31121018</v>
      </c>
      <c r="D422" s="160" t="s">
        <v>448</v>
      </c>
      <c r="E422" s="161">
        <f>SUMIF(Lanç!$C$3:$C$114,C422,Lanç!$F$3:$F$114)</f>
        <v>0</v>
      </c>
      <c r="F422" s="161">
        <f>SUMIF(Lanç!$C$115:$C$6504,C422,Lanç!$F$115:$F$6504)</f>
        <v>0</v>
      </c>
      <c r="G422" s="161">
        <f>SUMIF(Lanç!$C$115:$C$6504,C422,Lanç!$G$115:$G$6504)</f>
        <v>0</v>
      </c>
      <c r="H422" s="162">
        <f t="shared" si="23"/>
        <v>0</v>
      </c>
      <c r="I422" s="162">
        <f t="shared" si="24"/>
        <v>0</v>
      </c>
    </row>
    <row r="423" spans="1:9" hidden="1">
      <c r="A423" s="151">
        <f t="shared" si="22"/>
        <v>1</v>
      </c>
      <c r="B423" s="151" t="s">
        <v>206</v>
      </c>
      <c r="C423" s="159">
        <v>31121019</v>
      </c>
      <c r="D423" s="160" t="s">
        <v>449</v>
      </c>
      <c r="E423" s="161">
        <f>SUMIF(Lanç!C3:C114,C423,Lanç!F3:F114)</f>
        <v>0</v>
      </c>
      <c r="F423" s="161">
        <f>SUMIF(Lanç!C115:C6504,C423,Lanç!F115:F6504)</f>
        <v>0</v>
      </c>
      <c r="G423" s="161">
        <f>SUMIF(Lanç!C115:C6504,C423,Lanç!G115:G6504)</f>
        <v>0</v>
      </c>
      <c r="H423" s="162">
        <f t="shared" si="23"/>
        <v>0</v>
      </c>
      <c r="I423" s="162">
        <f t="shared" si="24"/>
        <v>0</v>
      </c>
    </row>
    <row r="424" spans="1:9" hidden="1">
      <c r="A424" s="151">
        <f t="shared" si="22"/>
        <v>1</v>
      </c>
      <c r="B424" s="151" t="s">
        <v>206</v>
      </c>
      <c r="C424" s="159">
        <v>31121020</v>
      </c>
      <c r="D424" s="160" t="s">
        <v>450</v>
      </c>
      <c r="E424" s="161">
        <f>SUMIF(Lanç!$C$3:$C$114,C424,Lanç!$F$3:$F$114)</f>
        <v>0</v>
      </c>
      <c r="F424" s="161">
        <f>SUMIF(Lanç!$C$115:$C$6504,C424,Lanç!$F$115:$F$6504)</f>
        <v>0</v>
      </c>
      <c r="G424" s="161">
        <f>SUMIF(Lanç!$C$115:$C$6504,C424,Lanç!$G$115:$G$6504)</f>
        <v>0</v>
      </c>
      <c r="H424" s="162">
        <f t="shared" si="23"/>
        <v>0</v>
      </c>
      <c r="I424" s="162">
        <f t="shared" si="24"/>
        <v>0</v>
      </c>
    </row>
    <row r="425" spans="1:9" hidden="1">
      <c r="A425" s="151">
        <f t="shared" si="22"/>
        <v>1</v>
      </c>
      <c r="B425" s="151" t="s">
        <v>206</v>
      </c>
      <c r="C425" s="159">
        <v>31121021</v>
      </c>
      <c r="D425" s="160" t="s">
        <v>451</v>
      </c>
      <c r="E425" s="161">
        <f>SUMIF(Lanç!$C$3:$C$114,C425,Lanç!$F$3:$F$114)</f>
        <v>0</v>
      </c>
      <c r="F425" s="161">
        <f>SUMIF(Lanç!$C$115:$C$6504,C425,Lanç!$F$115:$F$6504)</f>
        <v>0</v>
      </c>
      <c r="G425" s="161">
        <f>SUMIF(Lanç!$C$115:$C$6504,C425,Lanç!$G$115:$G$6504)</f>
        <v>0</v>
      </c>
      <c r="H425" s="162">
        <f t="shared" si="23"/>
        <v>0</v>
      </c>
      <c r="I425" s="162">
        <f t="shared" si="24"/>
        <v>0</v>
      </c>
    </row>
    <row r="426" spans="1:9" hidden="1">
      <c r="A426" s="151">
        <f t="shared" si="22"/>
        <v>1</v>
      </c>
      <c r="B426" s="151" t="s">
        <v>206</v>
      </c>
      <c r="C426" s="159">
        <v>31121022</v>
      </c>
      <c r="D426" s="160" t="s">
        <v>452</v>
      </c>
      <c r="E426" s="161">
        <f>SUMIF(Lanç!$C$3:$C$114,C426,Lanç!$F$3:$F$114)</f>
        <v>0</v>
      </c>
      <c r="F426" s="161">
        <f>SUMIF(Lanç!$C$115:$C$6504,C426,Lanç!$F$115:$F$6504)</f>
        <v>0</v>
      </c>
      <c r="G426" s="161">
        <f>SUMIF(Lanç!$C$115:$C$6504,C426,Lanç!$G$115:$G$6504)</f>
        <v>0</v>
      </c>
      <c r="H426" s="162">
        <f t="shared" si="23"/>
        <v>0</v>
      </c>
      <c r="I426" s="162">
        <f t="shared" si="24"/>
        <v>0</v>
      </c>
    </row>
    <row r="427" spans="1:9" hidden="1">
      <c r="A427" s="151">
        <f t="shared" si="22"/>
        <v>1</v>
      </c>
      <c r="B427" s="151" t="s">
        <v>206</v>
      </c>
      <c r="C427" s="159">
        <v>31121023</v>
      </c>
      <c r="D427" s="160" t="s">
        <v>453</v>
      </c>
      <c r="E427" s="161">
        <f>SUMIF(Lanç!$C$3:$C$114,C427,Lanç!$F$3:$F$114)</f>
        <v>0</v>
      </c>
      <c r="F427" s="161">
        <f>SUMIF(Lanç!$C$115:$C$6504,C427,Lanç!$F$115:$F$6504)</f>
        <v>0</v>
      </c>
      <c r="G427" s="161">
        <f>SUMIF(Lanç!$C$115:$C$6504,C427,Lanç!$G$115:$G$6504)</f>
        <v>0</v>
      </c>
      <c r="H427" s="162">
        <f t="shared" si="23"/>
        <v>0</v>
      </c>
      <c r="I427" s="162">
        <f t="shared" si="24"/>
        <v>0</v>
      </c>
    </row>
    <row r="428" spans="1:9" hidden="1">
      <c r="A428" s="151">
        <f t="shared" si="22"/>
        <v>1</v>
      </c>
      <c r="B428" s="151" t="s">
        <v>206</v>
      </c>
      <c r="C428" s="159">
        <v>31121024</v>
      </c>
      <c r="D428" s="160" t="s">
        <v>454</v>
      </c>
      <c r="E428" s="161">
        <f>SUMIF(Lanç!C3:C114,C428,Lanç!F3:F114)</f>
        <v>0</v>
      </c>
      <c r="F428" s="161">
        <f>SUMIF(Lanç!C115:C6504,C428,Lanç!F115:F6504)</f>
        <v>0</v>
      </c>
      <c r="G428" s="161">
        <f>SUMIF(Lanç!C115:C6504,C428,Lanç!G115:G6504)</f>
        <v>0</v>
      </c>
      <c r="H428" s="162">
        <f t="shared" si="23"/>
        <v>0</v>
      </c>
      <c r="I428" s="162">
        <f t="shared" si="24"/>
        <v>0</v>
      </c>
    </row>
    <row r="429" spans="1:9" hidden="1">
      <c r="A429" s="151">
        <f t="shared" si="22"/>
        <v>1</v>
      </c>
      <c r="B429" s="151" t="s">
        <v>206</v>
      </c>
      <c r="C429" s="159">
        <v>31121025</v>
      </c>
      <c r="D429" s="160" t="s">
        <v>455</v>
      </c>
      <c r="E429" s="161">
        <f>SUMIF(Lanç!$C$3:$C$114,C429,Lanç!$F$3:$F$114)</f>
        <v>0</v>
      </c>
      <c r="F429" s="161">
        <f>SUMIF(Lanç!$C$115:$C$6504,C429,Lanç!$F$115:$F$6504)</f>
        <v>0</v>
      </c>
      <c r="G429" s="161">
        <f>SUMIF(Lanç!$C$115:$C$6504,C429,Lanç!$G$115:$G$6504)</f>
        <v>0</v>
      </c>
      <c r="H429" s="162">
        <f t="shared" si="23"/>
        <v>0</v>
      </c>
      <c r="I429" s="162">
        <f t="shared" si="24"/>
        <v>0</v>
      </c>
    </row>
    <row r="430" spans="1:9" hidden="1">
      <c r="A430" s="151">
        <f t="shared" si="22"/>
        <v>1</v>
      </c>
      <c r="B430" s="151" t="s">
        <v>206</v>
      </c>
      <c r="C430" s="159">
        <v>31121026</v>
      </c>
      <c r="D430" s="160" t="s">
        <v>456</v>
      </c>
      <c r="E430" s="161">
        <f>SUMIF(Lanç!$C$3:$C$114,C430,Lanç!$F$3:$F$114)</f>
        <v>0</v>
      </c>
      <c r="F430" s="161">
        <f>SUMIF(Lanç!$C$115:$C$6504,C430,Lanç!$F$115:$F$6504)</f>
        <v>0</v>
      </c>
      <c r="G430" s="161">
        <f>SUMIF(Lanç!$C$115:$C$6504,C430,Lanç!$G$115:$G$6504)</f>
        <v>0</v>
      </c>
      <c r="H430" s="162">
        <f t="shared" si="23"/>
        <v>0</v>
      </c>
      <c r="I430" s="162">
        <f t="shared" si="24"/>
        <v>0</v>
      </c>
    </row>
    <row r="431" spans="1:9" hidden="1">
      <c r="A431" s="151">
        <f t="shared" si="22"/>
        <v>1</v>
      </c>
      <c r="B431" s="151" t="s">
        <v>206</v>
      </c>
      <c r="C431" s="159">
        <v>31121027</v>
      </c>
      <c r="D431" s="160" t="s">
        <v>457</v>
      </c>
      <c r="E431" s="161">
        <f>SUMIF(Lanç!$C$3:$C$114,C431,Lanç!$F$3:$F$114)</f>
        <v>0</v>
      </c>
      <c r="F431" s="161">
        <f>SUMIF(Lanç!$C$115:$C$6504,C431,Lanç!$F$115:$F$6504)</f>
        <v>0</v>
      </c>
      <c r="G431" s="161">
        <f>SUMIF(Lanç!$C$115:$C$6504,C431,Lanç!$G$115:$G$6504)</f>
        <v>0</v>
      </c>
      <c r="H431" s="162">
        <f t="shared" si="23"/>
        <v>0</v>
      </c>
      <c r="I431" s="162">
        <f t="shared" si="24"/>
        <v>0</v>
      </c>
    </row>
    <row r="432" spans="1:9" hidden="1">
      <c r="A432" s="151">
        <f t="shared" si="22"/>
        <v>1</v>
      </c>
      <c r="B432" s="151" t="s">
        <v>206</v>
      </c>
      <c r="C432" s="159">
        <v>31121028</v>
      </c>
      <c r="D432" s="160" t="s">
        <v>458</v>
      </c>
      <c r="E432" s="161">
        <f>SUMIF(Lanç!$C$3:$C$114,C432,Lanç!$F$3:$F$114)</f>
        <v>0</v>
      </c>
      <c r="F432" s="161">
        <f>SUMIF(Lanç!$C$115:$C$6504,C432,Lanç!$F$115:$F$6504)</f>
        <v>0</v>
      </c>
      <c r="G432" s="161">
        <f>SUMIF(Lanç!$C$115:$C$6504,C432,Lanç!$G$115:$G$6504)</f>
        <v>0</v>
      </c>
      <c r="H432" s="162">
        <f t="shared" si="23"/>
        <v>0</v>
      </c>
      <c r="I432" s="162">
        <f t="shared" si="24"/>
        <v>0</v>
      </c>
    </row>
    <row r="433" spans="1:9" hidden="1">
      <c r="A433" s="151">
        <f t="shared" si="22"/>
        <v>1</v>
      </c>
      <c r="B433" s="151" t="s">
        <v>206</v>
      </c>
      <c r="C433" s="159">
        <v>31121029</v>
      </c>
      <c r="D433" s="160" t="s">
        <v>459</v>
      </c>
      <c r="E433" s="161">
        <f>SUMIF(Lanç!$C$3:$C$114,C433,Lanç!$F$3:$F$114)</f>
        <v>0</v>
      </c>
      <c r="F433" s="161">
        <f>SUMIF(Lanç!$C$115:$C$6504,C433,Lanç!$F$115:$F$6504)</f>
        <v>0</v>
      </c>
      <c r="G433" s="161">
        <f>SUMIF(Lanç!$C$115:$C$6504,C433,Lanç!$G$115:$G$6504)</f>
        <v>0</v>
      </c>
      <c r="H433" s="162">
        <f t="shared" si="23"/>
        <v>0</v>
      </c>
      <c r="I433" s="162">
        <f t="shared" si="24"/>
        <v>0</v>
      </c>
    </row>
    <row r="434" spans="1:9" hidden="1">
      <c r="A434" s="151">
        <f t="shared" si="22"/>
        <v>1</v>
      </c>
      <c r="B434" s="151" t="s">
        <v>206</v>
      </c>
      <c r="C434" s="159">
        <v>31121030</v>
      </c>
      <c r="D434" s="160" t="s">
        <v>460</v>
      </c>
      <c r="E434" s="161">
        <f>SUMIF(Lanç!$C$3:$C$114,C434,Lanç!$F$3:$F$114)</f>
        <v>0</v>
      </c>
      <c r="F434" s="161">
        <f>SUMIF(Lanç!$C$115:$C$6504,C434,Lanç!$F$115:$F$6504)</f>
        <v>0</v>
      </c>
      <c r="G434" s="161">
        <f>SUMIF(Lanç!$C$115:$C$6504,C434,Lanç!$G$115:$G$6504)</f>
        <v>0</v>
      </c>
      <c r="H434" s="162">
        <f t="shared" si="23"/>
        <v>0</v>
      </c>
      <c r="I434" s="162">
        <f t="shared" si="24"/>
        <v>0</v>
      </c>
    </row>
    <row r="435" spans="1:9" hidden="1">
      <c r="A435" s="151">
        <f t="shared" si="22"/>
        <v>1</v>
      </c>
      <c r="B435" s="151" t="s">
        <v>206</v>
      </c>
      <c r="C435" s="159">
        <v>31121031</v>
      </c>
      <c r="D435" s="160" t="s">
        <v>461</v>
      </c>
      <c r="E435" s="161">
        <f>SUMIF(Lanç!$C$3:$C$114,C435,Lanç!$F$3:$F$114)</f>
        <v>0</v>
      </c>
      <c r="F435" s="161">
        <f>SUMIF(Lanç!$C$115:$C$6504,C435,Lanç!$F$115:$F$6504)</f>
        <v>0</v>
      </c>
      <c r="G435" s="161">
        <f>SUMIF(Lanç!$C$115:$C$6504,C435,Lanç!$G$115:$G$6504)</f>
        <v>0</v>
      </c>
      <c r="H435" s="162">
        <f t="shared" si="23"/>
        <v>0</v>
      </c>
      <c r="I435" s="162">
        <f t="shared" si="24"/>
        <v>0</v>
      </c>
    </row>
    <row r="436" spans="1:9" hidden="1">
      <c r="A436" s="151">
        <f t="shared" si="22"/>
        <v>1</v>
      </c>
      <c r="B436" s="151" t="s">
        <v>206</v>
      </c>
      <c r="C436" s="159">
        <v>31121032</v>
      </c>
      <c r="D436" s="160" t="s">
        <v>462</v>
      </c>
      <c r="E436" s="161">
        <f>SUMIF(Lanç!$C$3:$C$114,C436,Lanç!$F$3:$F$114)</f>
        <v>0</v>
      </c>
      <c r="F436" s="161">
        <f>SUMIF(Lanç!$C$115:$C$6504,C436,Lanç!$F$115:$F$6504)</f>
        <v>0</v>
      </c>
      <c r="G436" s="161">
        <f>SUMIF(Lanç!$C$115:$C$6504,C436,Lanç!$G$115:$G$6504)</f>
        <v>0</v>
      </c>
      <c r="H436" s="162">
        <f t="shared" si="23"/>
        <v>0</v>
      </c>
      <c r="I436" s="162">
        <f t="shared" si="24"/>
        <v>0</v>
      </c>
    </row>
    <row r="437" spans="1:9" hidden="1">
      <c r="A437" s="151">
        <f t="shared" si="22"/>
        <v>1</v>
      </c>
      <c r="B437" s="151" t="s">
        <v>206</v>
      </c>
      <c r="C437" s="159">
        <v>31121033</v>
      </c>
      <c r="D437" s="160" t="s">
        <v>463</v>
      </c>
      <c r="E437" s="161">
        <f>SUMIF(Lanç!$C$3:$C$114,C437,Lanç!$F$3:$F$114)</f>
        <v>0</v>
      </c>
      <c r="F437" s="161">
        <f>SUMIF(Lanç!$C$115:$C$6504,C437,Lanç!$F$115:$F$6504)</f>
        <v>0</v>
      </c>
      <c r="G437" s="161">
        <f>SUMIF(Lanç!$C$115:$C$6504,C437,Lanç!$G$115:$G$6504)</f>
        <v>0</v>
      </c>
      <c r="H437" s="162">
        <f t="shared" si="23"/>
        <v>0</v>
      </c>
      <c r="I437" s="162">
        <f t="shared" si="24"/>
        <v>0</v>
      </c>
    </row>
    <row r="438" spans="1:9" hidden="1">
      <c r="A438" s="151">
        <f t="shared" si="22"/>
        <v>1</v>
      </c>
      <c r="B438" s="151" t="s">
        <v>206</v>
      </c>
      <c r="C438" s="159">
        <v>31121034</v>
      </c>
      <c r="D438" s="160" t="s">
        <v>464</v>
      </c>
      <c r="E438" s="161">
        <f>SUMIF(Lanç!$C$3:$C$114,C438,Lanç!$F$3:$F$114)</f>
        <v>0</v>
      </c>
      <c r="F438" s="161">
        <f>SUMIF(Lanç!$C$115:$C$6504,C438,Lanç!$F$115:$F$6504)</f>
        <v>0</v>
      </c>
      <c r="G438" s="161">
        <f>SUMIF(Lanç!$C$115:$C$6504,C438,Lanç!$G$115:$G$6504)</f>
        <v>0</v>
      </c>
      <c r="H438" s="162">
        <f t="shared" si="23"/>
        <v>0</v>
      </c>
      <c r="I438" s="162">
        <f t="shared" si="24"/>
        <v>0</v>
      </c>
    </row>
    <row r="439" spans="1:9">
      <c r="A439" s="151">
        <f t="shared" si="22"/>
        <v>0</v>
      </c>
      <c r="B439" s="151" t="s">
        <v>206</v>
      </c>
      <c r="C439" s="159">
        <v>31121035</v>
      </c>
      <c r="D439" s="160" t="s">
        <v>465</v>
      </c>
      <c r="E439" s="161">
        <f>SUMIF(Lanç!$C$3:$C$114,C439,Lanç!$F$3:$F$114)</f>
        <v>878.9</v>
      </c>
      <c r="F439" s="161">
        <f>SUMIF(Lanç!$C$115:$C$6504,C439,Lanç!$F$115:$F$6504)</f>
        <v>0</v>
      </c>
      <c r="G439" s="161">
        <f>SUMIF(Lanç!$C$115:$C$6504,C439,Lanç!$G$115:$G$6504)</f>
        <v>0</v>
      </c>
      <c r="H439" s="162">
        <f t="shared" si="23"/>
        <v>0</v>
      </c>
      <c r="I439" s="162">
        <f t="shared" si="24"/>
        <v>878.9</v>
      </c>
    </row>
    <row r="440" spans="1:9" hidden="1">
      <c r="A440" s="151">
        <f t="shared" si="22"/>
        <v>1</v>
      </c>
      <c r="B440" s="151" t="s">
        <v>206</v>
      </c>
      <c r="C440" s="159">
        <v>31121036</v>
      </c>
      <c r="D440" s="160" t="s">
        <v>466</v>
      </c>
      <c r="E440" s="161">
        <f>SUMIF(Lanç!C3:C114,C440,Lanç!F3:F114)</f>
        <v>0</v>
      </c>
      <c r="F440" s="161">
        <f>SUMIF(Lanç!C115:C6504,C440,Lanç!F115:F6504)</f>
        <v>0</v>
      </c>
      <c r="G440" s="161">
        <f>SUMIF(Lanç!C115:C6504,C440,Lanç!G115:G6504)</f>
        <v>0</v>
      </c>
      <c r="H440" s="162">
        <f t="shared" si="23"/>
        <v>0</v>
      </c>
      <c r="I440" s="162">
        <f t="shared" si="24"/>
        <v>0</v>
      </c>
    </row>
    <row r="441" spans="1:9" hidden="1">
      <c r="A441" s="151">
        <f t="shared" si="22"/>
        <v>1</v>
      </c>
      <c r="B441" s="151" t="s">
        <v>206</v>
      </c>
      <c r="C441" s="159">
        <v>31121037</v>
      </c>
      <c r="D441" s="160" t="s">
        <v>467</v>
      </c>
      <c r="E441" s="161">
        <f>SUMIF(Lanç!$C$3:$C$114,C441,Lanç!$F$3:$F$114)</f>
        <v>0</v>
      </c>
      <c r="F441" s="161">
        <f>SUMIF(Lanç!$C$115:$C$6504,C441,Lanç!$F$115:$F$6504)</f>
        <v>0</v>
      </c>
      <c r="G441" s="161">
        <f>SUMIF(Lanç!$C$115:$C$6504,C441,Lanç!$G$115:$G$6504)</f>
        <v>0</v>
      </c>
      <c r="H441" s="162">
        <f t="shared" si="23"/>
        <v>0</v>
      </c>
      <c r="I441" s="162">
        <f t="shared" si="24"/>
        <v>0</v>
      </c>
    </row>
    <row r="442" spans="1:9" hidden="1">
      <c r="A442" s="151">
        <f t="shared" si="22"/>
        <v>1</v>
      </c>
      <c r="B442" s="151" t="s">
        <v>206</v>
      </c>
      <c r="C442" s="159">
        <v>31121038</v>
      </c>
      <c r="D442" s="160" t="s">
        <v>468</v>
      </c>
      <c r="E442" s="161">
        <f>SUMIF(Lanç!$C$3:$C$114,C442,Lanç!$F$3:$F$114)</f>
        <v>0</v>
      </c>
      <c r="F442" s="161">
        <f>SUMIF(Lanç!$C$115:$C$6504,C442,Lanç!$F$115:$F$6504)</f>
        <v>0</v>
      </c>
      <c r="G442" s="161">
        <f>SUMIF(Lanç!$C$115:$C$6504,C442,Lanç!$G$115:$G$6504)</f>
        <v>0</v>
      </c>
      <c r="H442" s="162">
        <f t="shared" si="23"/>
        <v>0</v>
      </c>
      <c r="I442" s="162">
        <f t="shared" si="24"/>
        <v>0</v>
      </c>
    </row>
    <row r="443" spans="1:9" hidden="1">
      <c r="A443" s="151">
        <f t="shared" si="22"/>
        <v>1</v>
      </c>
      <c r="B443" s="151" t="s">
        <v>206</v>
      </c>
      <c r="C443" s="159">
        <v>31121039</v>
      </c>
      <c r="D443" s="160" t="s">
        <v>469</v>
      </c>
      <c r="E443" s="161">
        <f>SUMIF(Lanç!$C$3:$C$114,C443,Lanç!$F$3:$F$114)</f>
        <v>0</v>
      </c>
      <c r="F443" s="161">
        <f>SUMIF(Lanç!$C$115:$C$6504,C443,Lanç!$F$115:$F$6504)</f>
        <v>0</v>
      </c>
      <c r="G443" s="161">
        <f>SUMIF(Lanç!$C$115:$C$6504,C443,Lanç!$G$115:$G$6504)</f>
        <v>0</v>
      </c>
      <c r="H443" s="162">
        <f t="shared" si="23"/>
        <v>0</v>
      </c>
      <c r="I443" s="162">
        <f t="shared" si="24"/>
        <v>0</v>
      </c>
    </row>
    <row r="444" spans="1:9" hidden="1">
      <c r="A444" s="151">
        <f t="shared" si="22"/>
        <v>1</v>
      </c>
      <c r="B444" s="151" t="s">
        <v>206</v>
      </c>
      <c r="C444" s="159">
        <v>31121040</v>
      </c>
      <c r="D444" s="160" t="s">
        <v>470</v>
      </c>
      <c r="E444" s="161">
        <f>SUMIF(Lanç!$C$3:$C$114,C444,Lanç!$F$3:$F$114)</f>
        <v>0</v>
      </c>
      <c r="F444" s="161">
        <f>SUMIF(Lanç!$C$115:$C$6504,C444,Lanç!$F$115:$F$6504)</f>
        <v>0</v>
      </c>
      <c r="G444" s="161">
        <f>SUMIF(Lanç!$C$115:$C$6504,C444,Lanç!$G$115:$G$6504)</f>
        <v>0</v>
      </c>
      <c r="H444" s="162">
        <f t="shared" si="23"/>
        <v>0</v>
      </c>
      <c r="I444" s="162">
        <f t="shared" si="24"/>
        <v>0</v>
      </c>
    </row>
    <row r="445" spans="1:9" hidden="1">
      <c r="A445" s="151">
        <f t="shared" si="22"/>
        <v>1</v>
      </c>
      <c r="B445" s="151" t="s">
        <v>206</v>
      </c>
      <c r="C445" s="159">
        <v>31121041</v>
      </c>
      <c r="D445" s="160" t="s">
        <v>471</v>
      </c>
      <c r="E445" s="161">
        <f>SUMIF(Lanç!$C$3:$C$114,C445,Lanç!$F$3:$F$114)</f>
        <v>0</v>
      </c>
      <c r="F445" s="161">
        <f>SUMIF(Lanç!$C$115:$C$6504,C445,Lanç!$F$115:$F$6504)</f>
        <v>0</v>
      </c>
      <c r="G445" s="161">
        <f>SUMIF(Lanç!$C$115:$C$6504,C445,Lanç!$G$115:$G$6504)</f>
        <v>0</v>
      </c>
      <c r="H445" s="162">
        <f t="shared" si="23"/>
        <v>0</v>
      </c>
      <c r="I445" s="162">
        <f t="shared" si="24"/>
        <v>0</v>
      </c>
    </row>
    <row r="446" spans="1:9" hidden="1">
      <c r="A446" s="151">
        <f t="shared" si="22"/>
        <v>1</v>
      </c>
      <c r="B446" s="151" t="s">
        <v>206</v>
      </c>
      <c r="C446" s="159">
        <v>31121042</v>
      </c>
      <c r="D446" s="160" t="s">
        <v>472</v>
      </c>
      <c r="E446" s="161">
        <f>SUMIF(Lanç!$C$3:$C$114,C446,Lanç!$F$3:$F$114)</f>
        <v>0</v>
      </c>
      <c r="F446" s="161">
        <f>SUMIF(Lanç!$C$115:$C$6504,C446,Lanç!$F$115:$F$6504)</f>
        <v>0</v>
      </c>
      <c r="G446" s="161">
        <f>SUMIF(Lanç!$C$115:$C$6504,C446,Lanç!$G$115:$G$6504)</f>
        <v>0</v>
      </c>
      <c r="H446" s="162">
        <f t="shared" si="23"/>
        <v>0</v>
      </c>
      <c r="I446" s="162">
        <f t="shared" si="24"/>
        <v>0</v>
      </c>
    </row>
    <row r="447" spans="1:9" hidden="1">
      <c r="A447" s="151">
        <f t="shared" si="22"/>
        <v>1</v>
      </c>
      <c r="B447" s="151" t="s">
        <v>206</v>
      </c>
      <c r="C447" s="159">
        <v>31121043</v>
      </c>
      <c r="D447" s="160" t="s">
        <v>473</v>
      </c>
      <c r="E447" s="161">
        <f>SUMIF(Lanç!$C$3:$C$114,C447,Lanç!$F$3:$F$114)</f>
        <v>0</v>
      </c>
      <c r="F447" s="161">
        <f>SUMIF(Lanç!$C$115:$C$6504,C447,Lanç!$F$115:$F$6504)</f>
        <v>0</v>
      </c>
      <c r="G447" s="161">
        <f>SUMIF(Lanç!$C$115:$C$6504,C447,Lanç!$G$115:$G$6504)</f>
        <v>0</v>
      </c>
      <c r="H447" s="162">
        <f t="shared" si="23"/>
        <v>0</v>
      </c>
      <c r="I447" s="162">
        <f t="shared" si="24"/>
        <v>0</v>
      </c>
    </row>
    <row r="448" spans="1:9" hidden="1">
      <c r="A448" s="151">
        <f t="shared" si="22"/>
        <v>1</v>
      </c>
      <c r="B448" s="151" t="s">
        <v>206</v>
      </c>
      <c r="C448" s="159">
        <v>31121044</v>
      </c>
      <c r="D448" s="160" t="s">
        <v>474</v>
      </c>
      <c r="E448" s="161">
        <f>SUMIF(Lanç!$C$3:$C$114,C448,Lanç!$F$3:$F$114)</f>
        <v>0</v>
      </c>
      <c r="F448" s="161">
        <f>SUMIF(Lanç!$C$115:$C$6504,C448,Lanç!$F$115:$F$6504)</f>
        <v>0</v>
      </c>
      <c r="G448" s="161">
        <f>SUMIF(Lanç!$C$115:$C$6504,C448,Lanç!$G$115:$G$6504)</f>
        <v>0</v>
      </c>
      <c r="H448" s="162">
        <f t="shared" si="23"/>
        <v>0</v>
      </c>
      <c r="I448" s="162">
        <f t="shared" si="24"/>
        <v>0</v>
      </c>
    </row>
    <row r="449" spans="1:9" hidden="1">
      <c r="A449" s="151">
        <f t="shared" si="22"/>
        <v>1</v>
      </c>
      <c r="B449" s="151" t="s">
        <v>206</v>
      </c>
      <c r="C449" s="159">
        <v>31121045</v>
      </c>
      <c r="D449" s="160" t="s">
        <v>475</v>
      </c>
      <c r="E449" s="161">
        <f>SUMIF(Lanç!$C$3:$C$114,C449,Lanç!$F$3:$F$114)</f>
        <v>0</v>
      </c>
      <c r="F449" s="161">
        <f>SUMIF(Lanç!$C$115:$C$6504,C449,Lanç!$F$115:$F$6504)</f>
        <v>0</v>
      </c>
      <c r="G449" s="161">
        <f>SUMIF(Lanç!$C$115:$C$6504,C449,Lanç!$G$115:$G$6504)</f>
        <v>0</v>
      </c>
      <c r="H449" s="162">
        <f t="shared" si="23"/>
        <v>0</v>
      </c>
      <c r="I449" s="162">
        <f t="shared" si="24"/>
        <v>0</v>
      </c>
    </row>
    <row r="450" spans="1:9" hidden="1">
      <c r="A450" s="151">
        <f t="shared" si="22"/>
        <v>1</v>
      </c>
      <c r="B450" s="151" t="s">
        <v>206</v>
      </c>
      <c r="C450" s="159">
        <v>31121046</v>
      </c>
      <c r="D450" s="160" t="s">
        <v>476</v>
      </c>
      <c r="E450" s="161">
        <f>SUMIF(Lanç!$C$3:$C$114,C450,Lanç!$F$3:$F$114)</f>
        <v>0</v>
      </c>
      <c r="F450" s="161">
        <f>SUMIF(Lanç!$C$115:$C$6504,C450,Lanç!$F$115:$F$6504)</f>
        <v>0</v>
      </c>
      <c r="G450" s="161">
        <f>SUMIF(Lanç!$C$115:$C$6504,C450,Lanç!$G$115:$G$6504)</f>
        <v>0</v>
      </c>
      <c r="H450" s="162">
        <f t="shared" si="23"/>
        <v>0</v>
      </c>
      <c r="I450" s="162">
        <f t="shared" si="24"/>
        <v>0</v>
      </c>
    </row>
    <row r="451" spans="1:9" hidden="1">
      <c r="A451" s="151">
        <f t="shared" si="22"/>
        <v>1</v>
      </c>
      <c r="B451" s="151" t="s">
        <v>206</v>
      </c>
      <c r="C451" s="159">
        <v>31121047</v>
      </c>
      <c r="D451" s="160" t="s">
        <v>477</v>
      </c>
      <c r="E451" s="161">
        <f>SUMIF(Lanç!$C$3:$C$114,C451,Lanç!$F$3:$F$114)</f>
        <v>0</v>
      </c>
      <c r="F451" s="161">
        <f>SUMIF(Lanç!$C$115:$C$6504,C451,Lanç!$F$115:$F$6504)</f>
        <v>0</v>
      </c>
      <c r="G451" s="161">
        <f>SUMIF(Lanç!$C$115:$C$6504,C451,Lanç!$G$115:$G$6504)</f>
        <v>0</v>
      </c>
      <c r="H451" s="162">
        <f t="shared" si="23"/>
        <v>0</v>
      </c>
      <c r="I451" s="162">
        <f t="shared" si="24"/>
        <v>0</v>
      </c>
    </row>
    <row r="452" spans="1:9" hidden="1">
      <c r="A452" s="151">
        <f t="shared" si="22"/>
        <v>1</v>
      </c>
      <c r="B452" s="151" t="s">
        <v>206</v>
      </c>
      <c r="C452" s="159">
        <v>31121048</v>
      </c>
      <c r="D452" s="160" t="s">
        <v>478</v>
      </c>
      <c r="E452" s="161">
        <f>SUMIF(Lanç!$C$3:$C$114,C452,Lanç!$F$3:$F$114)</f>
        <v>0</v>
      </c>
      <c r="F452" s="161">
        <f>SUMIF(Lanç!$C$115:$C$6504,C452,Lanç!$F$115:$F$6504)</f>
        <v>0</v>
      </c>
      <c r="G452" s="161">
        <f>SUMIF(Lanç!$C$115:$C$6504,C452,Lanç!$G$115:$G$6504)</f>
        <v>0</v>
      </c>
      <c r="H452" s="162">
        <f t="shared" si="23"/>
        <v>0</v>
      </c>
      <c r="I452" s="162">
        <f t="shared" si="24"/>
        <v>0</v>
      </c>
    </row>
    <row r="453" spans="1:9" hidden="1">
      <c r="A453" s="151">
        <f t="shared" si="22"/>
        <v>1</v>
      </c>
      <c r="B453" s="151" t="s">
        <v>206</v>
      </c>
      <c r="C453" s="159">
        <v>31121049</v>
      </c>
      <c r="D453" s="160" t="s">
        <v>479</v>
      </c>
      <c r="E453" s="161">
        <f>SUMIF(Lanç!C3:C114,C453,Lanç!F3:F114)</f>
        <v>0</v>
      </c>
      <c r="F453" s="161">
        <f>SUMIF(Lanç!C115:C6504,C453,Lanç!F115:F6504)</f>
        <v>0</v>
      </c>
      <c r="G453" s="161">
        <f>SUMIF(Lanç!C115:C6504,C453,Lanç!G115:G6504)</f>
        <v>0</v>
      </c>
      <c r="H453" s="162">
        <f t="shared" si="23"/>
        <v>0</v>
      </c>
      <c r="I453" s="162">
        <f t="shared" si="24"/>
        <v>0</v>
      </c>
    </row>
    <row r="454" spans="1:9" hidden="1">
      <c r="A454" s="151">
        <f t="shared" ref="A454:A527" si="25">IF(E454+F454+G454+H454+I454=0,1,0)</f>
        <v>1</v>
      </c>
      <c r="B454" s="151" t="s">
        <v>206</v>
      </c>
      <c r="C454" s="159">
        <v>31121050</v>
      </c>
      <c r="D454" s="160" t="s">
        <v>480</v>
      </c>
      <c r="E454" s="161">
        <f>SUMIF(Lanç!C3:C114,C454,Lanç!F3:F114)</f>
        <v>0</v>
      </c>
      <c r="F454" s="161">
        <f>SUMIF(Lanç!C115:C6504,C454,Lanç!F115:F6504)</f>
        <v>0</v>
      </c>
      <c r="G454" s="161">
        <f>SUMIF(Lanç!C115:C6504,C454,Lanç!G115:G6504)</f>
        <v>0</v>
      </c>
      <c r="H454" s="162">
        <f t="shared" ref="H454:H527" si="26">(F454)-(G454)</f>
        <v>0</v>
      </c>
      <c r="I454" s="162">
        <f t="shared" ref="I454:I527" si="27">(E454)+(H454)</f>
        <v>0</v>
      </c>
    </row>
    <row r="455" spans="1:9">
      <c r="A455" s="151">
        <f t="shared" si="25"/>
        <v>0</v>
      </c>
      <c r="B455" s="151" t="s">
        <v>206</v>
      </c>
      <c r="C455" s="159">
        <v>31121051</v>
      </c>
      <c r="D455" s="160" t="s">
        <v>481</v>
      </c>
      <c r="E455" s="161">
        <f>SUMIF(Lanç!C3:C114,C455,Lanç!F3:F114)</f>
        <v>-500000</v>
      </c>
      <c r="F455" s="161">
        <f>SUMIF(Lanç!C115:C6504,C455,Lanç!F115:F6504)</f>
        <v>0</v>
      </c>
      <c r="G455" s="161">
        <f>SUMIF(Lanç!C115:C6504,C455,Lanç!G115:G6504)</f>
        <v>0</v>
      </c>
      <c r="H455" s="162">
        <f t="shared" si="26"/>
        <v>0</v>
      </c>
      <c r="I455" s="162">
        <f t="shared" si="27"/>
        <v>-500000</v>
      </c>
    </row>
    <row r="456" spans="1:9" hidden="1">
      <c r="A456" s="151">
        <f t="shared" si="25"/>
        <v>1</v>
      </c>
      <c r="B456" s="151" t="s">
        <v>206</v>
      </c>
      <c r="C456" s="159">
        <v>31121052</v>
      </c>
      <c r="D456" s="160" t="s">
        <v>482</v>
      </c>
      <c r="E456" s="161">
        <f>SUMIF(Lanç!$C$3:$C$114,C456,Lanç!$F$3:$F$114)</f>
        <v>0</v>
      </c>
      <c r="F456" s="161">
        <f>SUMIF(Lanç!$C$115:$C$6504,C456,Lanç!$F$115:$F$6504)</f>
        <v>0</v>
      </c>
      <c r="G456" s="161">
        <f>SUMIF(Lanç!$C$115:$C$6504,C456,Lanç!$G$115:$G$6504)</f>
        <v>0</v>
      </c>
      <c r="H456" s="162">
        <f t="shared" si="26"/>
        <v>0</v>
      </c>
      <c r="I456" s="162">
        <f t="shared" si="27"/>
        <v>0</v>
      </c>
    </row>
    <row r="457" spans="1:9" hidden="1">
      <c r="A457" s="151">
        <f t="shared" si="25"/>
        <v>1</v>
      </c>
      <c r="B457" s="151" t="s">
        <v>206</v>
      </c>
      <c r="C457" s="159">
        <v>31121053</v>
      </c>
      <c r="D457" s="160" t="s">
        <v>483</v>
      </c>
      <c r="E457" s="161">
        <f>SUMIF(Lanç!$C$3:$C$114,C457,Lanç!$F$3:$F$114)</f>
        <v>0</v>
      </c>
      <c r="F457" s="161">
        <f>SUMIF(Lanç!$C$115:$C$6504,C457,Lanç!$F$115:$F$6504)</f>
        <v>0</v>
      </c>
      <c r="G457" s="161">
        <f>SUMIF(Lanç!$C$115:$C$6504,C457,Lanç!$G$115:$G$6504)</f>
        <v>0</v>
      </c>
      <c r="H457" s="162">
        <f t="shared" si="26"/>
        <v>0</v>
      </c>
      <c r="I457" s="162">
        <f t="shared" si="27"/>
        <v>0</v>
      </c>
    </row>
    <row r="458" spans="1:9" hidden="1">
      <c r="A458" s="151">
        <f t="shared" si="25"/>
        <v>1</v>
      </c>
      <c r="B458" s="151" t="s">
        <v>206</v>
      </c>
      <c r="C458" s="159">
        <v>31121054</v>
      </c>
      <c r="D458" s="160" t="s">
        <v>484</v>
      </c>
      <c r="E458" s="161">
        <f>SUMIF(Lanç!$C$3:$C$114,C458,Lanç!$F$3:$F$114)</f>
        <v>0</v>
      </c>
      <c r="F458" s="161">
        <f>SUMIF(Lanç!$C$115:$C$6504,C458,Lanç!$F$115:$F$6504)</f>
        <v>0</v>
      </c>
      <c r="G458" s="161">
        <f>SUMIF(Lanç!$C$115:$C$6504,C458,Lanç!$G$115:$G$6504)</f>
        <v>0</v>
      </c>
      <c r="H458" s="162">
        <f t="shared" si="26"/>
        <v>0</v>
      </c>
      <c r="I458" s="162">
        <f t="shared" si="27"/>
        <v>0</v>
      </c>
    </row>
    <row r="459" spans="1:9" hidden="1">
      <c r="A459" s="151">
        <f t="shared" si="25"/>
        <v>1</v>
      </c>
      <c r="B459" s="151" t="s">
        <v>206</v>
      </c>
      <c r="C459" s="159">
        <v>31121055</v>
      </c>
      <c r="D459" s="160" t="s">
        <v>485</v>
      </c>
      <c r="E459" s="161">
        <f>SUMIF(Lanç!$C$3:$C$114,C459,Lanç!$F$3:$F$114)</f>
        <v>0</v>
      </c>
      <c r="F459" s="161">
        <f>SUMIF(Lanç!$C$115:$C$6504,C459,Lanç!$F$115:$F$6504)</f>
        <v>0</v>
      </c>
      <c r="G459" s="161">
        <f>SUMIF(Lanç!$C$115:$C$6504,C459,Lanç!$G$115:$G$6504)</f>
        <v>0</v>
      </c>
      <c r="H459" s="162">
        <f t="shared" si="26"/>
        <v>0</v>
      </c>
      <c r="I459" s="162">
        <f t="shared" si="27"/>
        <v>0</v>
      </c>
    </row>
    <row r="460" spans="1:9" hidden="1">
      <c r="A460" s="151">
        <f t="shared" si="25"/>
        <v>1</v>
      </c>
      <c r="B460" s="151" t="s">
        <v>206</v>
      </c>
      <c r="C460" s="159">
        <v>31121056</v>
      </c>
      <c r="D460" s="160" t="s">
        <v>486</v>
      </c>
      <c r="E460" s="161">
        <f>SUMIF(Lanç!$C$3:$C$114,C460,Lanç!$F$3:$F$114)</f>
        <v>0</v>
      </c>
      <c r="F460" s="161">
        <f>SUMIF(Lanç!$C$115:$C$6504,C460,Lanç!$F$115:$F$6504)</f>
        <v>0</v>
      </c>
      <c r="G460" s="161">
        <f>SUMIF(Lanç!$C$115:$C$6504,C460,Lanç!$G$115:$G$6504)</f>
        <v>0</v>
      </c>
      <c r="H460" s="162">
        <f t="shared" si="26"/>
        <v>0</v>
      </c>
      <c r="I460" s="162">
        <f t="shared" si="27"/>
        <v>0</v>
      </c>
    </row>
    <row r="461" spans="1:9" hidden="1">
      <c r="A461" s="151">
        <f t="shared" si="25"/>
        <v>1</v>
      </c>
      <c r="B461" s="151" t="s">
        <v>206</v>
      </c>
      <c r="C461" s="159">
        <v>31121058</v>
      </c>
      <c r="D461" s="160" t="s">
        <v>487</v>
      </c>
      <c r="E461" s="161">
        <f>SUMIF(Lanç!$C$3:$C$114,C461,Lanç!$F$3:$F$114)</f>
        <v>0</v>
      </c>
      <c r="F461" s="161">
        <f>SUMIF(Lanç!$C$115:$C$6504,C461,Lanç!$F$115:$F$6504)</f>
        <v>0</v>
      </c>
      <c r="G461" s="161">
        <f>SUMIF(Lanç!$C$115:$C$6504,C461,Lanç!$G$115:$G$6504)</f>
        <v>0</v>
      </c>
      <c r="H461" s="162">
        <f t="shared" si="26"/>
        <v>0</v>
      </c>
      <c r="I461" s="162">
        <f t="shared" si="27"/>
        <v>0</v>
      </c>
    </row>
    <row r="462" spans="1:9" hidden="1">
      <c r="A462" s="151">
        <f t="shared" si="25"/>
        <v>1</v>
      </c>
      <c r="B462" s="151" t="s">
        <v>206</v>
      </c>
      <c r="C462" s="159">
        <v>31121059</v>
      </c>
      <c r="D462" s="160" t="s">
        <v>488</v>
      </c>
      <c r="E462" s="161">
        <f>SUMIF(Lanç!$C$3:$C$114,C462,Lanç!$F$3:$F$114)</f>
        <v>0</v>
      </c>
      <c r="F462" s="161">
        <f>SUMIF(Lanç!$C$115:$C$6504,C462,Lanç!$F$115:$F$6504)</f>
        <v>0</v>
      </c>
      <c r="G462" s="161">
        <f>SUMIF(Lanç!$C$115:$C$6504,C462,Lanç!$G$115:$G$6504)</f>
        <v>0</v>
      </c>
      <c r="H462" s="162">
        <f t="shared" si="26"/>
        <v>0</v>
      </c>
      <c r="I462" s="162">
        <f t="shared" si="27"/>
        <v>0</v>
      </c>
    </row>
    <row r="463" spans="1:9" hidden="1">
      <c r="A463" s="151">
        <f t="shared" si="25"/>
        <v>1</v>
      </c>
      <c r="B463" s="151" t="s">
        <v>206</v>
      </c>
      <c r="C463" s="159">
        <v>31121060</v>
      </c>
      <c r="D463" s="160" t="s">
        <v>489</v>
      </c>
      <c r="E463" s="161">
        <f>SUMIF(Lanç!$C$3:$C$114,C463,Lanç!$F$3:$F$114)</f>
        <v>0</v>
      </c>
      <c r="F463" s="161">
        <f>SUMIF(Lanç!$C$115:$C$6504,C463,Lanç!$F$115:$F$6504)</f>
        <v>0</v>
      </c>
      <c r="G463" s="161">
        <f>SUMIF(Lanç!$C$115:$C$6504,C463,Lanç!$G$115:$G$6504)</f>
        <v>0</v>
      </c>
      <c r="H463" s="162">
        <f t="shared" si="26"/>
        <v>0</v>
      </c>
      <c r="I463" s="162">
        <f t="shared" si="27"/>
        <v>0</v>
      </c>
    </row>
    <row r="464" spans="1:9" hidden="1">
      <c r="A464" s="151">
        <f t="shared" si="25"/>
        <v>1</v>
      </c>
      <c r="B464" s="151" t="s">
        <v>206</v>
      </c>
      <c r="C464" s="159">
        <v>31121061</v>
      </c>
      <c r="D464" s="160" t="s">
        <v>490</v>
      </c>
      <c r="E464" s="161">
        <f>SUMIF(Lanç!$C$3:$C$114,C464,Lanç!$F$3:$F$114)</f>
        <v>0</v>
      </c>
      <c r="F464" s="161">
        <f>SUMIF(Lanç!$C$115:$C$6504,C464,Lanç!$F$115:$F$6504)</f>
        <v>0</v>
      </c>
      <c r="G464" s="161">
        <f>SUMIF(Lanç!$C$115:$C$6504,C464,Lanç!$G$115:$G$6504)</f>
        <v>0</v>
      </c>
      <c r="H464" s="162">
        <f t="shared" si="26"/>
        <v>0</v>
      </c>
      <c r="I464" s="162">
        <f t="shared" si="27"/>
        <v>0</v>
      </c>
    </row>
    <row r="465" spans="1:9" hidden="1">
      <c r="A465" s="151">
        <f t="shared" si="25"/>
        <v>1</v>
      </c>
      <c r="B465" s="151" t="s">
        <v>206</v>
      </c>
      <c r="C465" s="159">
        <v>31121062</v>
      </c>
      <c r="D465" s="160" t="s">
        <v>491</v>
      </c>
      <c r="E465" s="161">
        <f>SUMIF(Lanç!$C$3:$C$114,C465,Lanç!$F$3:$F$114)</f>
        <v>0</v>
      </c>
      <c r="F465" s="161">
        <f>SUMIF(Lanç!$C$115:$C$6504,C465,Lanç!$F$115:$F$6504)</f>
        <v>0</v>
      </c>
      <c r="G465" s="161">
        <f>SUMIF(Lanç!$C$115:$C$6504,C465,Lanç!$G$115:$G$6504)</f>
        <v>0</v>
      </c>
      <c r="H465" s="162">
        <f t="shared" si="26"/>
        <v>0</v>
      </c>
      <c r="I465" s="162">
        <f t="shared" si="27"/>
        <v>0</v>
      </c>
    </row>
    <row r="466" spans="1:9" hidden="1">
      <c r="A466" s="151">
        <f t="shared" si="25"/>
        <v>1</v>
      </c>
      <c r="B466" s="151" t="s">
        <v>206</v>
      </c>
      <c r="C466" s="159">
        <v>31121063</v>
      </c>
      <c r="D466" s="160" t="s">
        <v>492</v>
      </c>
      <c r="E466" s="161">
        <f>SUMIF(Lanç!$C$3:$C$114,C466,Lanç!$F$3:$F$114)</f>
        <v>0</v>
      </c>
      <c r="F466" s="161">
        <f>SUMIF(Lanç!$C$115:$C$6504,C466,Lanç!$F$115:$F$6504)</f>
        <v>0</v>
      </c>
      <c r="G466" s="161">
        <f>SUMIF(Lanç!$C$115:$C$6504,C466,Lanç!$G$115:$G$6504)</f>
        <v>0</v>
      </c>
      <c r="H466" s="162">
        <f t="shared" si="26"/>
        <v>0</v>
      </c>
      <c r="I466" s="162">
        <f t="shared" si="27"/>
        <v>0</v>
      </c>
    </row>
    <row r="467" spans="1:9" hidden="1">
      <c r="A467" s="151">
        <f t="shared" si="25"/>
        <v>1</v>
      </c>
      <c r="B467" s="151" t="s">
        <v>206</v>
      </c>
      <c r="C467" s="159">
        <v>31121064</v>
      </c>
      <c r="D467" s="160" t="s">
        <v>493</v>
      </c>
      <c r="E467" s="161">
        <f>SUMIF(Lanç!C3:C114,C467,Lanç!F3:F114)</f>
        <v>0</v>
      </c>
      <c r="F467" s="161">
        <f>SUMIF(Lanç!C115:C6504,C467,Lanç!F115:F6504)</f>
        <v>0</v>
      </c>
      <c r="G467" s="161">
        <f>SUMIF(Lanç!C115:C6504,C467,Lanç!G115:G6504)</f>
        <v>0</v>
      </c>
      <c r="H467" s="162">
        <f t="shared" si="26"/>
        <v>0</v>
      </c>
      <c r="I467" s="162">
        <f t="shared" si="27"/>
        <v>0</v>
      </c>
    </row>
    <row r="468" spans="1:9" hidden="1">
      <c r="A468" s="151">
        <f t="shared" si="25"/>
        <v>1</v>
      </c>
      <c r="B468" s="151" t="s">
        <v>206</v>
      </c>
      <c r="C468" s="159">
        <v>31121065</v>
      </c>
      <c r="D468" s="160" t="s">
        <v>494</v>
      </c>
      <c r="E468" s="161">
        <f>SUMIF(Lanç!$C$3:$C$114,C468,Lanç!$F$3:$F$114)</f>
        <v>0</v>
      </c>
      <c r="F468" s="161">
        <f>SUMIF(Lanç!$C$115:$C$6504,C468,Lanç!$F$115:$F$6504)</f>
        <v>0</v>
      </c>
      <c r="G468" s="161">
        <f>SUMIF(Lanç!$C$115:$C$6504,C468,Lanç!$G$115:$G$6504)</f>
        <v>0</v>
      </c>
      <c r="H468" s="162">
        <f t="shared" si="26"/>
        <v>0</v>
      </c>
      <c r="I468" s="162">
        <f t="shared" si="27"/>
        <v>0</v>
      </c>
    </row>
    <row r="469" spans="1:9" hidden="1">
      <c r="A469" s="151">
        <f t="shared" si="25"/>
        <v>1</v>
      </c>
      <c r="B469" s="151" t="s">
        <v>206</v>
      </c>
      <c r="C469" s="159">
        <v>31121066</v>
      </c>
      <c r="D469" s="160" t="s">
        <v>495</v>
      </c>
      <c r="E469" s="161">
        <f>SUMIF(Lanç!$C$3:$C$114,C469,Lanç!$F$3:$F$114)</f>
        <v>0</v>
      </c>
      <c r="F469" s="161">
        <f>SUMIF(Lanç!$C$115:$C$6504,C469,Lanç!$F$115:$F$6504)</f>
        <v>0</v>
      </c>
      <c r="G469" s="161">
        <f>SUMIF(Lanç!$C$115:$C$6504,C469,Lanç!$G$115:$G$6504)</f>
        <v>0</v>
      </c>
      <c r="H469" s="162">
        <f t="shared" si="26"/>
        <v>0</v>
      </c>
      <c r="I469" s="162">
        <f t="shared" si="27"/>
        <v>0</v>
      </c>
    </row>
    <row r="470" spans="1:9" hidden="1">
      <c r="A470" s="151">
        <f t="shared" si="25"/>
        <v>1</v>
      </c>
      <c r="B470" s="151" t="s">
        <v>206</v>
      </c>
      <c r="C470" s="159">
        <v>31121067</v>
      </c>
      <c r="D470" s="160" t="s">
        <v>496</v>
      </c>
      <c r="E470" s="161">
        <f>SUMIF(Lanç!$C$3:$C$114,C470,Lanç!$F$3:$F$114)</f>
        <v>0</v>
      </c>
      <c r="F470" s="161">
        <f>SUMIF(Lanç!$C$115:$C$6504,C470,Lanç!$F$115:$F$6504)</f>
        <v>0</v>
      </c>
      <c r="G470" s="161">
        <f>SUMIF(Lanç!$C$115:$C$6504,C470,Lanç!$G$115:$G$6504)</f>
        <v>0</v>
      </c>
      <c r="H470" s="162">
        <f t="shared" si="26"/>
        <v>0</v>
      </c>
      <c r="I470" s="162">
        <f t="shared" si="27"/>
        <v>0</v>
      </c>
    </row>
    <row r="471" spans="1:9" hidden="1">
      <c r="A471" s="151">
        <f t="shared" si="25"/>
        <v>1</v>
      </c>
      <c r="B471" s="151" t="s">
        <v>206</v>
      </c>
      <c r="C471" s="159">
        <v>31121068</v>
      </c>
      <c r="D471" s="160" t="s">
        <v>497</v>
      </c>
      <c r="E471" s="161">
        <f>SUMIF(Lanç!$C$3:$C$114,C471,Lanç!$F$3:$F$114)</f>
        <v>0</v>
      </c>
      <c r="F471" s="161">
        <f>SUMIF(Lanç!$C$115:$C$6504,C471,Lanç!$F$115:$F$6504)</f>
        <v>0</v>
      </c>
      <c r="G471" s="161">
        <f>SUMIF(Lanç!$C$115:$C$6504,C471,Lanç!$G$115:$G$6504)</f>
        <v>0</v>
      </c>
      <c r="H471" s="162">
        <f t="shared" si="26"/>
        <v>0</v>
      </c>
      <c r="I471" s="162">
        <f t="shared" si="27"/>
        <v>0</v>
      </c>
    </row>
    <row r="472" spans="1:9" hidden="1">
      <c r="A472" s="151">
        <f t="shared" si="25"/>
        <v>1</v>
      </c>
      <c r="B472" s="151" t="s">
        <v>206</v>
      </c>
      <c r="C472" s="159">
        <v>31121069</v>
      </c>
      <c r="D472" s="160" t="s">
        <v>498</v>
      </c>
      <c r="E472" s="161">
        <f>SUMIF(Lanç!$C$3:$C$114,C472,Lanç!$F$3:$F$114)</f>
        <v>0</v>
      </c>
      <c r="F472" s="161">
        <f>SUMIF(Lanç!$C$115:$C$6504,C472,Lanç!$F$115:$F$6504)</f>
        <v>0</v>
      </c>
      <c r="G472" s="161">
        <f>SUMIF(Lanç!$C$115:$C$6504,C472,Lanç!$G$115:$G$6504)</f>
        <v>0</v>
      </c>
      <c r="H472" s="162">
        <f t="shared" si="26"/>
        <v>0</v>
      </c>
      <c r="I472" s="162">
        <f t="shared" si="27"/>
        <v>0</v>
      </c>
    </row>
    <row r="473" spans="1:9" hidden="1">
      <c r="A473" s="151">
        <f t="shared" si="25"/>
        <v>1</v>
      </c>
      <c r="B473" s="151" t="s">
        <v>206</v>
      </c>
      <c r="C473" s="159">
        <v>31121070</v>
      </c>
      <c r="D473" s="160" t="s">
        <v>499</v>
      </c>
      <c r="E473" s="161">
        <f>SUMIF(Lanç!$C$3:$C$114,C473,Lanç!$F$3:$F$114)</f>
        <v>0</v>
      </c>
      <c r="F473" s="161">
        <f>SUMIF(Lanç!$C$115:$C$6504,C473,Lanç!$F$115:$F$6504)</f>
        <v>0</v>
      </c>
      <c r="G473" s="161">
        <f>SUMIF(Lanç!$C$115:$C$6504,C473,Lanç!$G$115:$G$6504)</f>
        <v>0</v>
      </c>
      <c r="H473" s="162">
        <f t="shared" si="26"/>
        <v>0</v>
      </c>
      <c r="I473" s="162">
        <f t="shared" si="27"/>
        <v>0</v>
      </c>
    </row>
    <row r="474" spans="1:9" hidden="1">
      <c r="A474" s="151">
        <f t="shared" si="25"/>
        <v>1</v>
      </c>
      <c r="B474" s="151" t="s">
        <v>206</v>
      </c>
      <c r="C474" s="159">
        <v>31121071</v>
      </c>
      <c r="D474" s="160" t="s">
        <v>500</v>
      </c>
      <c r="E474" s="161">
        <f>SUMIF(Lanç!C3:C114,C474,Lanç!F3:F114)</f>
        <v>0</v>
      </c>
      <c r="F474" s="161">
        <f>SUMIF(Lanç!C115:C6504,C474,Lanç!F115:F6504)</f>
        <v>0</v>
      </c>
      <c r="G474" s="161">
        <f>SUMIF(Lanç!C115:C6504,C474,Lanç!G115:G6504)</f>
        <v>0</v>
      </c>
      <c r="H474" s="162">
        <f t="shared" si="26"/>
        <v>0</v>
      </c>
      <c r="I474" s="162">
        <f t="shared" si="27"/>
        <v>0</v>
      </c>
    </row>
    <row r="475" spans="1:9" hidden="1">
      <c r="A475" s="151">
        <f t="shared" si="25"/>
        <v>1</v>
      </c>
      <c r="B475" s="151" t="s">
        <v>206</v>
      </c>
      <c r="C475" s="159">
        <v>31121072</v>
      </c>
      <c r="D475" s="160" t="s">
        <v>501</v>
      </c>
      <c r="E475" s="161">
        <f>SUMIF(Lanç!$C$3:$C$114,C475,Lanç!$F$3:$F$114)</f>
        <v>0</v>
      </c>
      <c r="F475" s="161">
        <f>SUMIF(Lanç!$C$115:$C$6504,C475,Lanç!$F$115:$F$6504)</f>
        <v>0</v>
      </c>
      <c r="G475" s="161">
        <f>SUMIF(Lanç!$C$115:$C$6504,C475,Lanç!$G$115:$G$6504)</f>
        <v>0</v>
      </c>
      <c r="H475" s="162">
        <f t="shared" si="26"/>
        <v>0</v>
      </c>
      <c r="I475" s="162">
        <f t="shared" si="27"/>
        <v>0</v>
      </c>
    </row>
    <row r="476" spans="1:9" hidden="1">
      <c r="A476" s="151">
        <f t="shared" si="25"/>
        <v>1</v>
      </c>
      <c r="B476" s="151" t="s">
        <v>206</v>
      </c>
      <c r="C476" s="159">
        <v>31121073</v>
      </c>
      <c r="D476" s="160" t="s">
        <v>502</v>
      </c>
      <c r="E476" s="161">
        <f>SUMIF(Lanç!$C$3:$C$114,C476,Lanç!$F$3:$F$114)</f>
        <v>0</v>
      </c>
      <c r="F476" s="161">
        <f>SUMIF(Lanç!$C$115:$C$6504,C476,Lanç!$F$115:$F$6504)</f>
        <v>0</v>
      </c>
      <c r="G476" s="161">
        <f>SUMIF(Lanç!$C$115:$C$6504,C476,Lanç!$G$115:$G$6504)</f>
        <v>0</v>
      </c>
      <c r="H476" s="162">
        <f t="shared" si="26"/>
        <v>0</v>
      </c>
      <c r="I476" s="162">
        <f t="shared" si="27"/>
        <v>0</v>
      </c>
    </row>
    <row r="477" spans="1:9" hidden="1">
      <c r="A477" s="151">
        <f t="shared" si="25"/>
        <v>1</v>
      </c>
      <c r="B477" s="151" t="s">
        <v>206</v>
      </c>
      <c r="C477" s="159">
        <v>31121074</v>
      </c>
      <c r="D477" s="160" t="s">
        <v>503</v>
      </c>
      <c r="E477" s="161">
        <f>SUMIF(Lanç!$C$3:$C$114,C477,Lanç!$F$3:$F$114)</f>
        <v>0</v>
      </c>
      <c r="F477" s="161">
        <f>SUMIF(Lanç!$C$115:$C$6504,C477,Lanç!$F$115:$F$6504)</f>
        <v>0</v>
      </c>
      <c r="G477" s="161">
        <f>SUMIF(Lanç!$C$115:$C$6504,C477,Lanç!$G$115:$G$6504)</f>
        <v>0</v>
      </c>
      <c r="H477" s="162">
        <f t="shared" si="26"/>
        <v>0</v>
      </c>
      <c r="I477" s="162">
        <f t="shared" si="27"/>
        <v>0</v>
      </c>
    </row>
    <row r="478" spans="1:9" hidden="1">
      <c r="A478" s="151">
        <f t="shared" si="25"/>
        <v>1</v>
      </c>
      <c r="B478" s="151" t="s">
        <v>206</v>
      </c>
      <c r="C478" s="159">
        <v>31121075</v>
      </c>
      <c r="D478" s="160" t="s">
        <v>504</v>
      </c>
      <c r="E478" s="161">
        <f>SUMIF(Lanç!$C$3:$C$114,C478,Lanç!$F$3:$F$114)</f>
        <v>0</v>
      </c>
      <c r="F478" s="161">
        <f>SUMIF(Lanç!$C$115:$C$6504,C478,Lanç!$F$115:$F$6504)</f>
        <v>0</v>
      </c>
      <c r="G478" s="161">
        <f>SUMIF(Lanç!$C$115:$C$6504,C478,Lanç!$G$115:$G$6504)</f>
        <v>0</v>
      </c>
      <c r="H478" s="162">
        <f t="shared" si="26"/>
        <v>0</v>
      </c>
      <c r="I478" s="162">
        <f t="shared" si="27"/>
        <v>0</v>
      </c>
    </row>
    <row r="479" spans="1:9" hidden="1">
      <c r="A479" s="151">
        <f t="shared" si="25"/>
        <v>1</v>
      </c>
      <c r="B479" s="151" t="s">
        <v>206</v>
      </c>
      <c r="C479" s="159">
        <v>31121076</v>
      </c>
      <c r="D479" s="160" t="s">
        <v>505</v>
      </c>
      <c r="E479" s="161">
        <f>SUMIF(Lanç!$C$3:$C$114,C479,Lanç!$F$3:$F$114)</f>
        <v>0</v>
      </c>
      <c r="F479" s="161">
        <f>SUMIF(Lanç!$C$115:$C$6504,C479,Lanç!$F$115:$F$6504)</f>
        <v>0</v>
      </c>
      <c r="G479" s="161">
        <f>SUMIF(Lanç!$C$115:$C$6504,C479,Lanç!$G$115:$G$6504)</f>
        <v>0</v>
      </c>
      <c r="H479" s="162">
        <f t="shared" si="26"/>
        <v>0</v>
      </c>
      <c r="I479" s="162">
        <f t="shared" si="27"/>
        <v>0</v>
      </c>
    </row>
    <row r="480" spans="1:9">
      <c r="A480" s="151">
        <f t="shared" si="25"/>
        <v>0</v>
      </c>
      <c r="B480" s="151" t="s">
        <v>206</v>
      </c>
      <c r="C480" s="159">
        <v>31121077</v>
      </c>
      <c r="D480" s="160" t="s">
        <v>506</v>
      </c>
      <c r="E480" s="161">
        <f>SUMIF(Lanç!C3:C114,C480,Lanç!F3:F114)</f>
        <v>1520238.92</v>
      </c>
      <c r="F480" s="161">
        <f>SUMIF(Lanç!C115:C6504,C480,Lanç!F115:F6504)</f>
        <v>306469683.53465003</v>
      </c>
      <c r="G480" s="161">
        <f>SUMIF(Lanç!C115:C6504,C480,Lanç!G115:G6504)</f>
        <v>169051716.98000002</v>
      </c>
      <c r="H480" s="162">
        <f t="shared" si="26"/>
        <v>137417966.55465001</v>
      </c>
      <c r="I480" s="162">
        <f t="shared" si="27"/>
        <v>138938205.47465</v>
      </c>
    </row>
    <row r="481" spans="1:9" hidden="1">
      <c r="A481" s="151">
        <f t="shared" si="25"/>
        <v>1</v>
      </c>
      <c r="B481" s="151" t="s">
        <v>206</v>
      </c>
      <c r="C481" s="159">
        <v>31121078</v>
      </c>
      <c r="D481" s="160" t="s">
        <v>507</v>
      </c>
      <c r="E481" s="161">
        <f>SUMIF(Lanç!$C$3:$C$114,C481,Lanç!$F$3:$F$114)</f>
        <v>0</v>
      </c>
      <c r="F481" s="161">
        <f>SUMIF(Lanç!$C$115:$C$6504,C481,Lanç!$F$115:$F$6504)</f>
        <v>0</v>
      </c>
      <c r="G481" s="161">
        <f>SUMIF(Lanç!$C$115:$C$6504,C481,Lanç!$G$115:$G$6504)</f>
        <v>0</v>
      </c>
      <c r="H481" s="162">
        <f t="shared" si="26"/>
        <v>0</v>
      </c>
      <c r="I481" s="162">
        <f t="shared" si="27"/>
        <v>0</v>
      </c>
    </row>
    <row r="482" spans="1:9" hidden="1">
      <c r="A482" s="151">
        <f t="shared" si="25"/>
        <v>1</v>
      </c>
      <c r="B482" s="151" t="s">
        <v>206</v>
      </c>
      <c r="C482" s="159">
        <v>31121079</v>
      </c>
      <c r="D482" s="160" t="s">
        <v>508</v>
      </c>
      <c r="E482" s="161">
        <f>SUMIF(Lanç!$C$3:$C$114,C482,Lanç!$F$3:$F$114)</f>
        <v>0</v>
      </c>
      <c r="F482" s="161">
        <f>SUMIF(Lanç!$C$115:$C$6504,C482,Lanç!$F$115:$F$6504)</f>
        <v>0</v>
      </c>
      <c r="G482" s="161">
        <f>SUMIF(Lanç!$C$115:$C$6504,C482,Lanç!$G$115:$G$6504)</f>
        <v>0</v>
      </c>
      <c r="H482" s="162">
        <f t="shared" si="26"/>
        <v>0</v>
      </c>
      <c r="I482" s="162">
        <f t="shared" si="27"/>
        <v>0</v>
      </c>
    </row>
    <row r="483" spans="1:9" hidden="1">
      <c r="A483" s="151">
        <f t="shared" si="25"/>
        <v>1</v>
      </c>
      <c r="B483" s="151" t="s">
        <v>206</v>
      </c>
      <c r="C483" s="159">
        <v>31121080</v>
      </c>
      <c r="D483" s="160" t="s">
        <v>509</v>
      </c>
      <c r="E483" s="161">
        <f>SUMIF(Lanç!$C$3:$C$114,C483,Lanç!$F$3:$F$114)</f>
        <v>0</v>
      </c>
      <c r="F483" s="161">
        <f>SUMIF(Lanç!$C$115:$C$6504,C483,Lanç!$F$115:$F$6504)</f>
        <v>0</v>
      </c>
      <c r="G483" s="161">
        <f>SUMIF(Lanç!$C$115:$C$6504,C483,Lanç!$G$115:$G$6504)</f>
        <v>0</v>
      </c>
      <c r="H483" s="162">
        <f t="shared" si="26"/>
        <v>0</v>
      </c>
      <c r="I483" s="162">
        <f t="shared" si="27"/>
        <v>0</v>
      </c>
    </row>
    <row r="484" spans="1:9" hidden="1">
      <c r="A484" s="151">
        <f t="shared" si="25"/>
        <v>1</v>
      </c>
      <c r="B484" s="151" t="s">
        <v>206</v>
      </c>
      <c r="C484" s="159">
        <v>31121081</v>
      </c>
      <c r="D484" s="160" t="s">
        <v>510</v>
      </c>
      <c r="E484" s="161">
        <f>SUMIF(Lanç!$C$3:$C$114,C484,Lanç!$F$3:$F$114)</f>
        <v>0</v>
      </c>
      <c r="F484" s="161">
        <f>SUMIF(Lanç!$C$115:$C$6504,C484,Lanç!$F$115:$F$6504)</f>
        <v>0</v>
      </c>
      <c r="G484" s="161">
        <f>SUMIF(Lanç!$C$115:$C$6504,C484,Lanç!$G$115:$G$6504)</f>
        <v>0</v>
      </c>
      <c r="H484" s="162">
        <f t="shared" si="26"/>
        <v>0</v>
      </c>
      <c r="I484" s="162">
        <f t="shared" si="27"/>
        <v>0</v>
      </c>
    </row>
    <row r="485" spans="1:9" hidden="1">
      <c r="A485" s="151">
        <f t="shared" si="25"/>
        <v>1</v>
      </c>
      <c r="B485" s="151" t="s">
        <v>206</v>
      </c>
      <c r="C485" s="159">
        <v>31121082</v>
      </c>
      <c r="D485" s="160" t="s">
        <v>511</v>
      </c>
      <c r="E485" s="161">
        <f>SUMIF(Lanç!$C$3:$C$114,C485,Lanç!$F$3:$F$114)</f>
        <v>0</v>
      </c>
      <c r="F485" s="161">
        <f>SUMIF(Lanç!$C$115:$C$6504,C485,Lanç!$F$115:$F$6504)</f>
        <v>0</v>
      </c>
      <c r="G485" s="161">
        <f>SUMIF(Lanç!$C$115:$C$6504,C485,Lanç!$G$115:$G$6504)</f>
        <v>0</v>
      </c>
      <c r="H485" s="162">
        <f t="shared" si="26"/>
        <v>0</v>
      </c>
      <c r="I485" s="162">
        <f t="shared" si="27"/>
        <v>0</v>
      </c>
    </row>
    <row r="486" spans="1:9" hidden="1">
      <c r="A486" s="151">
        <f t="shared" si="25"/>
        <v>1</v>
      </c>
      <c r="B486" s="151" t="s">
        <v>206</v>
      </c>
      <c r="C486" s="159">
        <v>31121083</v>
      </c>
      <c r="D486" s="160" t="s">
        <v>512</v>
      </c>
      <c r="E486" s="161">
        <f>SUMIF(Lanç!$C$3:$C$114,C486,Lanç!$F$3:$F$114)</f>
        <v>0</v>
      </c>
      <c r="F486" s="161">
        <f>SUMIF(Lanç!$C$115:$C$6504,C486,Lanç!$F$115:$F$6504)</f>
        <v>0</v>
      </c>
      <c r="G486" s="161">
        <f>SUMIF(Lanç!$C$115:$C$6504,C486,Lanç!$G$115:$G$6504)</f>
        <v>0</v>
      </c>
      <c r="H486" s="162">
        <f t="shared" si="26"/>
        <v>0</v>
      </c>
      <c r="I486" s="162">
        <f t="shared" si="27"/>
        <v>0</v>
      </c>
    </row>
    <row r="487" spans="1:9" hidden="1">
      <c r="A487" s="151">
        <f t="shared" si="25"/>
        <v>1</v>
      </c>
      <c r="B487" s="151" t="s">
        <v>206</v>
      </c>
      <c r="C487" s="159">
        <v>31121084</v>
      </c>
      <c r="D487" s="160" t="s">
        <v>513</v>
      </c>
      <c r="E487" s="161">
        <f>SUMIF(Lanç!$C$3:$C$114,C487,Lanç!$F$3:$F$114)</f>
        <v>0</v>
      </c>
      <c r="F487" s="161">
        <f>SUMIF(Lanç!$C$115:$C$6504,C487,Lanç!$F$115:$F$6504)</f>
        <v>0</v>
      </c>
      <c r="G487" s="161">
        <f>SUMIF(Lanç!$C$115:$C$6504,C487,Lanç!$G$115:$G$6504)</f>
        <v>0</v>
      </c>
      <c r="H487" s="162">
        <f t="shared" si="26"/>
        <v>0</v>
      </c>
      <c r="I487" s="162">
        <f t="shared" si="27"/>
        <v>0</v>
      </c>
    </row>
    <row r="488" spans="1:9" hidden="1">
      <c r="A488" s="151">
        <f t="shared" si="25"/>
        <v>1</v>
      </c>
      <c r="B488" s="151" t="s">
        <v>206</v>
      </c>
      <c r="C488" s="159">
        <v>31121085</v>
      </c>
      <c r="D488" s="160" t="s">
        <v>514</v>
      </c>
      <c r="E488" s="161">
        <f>SUMIF(Lanç!$C$3:$C$114,C488,Lanç!$F$3:$F$114)</f>
        <v>0</v>
      </c>
      <c r="F488" s="161">
        <f>SUMIF(Lanç!$C$115:$C$6504,C488,Lanç!$F$115:$F$6504)</f>
        <v>0</v>
      </c>
      <c r="G488" s="161">
        <f>SUMIF(Lanç!$C$115:$C$6504,C488,Lanç!$G$115:$G$6504)</f>
        <v>0</v>
      </c>
      <c r="H488" s="162">
        <f t="shared" si="26"/>
        <v>0</v>
      </c>
      <c r="I488" s="162">
        <f t="shared" si="27"/>
        <v>0</v>
      </c>
    </row>
    <row r="489" spans="1:9" hidden="1">
      <c r="A489" s="151">
        <f t="shared" si="25"/>
        <v>1</v>
      </c>
      <c r="B489" s="151" t="s">
        <v>206</v>
      </c>
      <c r="C489" s="159">
        <v>31121086</v>
      </c>
      <c r="D489" s="160" t="s">
        <v>515</v>
      </c>
      <c r="E489" s="161">
        <f>SUMIF(Lanç!$C$3:$C$114,C489,Lanç!$F$3:$F$114)</f>
        <v>0</v>
      </c>
      <c r="F489" s="161">
        <f>SUMIF(Lanç!$C$115:$C$6504,C489,Lanç!$F$115:$F$6504)</f>
        <v>0</v>
      </c>
      <c r="G489" s="161">
        <f>SUMIF(Lanç!$C$115:$C$6504,C489,Lanç!$G$115:$G$6504)</f>
        <v>0</v>
      </c>
      <c r="H489" s="162">
        <f t="shared" si="26"/>
        <v>0</v>
      </c>
      <c r="I489" s="162">
        <f t="shared" si="27"/>
        <v>0</v>
      </c>
    </row>
    <row r="490" spans="1:9" hidden="1">
      <c r="A490" s="151">
        <f t="shared" si="25"/>
        <v>1</v>
      </c>
      <c r="B490" s="151" t="s">
        <v>206</v>
      </c>
      <c r="C490" s="159">
        <v>31121087</v>
      </c>
      <c r="D490" s="160" t="s">
        <v>516</v>
      </c>
      <c r="E490" s="161">
        <f>SUMIF(Lanç!$C$3:$C$114,C490,Lanç!$F$3:$F$114)</f>
        <v>0</v>
      </c>
      <c r="F490" s="161">
        <f>SUMIF(Lanç!$C$115:$C$6504,C490,Lanç!$F$115:$F$6504)</f>
        <v>0</v>
      </c>
      <c r="G490" s="161">
        <f>SUMIF(Lanç!$C$115:$C$6504,C490,Lanç!$G$115:$G$6504)</f>
        <v>0</v>
      </c>
      <c r="H490" s="162">
        <f t="shared" si="26"/>
        <v>0</v>
      </c>
      <c r="I490" s="162">
        <f t="shared" si="27"/>
        <v>0</v>
      </c>
    </row>
    <row r="491" spans="1:9" hidden="1">
      <c r="A491" s="151">
        <f t="shared" si="25"/>
        <v>1</v>
      </c>
      <c r="B491" s="151" t="s">
        <v>206</v>
      </c>
      <c r="C491" s="159">
        <v>31121088</v>
      </c>
      <c r="D491" s="160" t="s">
        <v>517</v>
      </c>
      <c r="E491" s="161">
        <f>SUMIF(Lanç!$C$3:$C$114,C491,Lanç!$F$3:$F$114)</f>
        <v>0</v>
      </c>
      <c r="F491" s="161">
        <f>SUMIF(Lanç!$C$115:$C$6504,C491,Lanç!$F$115:$F$6504)</f>
        <v>0</v>
      </c>
      <c r="G491" s="161">
        <f>SUMIF(Lanç!$C$115:$C$6504,C491,Lanç!$G$115:$G$6504)</f>
        <v>0</v>
      </c>
      <c r="H491" s="162">
        <f t="shared" si="26"/>
        <v>0</v>
      </c>
      <c r="I491" s="162">
        <f t="shared" si="27"/>
        <v>0</v>
      </c>
    </row>
    <row r="492" spans="1:9" hidden="1">
      <c r="A492" s="151">
        <f t="shared" si="25"/>
        <v>1</v>
      </c>
      <c r="B492" s="151" t="s">
        <v>206</v>
      </c>
      <c r="C492" s="159">
        <v>31121089</v>
      </c>
      <c r="D492" s="160" t="s">
        <v>518</v>
      </c>
      <c r="E492" s="161">
        <f>SUMIF(Lanç!$C$3:$C$114,C492,Lanç!$F$3:$F$114)</f>
        <v>0</v>
      </c>
      <c r="F492" s="161">
        <f>SUMIF(Lanç!$C$115:$C$6504,C492,Lanç!$F$115:$F$6504)</f>
        <v>0</v>
      </c>
      <c r="G492" s="161">
        <f>SUMIF(Lanç!$C$115:$C$6504,C492,Lanç!$G$115:$G$6504)</f>
        <v>0</v>
      </c>
      <c r="H492" s="162">
        <f t="shared" si="26"/>
        <v>0</v>
      </c>
      <c r="I492" s="162">
        <f t="shared" si="27"/>
        <v>0</v>
      </c>
    </row>
    <row r="493" spans="1:9" hidden="1">
      <c r="A493" s="151">
        <f t="shared" si="25"/>
        <v>1</v>
      </c>
      <c r="B493" s="151" t="s">
        <v>206</v>
      </c>
      <c r="C493" s="159">
        <v>31121090</v>
      </c>
      <c r="D493" s="160" t="s">
        <v>519</v>
      </c>
      <c r="E493" s="161">
        <f>SUMIF(Lanç!$C$3:$C$114,C493,Lanç!$F$3:$F$114)</f>
        <v>0</v>
      </c>
      <c r="F493" s="161">
        <f>SUMIF(Lanç!$C$115:$C$6504,C493,Lanç!$F$115:$F$6504)</f>
        <v>0</v>
      </c>
      <c r="G493" s="161">
        <f>SUMIF(Lanç!$C$115:$C$6504,C493,Lanç!$G$115:$G$6504)</f>
        <v>0</v>
      </c>
      <c r="H493" s="162">
        <f t="shared" si="26"/>
        <v>0</v>
      </c>
      <c r="I493" s="162">
        <f t="shared" si="27"/>
        <v>0</v>
      </c>
    </row>
    <row r="494" spans="1:9" hidden="1">
      <c r="A494" s="151">
        <f t="shared" si="25"/>
        <v>1</v>
      </c>
      <c r="B494" s="151" t="s">
        <v>206</v>
      </c>
      <c r="C494" s="159">
        <v>31121091</v>
      </c>
      <c r="D494" s="160" t="s">
        <v>520</v>
      </c>
      <c r="E494" s="161">
        <f>SUMIF(Lanç!$C$3:$C$114,C494,Lanç!$F$3:$F$114)</f>
        <v>0</v>
      </c>
      <c r="F494" s="161">
        <f>SUMIF(Lanç!$C$115:$C$6504,C494,Lanç!$F$115:$F$6504)</f>
        <v>0</v>
      </c>
      <c r="G494" s="161">
        <f>SUMIF(Lanç!$C$115:$C$6504,C494,Lanç!$G$115:$G$6504)</f>
        <v>0</v>
      </c>
      <c r="H494" s="162">
        <f t="shared" si="26"/>
        <v>0</v>
      </c>
      <c r="I494" s="162">
        <f t="shared" si="27"/>
        <v>0</v>
      </c>
    </row>
    <row r="495" spans="1:9" hidden="1">
      <c r="A495" s="151">
        <f t="shared" si="25"/>
        <v>1</v>
      </c>
      <c r="B495" s="151" t="s">
        <v>206</v>
      </c>
      <c r="C495" s="159">
        <v>31121092</v>
      </c>
      <c r="D495" s="160" t="s">
        <v>521</v>
      </c>
      <c r="E495" s="161">
        <f>SUMIF(Lanç!C3:C114,C495,Lanç!F3:F114)</f>
        <v>0</v>
      </c>
      <c r="F495" s="161">
        <f>SUMIF(Lanç!C115:C6504,C495,Lanç!F115:F6504)</f>
        <v>0</v>
      </c>
      <c r="G495" s="161">
        <f>SUMIF(Lanç!C115:C6504,C495,Lanç!G115:G6504)</f>
        <v>0</v>
      </c>
      <c r="H495" s="162">
        <f t="shared" si="26"/>
        <v>0</v>
      </c>
      <c r="I495" s="162">
        <f t="shared" si="27"/>
        <v>0</v>
      </c>
    </row>
    <row r="496" spans="1:9" hidden="1">
      <c r="A496" s="151">
        <f t="shared" si="25"/>
        <v>1</v>
      </c>
      <c r="B496" s="151" t="s">
        <v>206</v>
      </c>
      <c r="C496" s="159">
        <v>31121093</v>
      </c>
      <c r="D496" s="160" t="s">
        <v>522</v>
      </c>
      <c r="E496" s="161">
        <f>SUMIF(Lanç!C3:C114,C496,Lanç!F3:F114)</f>
        <v>0</v>
      </c>
      <c r="F496" s="161">
        <f>SUMIF(Lanç!C115:C6504,C496,Lanç!F115:F6504)</f>
        <v>0</v>
      </c>
      <c r="G496" s="161">
        <f>SUMIF(Lanç!C115:C6504,C496,Lanç!G115:G6504)</f>
        <v>0</v>
      </c>
      <c r="H496" s="162">
        <f t="shared" si="26"/>
        <v>0</v>
      </c>
      <c r="I496" s="162">
        <f t="shared" si="27"/>
        <v>0</v>
      </c>
    </row>
    <row r="497" spans="1:9" hidden="1">
      <c r="A497" s="151">
        <f t="shared" si="25"/>
        <v>1</v>
      </c>
      <c r="B497" s="151" t="s">
        <v>206</v>
      </c>
      <c r="C497" s="159">
        <v>31121094</v>
      </c>
      <c r="D497" s="160" t="s">
        <v>523</v>
      </c>
      <c r="E497" s="161">
        <f>SUMIF(Lanç!$C$3:$C$114,C497,Lanç!$F$3:$F$114)</f>
        <v>0</v>
      </c>
      <c r="F497" s="161">
        <f>SUMIF(Lanç!$C$115:$C$6504,C497,Lanç!$F$115:$F$6504)</f>
        <v>0</v>
      </c>
      <c r="G497" s="161">
        <f>SUMIF(Lanç!$C$115:$C$6504,C497,Lanç!$G$115:$G$6504)</f>
        <v>0</v>
      </c>
      <c r="H497" s="162">
        <f t="shared" si="26"/>
        <v>0</v>
      </c>
      <c r="I497" s="162">
        <f t="shared" si="27"/>
        <v>0</v>
      </c>
    </row>
    <row r="498" spans="1:9" hidden="1">
      <c r="A498" s="151">
        <f t="shared" si="25"/>
        <v>1</v>
      </c>
      <c r="B498" s="151" t="s">
        <v>206</v>
      </c>
      <c r="C498" s="159">
        <v>31121095</v>
      </c>
      <c r="D498" s="160" t="s">
        <v>524</v>
      </c>
      <c r="E498" s="161">
        <f>SUMIF(Lanç!$C$3:$C$114,C498,Lanç!$F$3:$F$114)</f>
        <v>0</v>
      </c>
      <c r="F498" s="161">
        <f>SUMIF(Lanç!$C$115:$C$6504,C498,Lanç!$F$115:$F$6504)</f>
        <v>0</v>
      </c>
      <c r="G498" s="161">
        <f>SUMIF(Lanç!$C$115:$C$6504,C498,Lanç!$G$115:$G$6504)</f>
        <v>0</v>
      </c>
      <c r="H498" s="162">
        <f t="shared" si="26"/>
        <v>0</v>
      </c>
      <c r="I498" s="162">
        <f t="shared" si="27"/>
        <v>0</v>
      </c>
    </row>
    <row r="499" spans="1:9" hidden="1">
      <c r="A499" s="151">
        <f t="shared" si="25"/>
        <v>1</v>
      </c>
      <c r="B499" s="151" t="s">
        <v>206</v>
      </c>
      <c r="C499" s="159">
        <v>31121096</v>
      </c>
      <c r="D499" s="160" t="s">
        <v>525</v>
      </c>
      <c r="E499" s="161">
        <f>SUMIF(Lanç!C3:C114,C499,Lanç!F3:F114)</f>
        <v>0</v>
      </c>
      <c r="F499" s="161">
        <f>SUMIF(Lanç!C115:C6504,C499,Lanç!F115:F6504)</f>
        <v>0</v>
      </c>
      <c r="G499" s="161">
        <f>SUMIF(Lanç!C115:C6504,C499,Lanç!G115:G6504)</f>
        <v>0</v>
      </c>
      <c r="H499" s="162">
        <f t="shared" si="26"/>
        <v>0</v>
      </c>
      <c r="I499" s="162">
        <f t="shared" si="27"/>
        <v>0</v>
      </c>
    </row>
    <row r="500" spans="1:9" hidden="1">
      <c r="A500" s="151">
        <f t="shared" si="25"/>
        <v>1</v>
      </c>
      <c r="B500" s="151" t="s">
        <v>206</v>
      </c>
      <c r="C500" s="159">
        <v>31121097</v>
      </c>
      <c r="D500" s="160" t="s">
        <v>526</v>
      </c>
      <c r="E500" s="161">
        <f>SUMIF(Lanç!$C$3:$C$114,C500,Lanç!$F$3:$F$114)</f>
        <v>0</v>
      </c>
      <c r="F500" s="161">
        <f>SUMIF(Lanç!$C$115:$C$6504,C500,Lanç!$F$115:$F$6504)</f>
        <v>0</v>
      </c>
      <c r="G500" s="161">
        <f>SUMIF(Lanç!$C$115:$C$6504,C500,Lanç!$G$115:$G$6504)</f>
        <v>0</v>
      </c>
      <c r="H500" s="162">
        <f t="shared" si="26"/>
        <v>0</v>
      </c>
      <c r="I500" s="162">
        <f t="shared" si="27"/>
        <v>0</v>
      </c>
    </row>
    <row r="501" spans="1:9" hidden="1">
      <c r="A501" s="151">
        <f t="shared" si="25"/>
        <v>1</v>
      </c>
      <c r="B501" s="151" t="s">
        <v>206</v>
      </c>
      <c r="C501" s="159">
        <v>31121098</v>
      </c>
      <c r="D501" s="160" t="s">
        <v>527</v>
      </c>
      <c r="E501" s="161">
        <f>SUMIF(Lanç!$C$3:$C$114,C501,Lanç!$F$3:$F$114)</f>
        <v>0</v>
      </c>
      <c r="F501" s="161">
        <f>SUMIF(Lanç!$C$115:$C$6504,C501,Lanç!$F$115:$F$6504)</f>
        <v>0</v>
      </c>
      <c r="G501" s="161">
        <f>SUMIF(Lanç!$C$115:$C$6504,C501,Lanç!$G$115:$G$6504)</f>
        <v>0</v>
      </c>
      <c r="H501" s="162">
        <f t="shared" si="26"/>
        <v>0</v>
      </c>
      <c r="I501" s="162">
        <f t="shared" si="27"/>
        <v>0</v>
      </c>
    </row>
    <row r="502" spans="1:9" hidden="1">
      <c r="A502" s="151">
        <f t="shared" si="25"/>
        <v>1</v>
      </c>
      <c r="B502" s="151" t="s">
        <v>206</v>
      </c>
      <c r="C502" s="159">
        <v>31121099</v>
      </c>
      <c r="D502" s="160" t="s">
        <v>528</v>
      </c>
      <c r="E502" s="161">
        <f>SUMIF(Lanç!$C$3:$C$114,C502,Lanç!$F$3:$F$114)</f>
        <v>0</v>
      </c>
      <c r="F502" s="161">
        <f>SUMIF(Lanç!$C$115:$C$6504,C502,Lanç!$F$115:$F$6504)</f>
        <v>0</v>
      </c>
      <c r="G502" s="161">
        <f>SUMIF(Lanç!$C$115:$C$6504,C502,Lanç!$G$115:$G$6504)</f>
        <v>0</v>
      </c>
      <c r="H502" s="162">
        <f t="shared" si="26"/>
        <v>0</v>
      </c>
      <c r="I502" s="162">
        <f t="shared" si="27"/>
        <v>0</v>
      </c>
    </row>
    <row r="503" spans="1:9">
      <c r="A503" s="151">
        <f t="shared" si="25"/>
        <v>0</v>
      </c>
      <c r="B503" s="151" t="s">
        <v>206</v>
      </c>
      <c r="C503" s="159">
        <v>31121100</v>
      </c>
      <c r="D503" s="160" t="s">
        <v>529</v>
      </c>
      <c r="E503" s="161">
        <f>SUMIF(Lanç!$C$3:$C$114,C503,Lanç!$F$3:$F$114)</f>
        <v>0</v>
      </c>
      <c r="F503" s="161">
        <f>SUMIF(Lanç!$C$115:$C$6504,C503,Lanç!$F$115:$F$6504)</f>
        <v>6400000</v>
      </c>
      <c r="G503" s="161">
        <f>SUMIF(Lanç!$C$115:$C$6504,C503,Lanç!$G$115:$G$6504)</f>
        <v>6400000</v>
      </c>
      <c r="H503" s="162">
        <f t="shared" si="26"/>
        <v>0</v>
      </c>
      <c r="I503" s="162">
        <f t="shared" si="27"/>
        <v>0</v>
      </c>
    </row>
    <row r="504" spans="1:9" hidden="1">
      <c r="A504" s="151">
        <f t="shared" si="25"/>
        <v>1</v>
      </c>
      <c r="B504" s="151" t="s">
        <v>206</v>
      </c>
      <c r="C504" s="159">
        <v>31121101</v>
      </c>
      <c r="D504" s="160" t="s">
        <v>530</v>
      </c>
      <c r="E504" s="161">
        <f>SUMIF(Lanç!$C$3:$C$114,C504,Lanç!$F$3:$F$114)</f>
        <v>0</v>
      </c>
      <c r="F504" s="161">
        <f>SUMIF(Lanç!$C$115:$C$6504,C504,Lanç!$F$115:$F$6504)</f>
        <v>0</v>
      </c>
      <c r="G504" s="161">
        <f>SUMIF(Lanç!$C$115:$C$6504,C504,Lanç!$G$115:$G$6504)</f>
        <v>0</v>
      </c>
      <c r="H504" s="162">
        <f t="shared" si="26"/>
        <v>0</v>
      </c>
      <c r="I504" s="162">
        <f t="shared" si="27"/>
        <v>0</v>
      </c>
    </row>
    <row r="505" spans="1:9" hidden="1">
      <c r="A505" s="151">
        <f t="shared" si="25"/>
        <v>1</v>
      </c>
      <c r="B505" s="151" t="s">
        <v>206</v>
      </c>
      <c r="C505" s="159">
        <v>31121102</v>
      </c>
      <c r="D505" s="160" t="s">
        <v>531</v>
      </c>
      <c r="E505" s="161">
        <f>SUMIF(Lanç!$C$3:$C$114,C505,Lanç!$F$3:$F$114)</f>
        <v>0</v>
      </c>
      <c r="F505" s="161">
        <f>SUMIF(Lanç!$C$115:$C$6504,C505,Lanç!$F$115:$F$6504)</f>
        <v>0</v>
      </c>
      <c r="G505" s="161">
        <f>SUMIF(Lanç!$C$115:$C$6504,C505,Lanç!$G$115:$G$6504)</f>
        <v>0</v>
      </c>
      <c r="H505" s="162">
        <f t="shared" si="26"/>
        <v>0</v>
      </c>
      <c r="I505" s="162">
        <f t="shared" si="27"/>
        <v>0</v>
      </c>
    </row>
    <row r="506" spans="1:9" hidden="1">
      <c r="A506" s="151">
        <f t="shared" si="25"/>
        <v>1</v>
      </c>
      <c r="B506" s="151" t="s">
        <v>206</v>
      </c>
      <c r="C506" s="159">
        <v>31121109</v>
      </c>
      <c r="D506" s="160" t="s">
        <v>532</v>
      </c>
      <c r="E506" s="161">
        <f>SUMIF(Lanç!$C$3:$C$114,C506,Lanç!$F$3:$F$114)</f>
        <v>0</v>
      </c>
      <c r="F506" s="161">
        <f>SUMIF(Lanç!$C$115:$C$6504,C506,Lanç!$F$115:$F$6504)</f>
        <v>0</v>
      </c>
      <c r="G506" s="161">
        <f>SUMIF(Lanç!$C$115:$C$6504,C506,Lanç!$G$115:$G$6504)</f>
        <v>0</v>
      </c>
      <c r="H506" s="162">
        <f t="shared" si="26"/>
        <v>0</v>
      </c>
      <c r="I506" s="162">
        <f t="shared" si="27"/>
        <v>0</v>
      </c>
    </row>
    <row r="507" spans="1:9" hidden="1">
      <c r="A507" s="151">
        <f t="shared" si="25"/>
        <v>1</v>
      </c>
      <c r="B507" s="151" t="s">
        <v>206</v>
      </c>
      <c r="C507" s="159">
        <v>31121110</v>
      </c>
      <c r="D507" s="160" t="s">
        <v>533</v>
      </c>
      <c r="E507" s="161">
        <f>SUMIF(Lanç!$C$3:$C$114,C507,Lanç!$F$3:$F$114)</f>
        <v>0</v>
      </c>
      <c r="F507" s="161">
        <f>SUMIF(Lanç!$C$115:$C$6504,C507,Lanç!$F$115:$F$6504)</f>
        <v>0</v>
      </c>
      <c r="G507" s="161">
        <f>SUMIF(Lanç!$C$115:$C$6504,C507,Lanç!$G$115:$G$6504)</f>
        <v>0</v>
      </c>
      <c r="H507" s="162">
        <f t="shared" si="26"/>
        <v>0</v>
      </c>
      <c r="I507" s="162">
        <f t="shared" si="27"/>
        <v>0</v>
      </c>
    </row>
    <row r="508" spans="1:9" hidden="1">
      <c r="A508" s="151">
        <f t="shared" si="25"/>
        <v>1</v>
      </c>
      <c r="B508" s="151" t="s">
        <v>206</v>
      </c>
      <c r="C508" s="159">
        <v>31121111</v>
      </c>
      <c r="D508" s="160" t="s">
        <v>534</v>
      </c>
      <c r="E508" s="161">
        <f>SUMIF(Lanç!$C$3:$C$114,C508,Lanç!$F$3:$F$114)</f>
        <v>0</v>
      </c>
      <c r="F508" s="161">
        <f>SUMIF(Lanç!$C$115:$C$6504,C508,Lanç!$F$115:$F$6504)</f>
        <v>0</v>
      </c>
      <c r="G508" s="161">
        <f>SUMIF(Lanç!$C$115:$C$6504,C508,Lanç!$G$115:$G$6504)</f>
        <v>0</v>
      </c>
      <c r="H508" s="162">
        <f t="shared" si="26"/>
        <v>0</v>
      </c>
      <c r="I508" s="162">
        <f t="shared" si="27"/>
        <v>0</v>
      </c>
    </row>
    <row r="509" spans="1:9" hidden="1">
      <c r="A509" s="151">
        <f t="shared" ref="A509:A517" si="28">IF(E509+F509+G509+H509+I509=0,1,0)</f>
        <v>1</v>
      </c>
      <c r="B509" s="151" t="s">
        <v>206</v>
      </c>
      <c r="C509" s="159">
        <v>31121112</v>
      </c>
      <c r="D509" s="160" t="s">
        <v>1794</v>
      </c>
      <c r="E509" s="161">
        <f>SUMIF(Lanç!$C$3:$C$114,C509,Lanç!$F$3:$F$114)</f>
        <v>0</v>
      </c>
      <c r="F509" s="161">
        <f>SUMIF(Lanç!$C$115:$C$6504,C509,Lanç!$F$115:$F$6504)</f>
        <v>0</v>
      </c>
      <c r="G509" s="161">
        <f>SUMIF(Lanç!$C$115:$C$6504,C509,Lanç!$G$115:$G$6504)</f>
        <v>0</v>
      </c>
      <c r="H509" s="162">
        <f t="shared" ref="H509:H517" si="29">(F509)-(G509)</f>
        <v>0</v>
      </c>
      <c r="I509" s="162">
        <f t="shared" ref="I509:I517" si="30">(E509)+(H509)</f>
        <v>0</v>
      </c>
    </row>
    <row r="510" spans="1:9" hidden="1">
      <c r="A510" s="151">
        <f t="shared" si="28"/>
        <v>1</v>
      </c>
      <c r="B510" s="151" t="s">
        <v>206</v>
      </c>
      <c r="C510" s="159">
        <v>31121113</v>
      </c>
      <c r="D510" s="160" t="s">
        <v>1793</v>
      </c>
      <c r="E510" s="161">
        <f>SUMIF(Lanç!$C$3:$C$114,C510,Lanç!$F$3:$F$114)</f>
        <v>0</v>
      </c>
      <c r="F510" s="161">
        <f>SUMIF(Lanç!$C$115:$C$6504,C510,Lanç!$F$115:$F$6504)</f>
        <v>0</v>
      </c>
      <c r="G510" s="161">
        <f>SUMIF(Lanç!$C$115:$C$6504,C510,Lanç!$G$115:$G$6504)</f>
        <v>0</v>
      </c>
      <c r="H510" s="162">
        <f t="shared" si="29"/>
        <v>0</v>
      </c>
      <c r="I510" s="162">
        <f t="shared" si="30"/>
        <v>0</v>
      </c>
    </row>
    <row r="511" spans="1:9">
      <c r="A511" s="151">
        <f t="shared" si="28"/>
        <v>0</v>
      </c>
      <c r="B511" s="151" t="s">
        <v>206</v>
      </c>
      <c r="C511" s="159">
        <v>31121114</v>
      </c>
      <c r="D511" s="160" t="s">
        <v>1795</v>
      </c>
      <c r="E511" s="161">
        <f>SUMIF(Lanç!$C$3:$C$114,C511,Lanç!$F$3:$F$114)</f>
        <v>202910.42</v>
      </c>
      <c r="F511" s="161">
        <f>SUMIF(Lanç!$C$115:$C$6504,C511,Lanç!$F$115:$F$6504)</f>
        <v>0</v>
      </c>
      <c r="G511" s="161">
        <f>SUMIF(Lanç!$C$115:$C$6504,C511,Lanç!$G$115:$G$6504)</f>
        <v>0</v>
      </c>
      <c r="H511" s="162">
        <f t="shared" si="29"/>
        <v>0</v>
      </c>
      <c r="I511" s="162">
        <f t="shared" si="30"/>
        <v>202910.42</v>
      </c>
    </row>
    <row r="512" spans="1:9" hidden="1">
      <c r="A512" s="151">
        <f t="shared" si="28"/>
        <v>1</v>
      </c>
      <c r="B512" s="151" t="s">
        <v>206</v>
      </c>
      <c r="C512" s="159">
        <v>31121115</v>
      </c>
      <c r="D512" s="160" t="s">
        <v>712</v>
      </c>
      <c r="E512" s="161">
        <f>SUMIF(Lanç!$C$3:$C$114,C512,Lanç!$F$3:$F$114)</f>
        <v>0</v>
      </c>
      <c r="F512" s="161">
        <f>SUMIF(Lanç!$C$115:$C$6504,C512,Lanç!$F$115:$F$6504)</f>
        <v>0</v>
      </c>
      <c r="G512" s="161">
        <f>SUMIF(Lanç!$C$115:$C$6504,C512,Lanç!$G$115:$G$6504)</f>
        <v>0</v>
      </c>
      <c r="H512" s="162">
        <f t="shared" si="29"/>
        <v>0</v>
      </c>
      <c r="I512" s="162">
        <f t="shared" si="30"/>
        <v>0</v>
      </c>
    </row>
    <row r="513" spans="1:14">
      <c r="A513" s="151">
        <f t="shared" si="28"/>
        <v>0</v>
      </c>
      <c r="B513" s="151" t="s">
        <v>206</v>
      </c>
      <c r="C513" s="159">
        <v>31121116</v>
      </c>
      <c r="D513" s="160" t="s">
        <v>1730</v>
      </c>
      <c r="E513" s="161">
        <f>SUMIF(Lanç!$C$3:$C$114,C513,Lanç!$F$3:$F$114)</f>
        <v>2529830.4868000001</v>
      </c>
      <c r="F513" s="161">
        <f>SUMIF(Lanç!$C$115:$C$6504,C513,Lanç!$F$115:$F$6504)</f>
        <v>0</v>
      </c>
      <c r="G513" s="161">
        <f>SUMIF(Lanç!$C$115:$C$6504,C513,Lanç!$G$115:$G$6504)</f>
        <v>2579830.5</v>
      </c>
      <c r="H513" s="162">
        <f t="shared" si="29"/>
        <v>-2579830.5</v>
      </c>
      <c r="I513" s="162">
        <f t="shared" si="30"/>
        <v>-50000.013199999928</v>
      </c>
    </row>
    <row r="514" spans="1:14">
      <c r="A514" s="151">
        <f t="shared" si="28"/>
        <v>0</v>
      </c>
      <c r="B514" s="151" t="s">
        <v>206</v>
      </c>
      <c r="C514" s="159">
        <v>31121117</v>
      </c>
      <c r="D514" s="160" t="s">
        <v>1728</v>
      </c>
      <c r="E514" s="161">
        <f>SUMIF(Lanç!$C$3:$C$114,C514,Lanç!$F$3:$F$114)</f>
        <v>-0.9</v>
      </c>
      <c r="F514" s="161">
        <f>SUMIF(Lanç!$C$115:$C$6504,C514,Lanç!$F$115:$F$6504)</f>
        <v>0</v>
      </c>
      <c r="G514" s="161">
        <f>SUMIF(Lanç!$C$115:$C$6504,C514,Lanç!$G$115:$G$6504)</f>
        <v>0</v>
      </c>
      <c r="H514" s="162">
        <f t="shared" si="29"/>
        <v>0</v>
      </c>
      <c r="I514" s="162">
        <f t="shared" si="30"/>
        <v>-0.9</v>
      </c>
    </row>
    <row r="515" spans="1:14">
      <c r="A515" s="151">
        <f t="shared" si="28"/>
        <v>0</v>
      </c>
      <c r="B515" s="151" t="s">
        <v>206</v>
      </c>
      <c r="C515" s="159">
        <v>31121118</v>
      </c>
      <c r="D515" s="160" t="s">
        <v>1729</v>
      </c>
      <c r="E515" s="161">
        <f>SUMIF(Lanç!$C$3:$C$114,C515,Lanç!$F$3:$F$114)</f>
        <v>2205500</v>
      </c>
      <c r="F515" s="161">
        <f>SUMIF(Lanç!$C$115:$C$6504,C515,Lanç!$F$115:$F$6504)</f>
        <v>0</v>
      </c>
      <c r="G515" s="161">
        <f>SUMIF(Lanç!$C$115:$C$6504,C515,Lanç!$G$115:$G$6504)</f>
        <v>0</v>
      </c>
      <c r="H515" s="162">
        <f t="shared" si="29"/>
        <v>0</v>
      </c>
      <c r="I515" s="162">
        <f t="shared" si="30"/>
        <v>2205500</v>
      </c>
    </row>
    <row r="516" spans="1:14">
      <c r="A516" s="151">
        <f t="shared" si="28"/>
        <v>0</v>
      </c>
      <c r="B516" s="151" t="s">
        <v>206</v>
      </c>
      <c r="C516" s="159">
        <v>31121119</v>
      </c>
      <c r="D516" s="160" t="s">
        <v>1884</v>
      </c>
      <c r="E516" s="161">
        <f>SUMIF(Lanç!$C$3:$C$114,C516,Lanç!$F$3:$F$114)</f>
        <v>0</v>
      </c>
      <c r="F516" s="161">
        <f>SUMIF(Lanç!$C$115:$C$6504,C516,Lanç!$F$115:$F$6504)</f>
        <v>2600000</v>
      </c>
      <c r="G516" s="161">
        <f>SUMIF(Lanç!$C$115:$C$6504,C516,Lanç!$G$115:$G$6504)</f>
        <v>2600000</v>
      </c>
      <c r="H516" s="162">
        <f t="shared" si="29"/>
        <v>0</v>
      </c>
      <c r="I516" s="162">
        <f t="shared" si="30"/>
        <v>0</v>
      </c>
    </row>
    <row r="517" spans="1:14">
      <c r="A517" s="151">
        <f t="shared" si="28"/>
        <v>0</v>
      </c>
      <c r="B517" s="151" t="s">
        <v>206</v>
      </c>
      <c r="C517" s="159">
        <v>31121120</v>
      </c>
      <c r="D517" s="160" t="s">
        <v>518</v>
      </c>
      <c r="E517" s="161">
        <f>SUMIF(Lanç!$C$3:$C$114,C517,Lanç!$F$3:$F$114)</f>
        <v>0</v>
      </c>
      <c r="F517" s="161">
        <f>SUMIF(Lanç!$C$115:$C$6504,C517,Lanç!$F$115:$F$6504)</f>
        <v>26955846.640000001</v>
      </c>
      <c r="G517" s="161">
        <f>SUMIF(Lanç!$C$115:$C$6504,C517,Lanç!$G$115:$G$6504)</f>
        <v>26328846.640000001</v>
      </c>
      <c r="H517" s="162">
        <f t="shared" si="29"/>
        <v>627000</v>
      </c>
      <c r="I517" s="162">
        <f t="shared" si="30"/>
        <v>627000</v>
      </c>
    </row>
    <row r="518" spans="1:14" hidden="1">
      <c r="A518" s="151">
        <f t="shared" ref="A518" si="31">IF(E518+F518+G518+H518+I518=0,1,0)</f>
        <v>1</v>
      </c>
      <c r="B518" s="151" t="s">
        <v>206</v>
      </c>
      <c r="C518" s="159">
        <v>31121121</v>
      </c>
      <c r="D518" s="160" t="s">
        <v>2079</v>
      </c>
      <c r="E518" s="161">
        <f>SUMIF(Lanç!$C$3:$C$114,C518,Lanç!$F$3:$F$114)</f>
        <v>0</v>
      </c>
      <c r="F518" s="161">
        <f>SUMIF(Lanç!$C$115:$C$6504,C518,Lanç!$F$115:$F$6504)</f>
        <v>0</v>
      </c>
      <c r="G518" s="161">
        <f>SUMIF(Lanç!$C$115:$C$6504,C518,Lanç!$G$115:$G$6504)</f>
        <v>0</v>
      </c>
      <c r="H518" s="162">
        <f t="shared" ref="H518" si="32">(F518)-(G518)</f>
        <v>0</v>
      </c>
      <c r="I518" s="162">
        <f t="shared" ref="I518" si="33">(E518)+(H518)</f>
        <v>0</v>
      </c>
    </row>
    <row r="519" spans="1:14" hidden="1">
      <c r="A519" s="151">
        <f t="shared" si="25"/>
        <v>1</v>
      </c>
      <c r="B519" s="151" t="s">
        <v>206</v>
      </c>
      <c r="C519" s="159">
        <v>311219</v>
      </c>
      <c r="D519" s="160" t="s">
        <v>535</v>
      </c>
      <c r="E519" s="161">
        <f>SUMIF(Lanç!$C$3:$C$114,C519,Lanç!$F$3:$F$114)</f>
        <v>0</v>
      </c>
      <c r="F519" s="161">
        <f>SUMIF(Lanç!$C$115:$C$6504,C519,Lanç!$F$115:$F$6504)</f>
        <v>0</v>
      </c>
      <c r="G519" s="161">
        <f>SUMIF(Lanç!$C$115:$C$6504,C519,Lanç!$G$115:$G$6504)</f>
        <v>0</v>
      </c>
      <c r="H519" s="162">
        <f t="shared" si="26"/>
        <v>0</v>
      </c>
      <c r="I519" s="162">
        <f t="shared" si="27"/>
        <v>0</v>
      </c>
    </row>
    <row r="520" spans="1:14" hidden="1">
      <c r="A520" s="151">
        <f t="shared" si="25"/>
        <v>1</v>
      </c>
      <c r="B520" s="155" t="s">
        <v>204</v>
      </c>
      <c r="C520" s="156">
        <v>31122</v>
      </c>
      <c r="D520" s="157" t="s">
        <v>427</v>
      </c>
      <c r="E520" s="158">
        <f>SUM(E521)</f>
        <v>0</v>
      </c>
      <c r="F520" s="158">
        <f>SUM(F521)</f>
        <v>0</v>
      </c>
      <c r="G520" s="158">
        <f>SUM(G521)</f>
        <v>0</v>
      </c>
      <c r="H520" s="154">
        <f t="shared" si="26"/>
        <v>0</v>
      </c>
      <c r="I520" s="154">
        <f t="shared" si="27"/>
        <v>0</v>
      </c>
      <c r="J520" s="1"/>
      <c r="K520" s="1"/>
      <c r="L520" s="1"/>
      <c r="M520" s="1"/>
      <c r="N520" s="1"/>
    </row>
    <row r="521" spans="1:14" hidden="1">
      <c r="A521" s="151">
        <f t="shared" si="25"/>
        <v>1</v>
      </c>
      <c r="B521" s="151" t="s">
        <v>206</v>
      </c>
      <c r="C521" s="159">
        <v>311221</v>
      </c>
      <c r="D521" s="160" t="s">
        <v>427</v>
      </c>
      <c r="E521" s="161">
        <f>SUMIF(Lanç!$C$3:$C$114,C521,Lanç!$F$3:$F$114)</f>
        <v>0</v>
      </c>
      <c r="F521" s="161">
        <f>SUMIF(Lanç!$C$115:$C$6504,C521,Lanç!$F$115:$F$6504)</f>
        <v>0</v>
      </c>
      <c r="G521" s="161">
        <f>SUMIF(Lanç!$C$115:$C$6504,C521,Lanç!$G$115:$G$6504)</f>
        <v>0</v>
      </c>
      <c r="H521" s="162">
        <f t="shared" si="26"/>
        <v>0</v>
      </c>
      <c r="I521" s="162">
        <f t="shared" si="27"/>
        <v>0</v>
      </c>
    </row>
    <row r="522" spans="1:14" hidden="1">
      <c r="A522" s="151">
        <f t="shared" si="25"/>
        <v>1</v>
      </c>
      <c r="B522" s="155" t="s">
        <v>204</v>
      </c>
      <c r="C522" s="156">
        <v>312</v>
      </c>
      <c r="D522" s="157" t="s">
        <v>536</v>
      </c>
      <c r="E522" s="158">
        <f>SUM(E523,E538)</f>
        <v>0</v>
      </c>
      <c r="F522" s="158">
        <f>SUM(F523,F538)</f>
        <v>0</v>
      </c>
      <c r="G522" s="158">
        <f>SUM(G523,G538)</f>
        <v>0</v>
      </c>
      <c r="H522" s="154">
        <f t="shared" si="26"/>
        <v>0</v>
      </c>
      <c r="I522" s="154">
        <f t="shared" si="27"/>
        <v>0</v>
      </c>
      <c r="J522" s="1"/>
      <c r="K522" s="1"/>
      <c r="L522" s="1"/>
      <c r="M522" s="1"/>
      <c r="N522" s="1"/>
    </row>
    <row r="523" spans="1:14" hidden="1">
      <c r="A523" s="151">
        <f t="shared" si="25"/>
        <v>1</v>
      </c>
      <c r="B523" s="155" t="s">
        <v>204</v>
      </c>
      <c r="C523" s="156">
        <v>3121</v>
      </c>
      <c r="D523" s="157" t="s">
        <v>423</v>
      </c>
      <c r="E523" s="158">
        <f>SUM(E524,E535)</f>
        <v>0</v>
      </c>
      <c r="F523" s="158">
        <f>SUM(F524,F535)</f>
        <v>0</v>
      </c>
      <c r="G523" s="158">
        <f>SUM(G524,G535)</f>
        <v>0</v>
      </c>
      <c r="H523" s="154">
        <f t="shared" si="26"/>
        <v>0</v>
      </c>
      <c r="I523" s="154">
        <f t="shared" si="27"/>
        <v>0</v>
      </c>
      <c r="J523" s="1"/>
      <c r="K523" s="1"/>
      <c r="L523" s="1"/>
      <c r="M523" s="1"/>
      <c r="N523" s="1"/>
    </row>
    <row r="524" spans="1:14" hidden="1">
      <c r="A524" s="151">
        <f t="shared" si="25"/>
        <v>1</v>
      </c>
      <c r="B524" s="155" t="s">
        <v>204</v>
      </c>
      <c r="C524" s="156">
        <v>31211</v>
      </c>
      <c r="D524" s="157" t="s">
        <v>424</v>
      </c>
      <c r="E524" s="158">
        <f>SUM(E525,E532)</f>
        <v>0</v>
      </c>
      <c r="F524" s="158">
        <f>SUM(F525,F532)</f>
        <v>0</v>
      </c>
      <c r="G524" s="158">
        <f>SUM(G525,G532)</f>
        <v>0</v>
      </c>
      <c r="H524" s="154">
        <f t="shared" si="26"/>
        <v>0</v>
      </c>
      <c r="I524" s="154">
        <f t="shared" si="27"/>
        <v>0</v>
      </c>
      <c r="J524" s="1"/>
      <c r="K524" s="1"/>
      <c r="L524" s="1"/>
      <c r="M524" s="1"/>
      <c r="N524" s="1"/>
    </row>
    <row r="525" spans="1:14" hidden="1">
      <c r="A525" s="151">
        <f t="shared" si="25"/>
        <v>1</v>
      </c>
      <c r="B525" s="155" t="s">
        <v>204</v>
      </c>
      <c r="C525" s="156">
        <v>312111</v>
      </c>
      <c r="D525" s="157" t="s">
        <v>425</v>
      </c>
      <c r="E525" s="158">
        <f>SUM(E526:E531)</f>
        <v>0</v>
      </c>
      <c r="F525" s="158">
        <f>SUM(F526:F531)</f>
        <v>0</v>
      </c>
      <c r="G525" s="158">
        <f>SUM(G526:G531)</f>
        <v>0</v>
      </c>
      <c r="H525" s="154">
        <f t="shared" si="26"/>
        <v>0</v>
      </c>
      <c r="I525" s="154">
        <f t="shared" si="27"/>
        <v>0</v>
      </c>
      <c r="J525" s="1"/>
      <c r="K525" s="1"/>
      <c r="L525" s="1"/>
      <c r="M525" s="1"/>
      <c r="N525" s="1"/>
    </row>
    <row r="526" spans="1:14" hidden="1">
      <c r="A526" s="151">
        <f t="shared" si="25"/>
        <v>1</v>
      </c>
      <c r="B526" s="151" t="s">
        <v>206</v>
      </c>
      <c r="C526" s="159">
        <v>312111001</v>
      </c>
      <c r="D526" s="160" t="s">
        <v>537</v>
      </c>
      <c r="E526" s="161">
        <f>SUMIF(Lanç!$C$3:$C$114,C526,Lanç!$F$3:$F$114)</f>
        <v>0</v>
      </c>
      <c r="F526" s="161">
        <f>SUMIF(Lanç!$C$115:$C$6504,C526,Lanç!$F$115:$F$6504)</f>
        <v>0</v>
      </c>
      <c r="G526" s="161">
        <f>SUMIF(Lanç!$C$115:$C$6504,C526,Lanç!$G$115:$G$6504)</f>
        <v>0</v>
      </c>
      <c r="H526" s="162">
        <f t="shared" si="26"/>
        <v>0</v>
      </c>
      <c r="I526" s="162">
        <f t="shared" si="27"/>
        <v>0</v>
      </c>
    </row>
    <row r="527" spans="1:14" hidden="1">
      <c r="A527" s="151">
        <f t="shared" si="25"/>
        <v>1</v>
      </c>
      <c r="B527" s="151" t="s">
        <v>206</v>
      </c>
      <c r="C527" s="159">
        <v>312111002</v>
      </c>
      <c r="D527" s="160" t="s">
        <v>426</v>
      </c>
      <c r="E527" s="161">
        <f>SUMIF(Lanç!$C$3:$C$114,C527,Lanç!$F$3:$F$114)</f>
        <v>0</v>
      </c>
      <c r="F527" s="161">
        <f>SUMIF(Lanç!$C$115:$C$6504,C527,Lanç!$F$115:$F$6504)</f>
        <v>0</v>
      </c>
      <c r="G527" s="161">
        <f>SUMIF(Lanç!$C$115:$C$6504,C527,Lanç!$G$115:$G$6504)</f>
        <v>0</v>
      </c>
      <c r="H527" s="162">
        <f t="shared" si="26"/>
        <v>0</v>
      </c>
      <c r="I527" s="162">
        <f t="shared" si="27"/>
        <v>0</v>
      </c>
    </row>
    <row r="528" spans="1:14" hidden="1">
      <c r="A528" s="151">
        <f t="shared" ref="A528:A594" si="34">IF(E528+F528+G528+H528+I528=0,1,0)</f>
        <v>1</v>
      </c>
      <c r="B528" s="151" t="s">
        <v>206</v>
      </c>
      <c r="C528" s="159">
        <v>312111003</v>
      </c>
      <c r="D528" s="160" t="s">
        <v>426</v>
      </c>
      <c r="E528" s="161">
        <f>SUMIF(Lanç!$C$3:$C$114,C528,Lanç!$F$3:$F$114)</f>
        <v>0</v>
      </c>
      <c r="F528" s="161">
        <f>SUMIF(Lanç!$C$115:$C$6504,C528,Lanç!$F$115:$F$6504)</f>
        <v>0</v>
      </c>
      <c r="G528" s="161">
        <f>SUMIF(Lanç!$C$115:$C$6504,C528,Lanç!$G$115:$G$6504)</f>
        <v>0</v>
      </c>
      <c r="H528" s="162">
        <f t="shared" ref="H528:H594" si="35">(F528)-(G528)</f>
        <v>0</v>
      </c>
      <c r="I528" s="162">
        <f t="shared" ref="I528:I594" si="36">(E528)+(H528)</f>
        <v>0</v>
      </c>
    </row>
    <row r="529" spans="1:14" hidden="1">
      <c r="A529" s="151">
        <f t="shared" si="34"/>
        <v>1</v>
      </c>
      <c r="B529" s="151" t="s">
        <v>206</v>
      </c>
      <c r="C529" s="159">
        <v>312111004</v>
      </c>
      <c r="D529" s="160" t="s">
        <v>426</v>
      </c>
      <c r="E529" s="161">
        <f>SUMIF(Lanç!$C$3:$C$114,C529,Lanç!$F$3:$F$114)</f>
        <v>0</v>
      </c>
      <c r="F529" s="161">
        <f>SUMIF(Lanç!$C$115:$C$6504,C529,Lanç!$F$115:$F$6504)</f>
        <v>0</v>
      </c>
      <c r="G529" s="161">
        <f>SUMIF(Lanç!$C$115:$C$6504,C529,Lanç!$G$115:$G$6504)</f>
        <v>0</v>
      </c>
      <c r="H529" s="162">
        <f t="shared" si="35"/>
        <v>0</v>
      </c>
      <c r="I529" s="162">
        <f t="shared" si="36"/>
        <v>0</v>
      </c>
    </row>
    <row r="530" spans="1:14" hidden="1">
      <c r="A530" s="151">
        <f t="shared" si="34"/>
        <v>1</v>
      </c>
      <c r="B530" s="151" t="s">
        <v>206</v>
      </c>
      <c r="C530" s="159">
        <v>312111005</v>
      </c>
      <c r="D530" s="160" t="s">
        <v>426</v>
      </c>
      <c r="E530" s="161">
        <f>SUMIF(Lanç!$C$3:$C$114,C530,Lanç!$F$3:$F$114)</f>
        <v>0</v>
      </c>
      <c r="F530" s="161">
        <f>SUMIF(Lanç!$C$115:$C$6504,C530,Lanç!$F$115:$F$6504)</f>
        <v>0</v>
      </c>
      <c r="G530" s="161">
        <f>SUMIF(Lanç!$C$115:$C$6504,C530,Lanç!$G$115:$G$6504)</f>
        <v>0</v>
      </c>
      <c r="H530" s="162">
        <f t="shared" si="35"/>
        <v>0</v>
      </c>
      <c r="I530" s="162">
        <f t="shared" si="36"/>
        <v>0</v>
      </c>
    </row>
    <row r="531" spans="1:14" hidden="1">
      <c r="A531" s="151">
        <f t="shared" si="34"/>
        <v>1</v>
      </c>
      <c r="B531" s="151" t="s">
        <v>206</v>
      </c>
      <c r="C531" s="159">
        <v>312111006</v>
      </c>
      <c r="D531" s="160" t="s">
        <v>426</v>
      </c>
      <c r="E531" s="161">
        <f>SUMIF(Lanç!$C$3:$C$114,C531,Lanç!$F$3:$F$114)</f>
        <v>0</v>
      </c>
      <c r="F531" s="161">
        <f>SUMIF(Lanç!$C$115:$C$6504,C531,Lanç!$F$115:$F$6504)</f>
        <v>0</v>
      </c>
      <c r="G531" s="161">
        <f>SUMIF(Lanç!$C$115:$C$6504,C531,Lanç!$G$115:$G$6504)</f>
        <v>0</v>
      </c>
      <c r="H531" s="162">
        <f t="shared" si="35"/>
        <v>0</v>
      </c>
      <c r="I531" s="162">
        <f t="shared" si="36"/>
        <v>0</v>
      </c>
    </row>
    <row r="532" spans="1:14" hidden="1">
      <c r="A532" s="151">
        <f t="shared" si="34"/>
        <v>1</v>
      </c>
      <c r="B532" s="155" t="s">
        <v>204</v>
      </c>
      <c r="C532" s="156">
        <v>312112</v>
      </c>
      <c r="D532" s="157" t="s">
        <v>427</v>
      </c>
      <c r="E532" s="158">
        <f>SUM(E533:E534)</f>
        <v>0</v>
      </c>
      <c r="F532" s="158">
        <f>SUM(F533:F534)</f>
        <v>0</v>
      </c>
      <c r="G532" s="158">
        <f>SUM(G533:G534)</f>
        <v>0</v>
      </c>
      <c r="H532" s="154">
        <f t="shared" si="35"/>
        <v>0</v>
      </c>
      <c r="I532" s="154">
        <f t="shared" si="36"/>
        <v>0</v>
      </c>
      <c r="J532" s="1"/>
      <c r="K532" s="1"/>
      <c r="L532" s="1"/>
      <c r="M532" s="1"/>
      <c r="N532" s="1"/>
    </row>
    <row r="533" spans="1:14" hidden="1">
      <c r="A533" s="151">
        <f t="shared" si="34"/>
        <v>1</v>
      </c>
      <c r="B533" s="151" t="s">
        <v>206</v>
      </c>
      <c r="C533" s="159">
        <v>312112001</v>
      </c>
      <c r="D533" s="160" t="s">
        <v>426</v>
      </c>
      <c r="E533" s="161">
        <f>SUMIF(Lanç!$C$3:$C$114,C533,Lanç!$F$3:$F$114)</f>
        <v>0</v>
      </c>
      <c r="F533" s="161">
        <f>SUMIF(Lanç!$C$115:$C$6504,C533,Lanç!$F$115:$F$6504)</f>
        <v>0</v>
      </c>
      <c r="G533" s="161">
        <f>SUMIF(Lanç!$C$115:$C$6504,C533,Lanç!$G$115:$G$6504)</f>
        <v>0</v>
      </c>
      <c r="H533" s="162">
        <f t="shared" si="35"/>
        <v>0</v>
      </c>
      <c r="I533" s="162">
        <f t="shared" si="36"/>
        <v>0</v>
      </c>
    </row>
    <row r="534" spans="1:14" hidden="1">
      <c r="A534" s="151">
        <f t="shared" si="34"/>
        <v>1</v>
      </c>
      <c r="B534" s="151" t="s">
        <v>206</v>
      </c>
      <c r="C534" s="159">
        <v>312112002</v>
      </c>
      <c r="D534" s="160" t="s">
        <v>426</v>
      </c>
      <c r="E534" s="161">
        <f>SUMIF(Lanç!$C$3:$C$114,C534,Lanç!$F$3:$F$114)</f>
        <v>0</v>
      </c>
      <c r="F534" s="161">
        <f>SUMIF(Lanç!$C$115:$C$6504,C534,Lanç!$F$115:$F$6504)</f>
        <v>0</v>
      </c>
      <c r="G534" s="161">
        <f>SUMIF(Lanç!$C$115:$C$6504,C534,Lanç!$G$115:$G$6504)</f>
        <v>0</v>
      </c>
      <c r="H534" s="162">
        <f t="shared" si="35"/>
        <v>0</v>
      </c>
      <c r="I534" s="162">
        <f t="shared" si="36"/>
        <v>0</v>
      </c>
    </row>
    <row r="535" spans="1:14" hidden="1">
      <c r="A535" s="151">
        <f t="shared" si="34"/>
        <v>1</v>
      </c>
      <c r="B535" s="155" t="s">
        <v>204</v>
      </c>
      <c r="C535" s="156">
        <v>31212</v>
      </c>
      <c r="D535" s="157" t="s">
        <v>428</v>
      </c>
      <c r="E535" s="158">
        <f>SUM(E536:E537)</f>
        <v>0</v>
      </c>
      <c r="F535" s="158">
        <f>SUM(F536:F537)</f>
        <v>0</v>
      </c>
      <c r="G535" s="158">
        <f>SUM(G536:G537)</f>
        <v>0</v>
      </c>
      <c r="H535" s="154">
        <f t="shared" si="35"/>
        <v>0</v>
      </c>
      <c r="I535" s="154">
        <f t="shared" si="36"/>
        <v>0</v>
      </c>
      <c r="J535" s="1"/>
      <c r="K535" s="1"/>
      <c r="L535" s="1"/>
      <c r="M535" s="1"/>
      <c r="N535" s="1"/>
    </row>
    <row r="536" spans="1:14" hidden="1">
      <c r="A536" s="151">
        <f t="shared" si="34"/>
        <v>1</v>
      </c>
      <c r="B536" s="151" t="s">
        <v>206</v>
      </c>
      <c r="C536" s="159">
        <v>312121</v>
      </c>
      <c r="D536" s="160" t="s">
        <v>425</v>
      </c>
      <c r="E536" s="161">
        <f>SUMIF(Lanç!$C$3:$C$114,C536,Lanç!$F$3:$F$114)</f>
        <v>0</v>
      </c>
      <c r="F536" s="161">
        <f>SUMIF(Lanç!$C$115:$C$6504,C536,Lanç!$F$115:$F$6504)</f>
        <v>0</v>
      </c>
      <c r="G536" s="161">
        <f>SUMIF(Lanç!$C$115:$C$6504,C536,Lanç!$G$115:$G$6504)</f>
        <v>0</v>
      </c>
      <c r="H536" s="162">
        <f t="shared" si="35"/>
        <v>0</v>
      </c>
      <c r="I536" s="162">
        <f t="shared" si="36"/>
        <v>0</v>
      </c>
    </row>
    <row r="537" spans="1:14" hidden="1">
      <c r="A537" s="151">
        <f t="shared" si="34"/>
        <v>1</v>
      </c>
      <c r="B537" s="151" t="s">
        <v>206</v>
      </c>
      <c r="C537" s="159">
        <v>312122</v>
      </c>
      <c r="D537" s="160" t="s">
        <v>427</v>
      </c>
      <c r="E537" s="161">
        <f>SUMIF(Lanç!$C$3:$C$114,C537,Lanç!$F$3:$F$114)</f>
        <v>0</v>
      </c>
      <c r="F537" s="161">
        <f>SUMIF(Lanç!$C$115:$C$6504,C537,Lanç!$F$115:$F$6504)</f>
        <v>0</v>
      </c>
      <c r="G537" s="161">
        <f>SUMIF(Lanç!$C$115:$C$6504,C537,Lanç!$G$115:$G$6504)</f>
        <v>0</v>
      </c>
      <c r="H537" s="162">
        <f t="shared" si="35"/>
        <v>0</v>
      </c>
      <c r="I537" s="162">
        <f t="shared" si="36"/>
        <v>0</v>
      </c>
    </row>
    <row r="538" spans="1:14" hidden="1">
      <c r="A538" s="151">
        <f t="shared" si="34"/>
        <v>1</v>
      </c>
      <c r="B538" s="155" t="s">
        <v>204</v>
      </c>
      <c r="C538" s="156">
        <v>3122</v>
      </c>
      <c r="D538" s="157" t="s">
        <v>429</v>
      </c>
      <c r="E538" s="158">
        <f>SUM(E539:E540)</f>
        <v>0</v>
      </c>
      <c r="F538" s="158">
        <f>SUM(F539:F540)</f>
        <v>0</v>
      </c>
      <c r="G538" s="158">
        <f>SUM(G539:G540)</f>
        <v>0</v>
      </c>
      <c r="H538" s="154">
        <f t="shared" si="35"/>
        <v>0</v>
      </c>
      <c r="I538" s="154">
        <f t="shared" si="36"/>
        <v>0</v>
      </c>
      <c r="J538" s="1"/>
      <c r="K538" s="1"/>
      <c r="L538" s="1"/>
      <c r="M538" s="1"/>
      <c r="N538" s="1"/>
    </row>
    <row r="539" spans="1:14" hidden="1">
      <c r="A539" s="151">
        <f t="shared" si="34"/>
        <v>1</v>
      </c>
      <c r="B539" s="151" t="s">
        <v>206</v>
      </c>
      <c r="C539" s="159">
        <v>31221</v>
      </c>
      <c r="D539" s="160" t="s">
        <v>425</v>
      </c>
      <c r="E539" s="161">
        <f>SUMIF(Lanç!$C$3:$C$114,C539,Lanç!$F$3:$F$114)</f>
        <v>0</v>
      </c>
      <c r="F539" s="161">
        <f>SUMIF(Lanç!$C$115:$C$6504,C539,Lanç!$F$115:$F$6504)</f>
        <v>0</v>
      </c>
      <c r="G539" s="161">
        <f>SUMIF(Lanç!$C$115:$C$6504,C539,Lanç!$G$115:$G$6504)</f>
        <v>0</v>
      </c>
      <c r="H539" s="162">
        <f t="shared" si="35"/>
        <v>0</v>
      </c>
      <c r="I539" s="162">
        <f t="shared" si="36"/>
        <v>0</v>
      </c>
    </row>
    <row r="540" spans="1:14" hidden="1">
      <c r="A540" s="151">
        <f t="shared" si="34"/>
        <v>1</v>
      </c>
      <c r="B540" s="151" t="s">
        <v>206</v>
      </c>
      <c r="C540" s="159">
        <v>31222</v>
      </c>
      <c r="D540" s="160" t="s">
        <v>427</v>
      </c>
      <c r="E540" s="161">
        <f>SUMIF(Lanç!$C$3:$C$114,C540,Lanç!$F$3:$F$114)</f>
        <v>0</v>
      </c>
      <c r="F540" s="161">
        <f>SUMIF(Lanç!$C$115:$C$6504,C540,Lanç!$F$115:$F$6504)</f>
        <v>0</v>
      </c>
      <c r="G540" s="161">
        <f>SUMIF(Lanç!$C$115:$C$6504,C540,Lanç!$G$115:$G$6504)</f>
        <v>0</v>
      </c>
      <c r="H540" s="162">
        <f t="shared" si="35"/>
        <v>0</v>
      </c>
      <c r="I540" s="162">
        <f t="shared" si="36"/>
        <v>0</v>
      </c>
    </row>
    <row r="541" spans="1:14" hidden="1">
      <c r="A541" s="151">
        <f t="shared" si="34"/>
        <v>1</v>
      </c>
      <c r="B541" s="155" t="s">
        <v>204</v>
      </c>
      <c r="C541" s="156">
        <v>313</v>
      </c>
      <c r="D541" s="157" t="s">
        <v>538</v>
      </c>
      <c r="E541" s="158">
        <f>SUM(E542,E549)</f>
        <v>0</v>
      </c>
      <c r="F541" s="158">
        <f>SUM(F542,F549)</f>
        <v>0</v>
      </c>
      <c r="G541" s="158">
        <f>SUM(G542,G549)</f>
        <v>0</v>
      </c>
      <c r="H541" s="154">
        <f t="shared" si="35"/>
        <v>0</v>
      </c>
      <c r="I541" s="154">
        <f t="shared" si="36"/>
        <v>0</v>
      </c>
      <c r="J541" s="1"/>
      <c r="K541" s="1"/>
      <c r="L541" s="1"/>
      <c r="M541" s="1"/>
      <c r="N541" s="1"/>
    </row>
    <row r="542" spans="1:14" hidden="1">
      <c r="A542" s="151">
        <f t="shared" si="34"/>
        <v>1</v>
      </c>
      <c r="B542" s="155" t="s">
        <v>204</v>
      </c>
      <c r="C542" s="156">
        <v>3131</v>
      </c>
      <c r="D542" s="157" t="s">
        <v>423</v>
      </c>
      <c r="E542" s="158">
        <f>SUM(E543,E546)</f>
        <v>0</v>
      </c>
      <c r="F542" s="158">
        <f>SUM(F543,F546)</f>
        <v>0</v>
      </c>
      <c r="G542" s="158">
        <f>SUM(G543,G546)</f>
        <v>0</v>
      </c>
      <c r="H542" s="154">
        <f t="shared" si="35"/>
        <v>0</v>
      </c>
      <c r="I542" s="154">
        <f t="shared" si="36"/>
        <v>0</v>
      </c>
      <c r="J542" s="1"/>
      <c r="K542" s="1"/>
      <c r="L542" s="1"/>
      <c r="M542" s="1"/>
      <c r="N542" s="1"/>
    </row>
    <row r="543" spans="1:14" hidden="1">
      <c r="A543" s="151">
        <f t="shared" si="34"/>
        <v>1</v>
      </c>
      <c r="B543" s="155" t="s">
        <v>204</v>
      </c>
      <c r="C543" s="156">
        <v>31311</v>
      </c>
      <c r="D543" s="157" t="s">
        <v>424</v>
      </c>
      <c r="E543" s="158">
        <f>SUM(E544:E545)</f>
        <v>0</v>
      </c>
      <c r="F543" s="158">
        <f>SUM(F544:F545)</f>
        <v>0</v>
      </c>
      <c r="G543" s="158">
        <f>SUM(G544:G545)</f>
        <v>0</v>
      </c>
      <c r="H543" s="154">
        <f t="shared" si="35"/>
        <v>0</v>
      </c>
      <c r="I543" s="154">
        <f t="shared" si="36"/>
        <v>0</v>
      </c>
      <c r="J543" s="1"/>
      <c r="K543" s="1"/>
      <c r="L543" s="1"/>
      <c r="M543" s="1"/>
      <c r="N543" s="1"/>
    </row>
    <row r="544" spans="1:14" hidden="1">
      <c r="A544" s="151">
        <f t="shared" si="34"/>
        <v>1</v>
      </c>
      <c r="B544" s="151" t="s">
        <v>206</v>
      </c>
      <c r="C544" s="159">
        <v>313111</v>
      </c>
      <c r="D544" s="160" t="s">
        <v>425</v>
      </c>
      <c r="E544" s="161">
        <f>SUMIF(Lanç!$C$3:$C$114,C544,Lanç!$F$3:$F$114)</f>
        <v>0</v>
      </c>
      <c r="F544" s="161">
        <f>SUMIF(Lanç!$C$115:$C$6504,C544,Lanç!$F$115:$F$6504)</f>
        <v>0</v>
      </c>
      <c r="G544" s="161">
        <f>SUMIF(Lanç!$C$115:$C$6504,C544,Lanç!$G$115:$G$6504)</f>
        <v>0</v>
      </c>
      <c r="H544" s="162">
        <f t="shared" si="35"/>
        <v>0</v>
      </c>
      <c r="I544" s="162">
        <f t="shared" si="36"/>
        <v>0</v>
      </c>
    </row>
    <row r="545" spans="1:14" hidden="1">
      <c r="A545" s="151">
        <f t="shared" si="34"/>
        <v>1</v>
      </c>
      <c r="B545" s="151" t="s">
        <v>206</v>
      </c>
      <c r="C545" s="159">
        <v>313112</v>
      </c>
      <c r="D545" s="160" t="s">
        <v>427</v>
      </c>
      <c r="E545" s="161">
        <f>SUMIF(Lanç!$C$3:$C$114,C545,Lanç!$F$3:$F$114)</f>
        <v>0</v>
      </c>
      <c r="F545" s="161">
        <f>SUMIF(Lanç!$C$115:$C$6504,C545,Lanç!$F$115:$F$6504)</f>
        <v>0</v>
      </c>
      <c r="G545" s="161">
        <f>SUMIF(Lanç!$C$115:$C$6504,C545,Lanç!$G$115:$G$6504)</f>
        <v>0</v>
      </c>
      <c r="H545" s="162">
        <f t="shared" si="35"/>
        <v>0</v>
      </c>
      <c r="I545" s="162">
        <f t="shared" si="36"/>
        <v>0</v>
      </c>
    </row>
    <row r="546" spans="1:14" hidden="1">
      <c r="A546" s="151">
        <f t="shared" si="34"/>
        <v>1</v>
      </c>
      <c r="B546" s="155" t="s">
        <v>204</v>
      </c>
      <c r="C546" s="156">
        <v>31312</v>
      </c>
      <c r="D546" s="157" t="s">
        <v>428</v>
      </c>
      <c r="E546" s="158">
        <f>SUM(E547:E548)</f>
        <v>0</v>
      </c>
      <c r="F546" s="158">
        <f>SUM(F547:F548)</f>
        <v>0</v>
      </c>
      <c r="G546" s="158">
        <f>SUM(G547:G548)</f>
        <v>0</v>
      </c>
      <c r="H546" s="154">
        <f t="shared" si="35"/>
        <v>0</v>
      </c>
      <c r="I546" s="154">
        <f t="shared" si="36"/>
        <v>0</v>
      </c>
      <c r="J546" s="1"/>
      <c r="K546" s="1"/>
      <c r="L546" s="1"/>
      <c r="M546" s="1"/>
      <c r="N546" s="1"/>
    </row>
    <row r="547" spans="1:14" hidden="1">
      <c r="A547" s="151">
        <f t="shared" si="34"/>
        <v>1</v>
      </c>
      <c r="B547" s="151" t="s">
        <v>206</v>
      </c>
      <c r="C547" s="159">
        <v>313121</v>
      </c>
      <c r="D547" s="160" t="s">
        <v>425</v>
      </c>
      <c r="E547" s="161">
        <f>SUMIF(Lanç!$C$3:$C$114,C547,Lanç!$F$3:$F$114)</f>
        <v>0</v>
      </c>
      <c r="F547" s="161">
        <f>SUMIF(Lanç!$C$115:$C$6504,C547,Lanç!$F$115:$F$6504)</f>
        <v>0</v>
      </c>
      <c r="G547" s="161">
        <f>SUMIF(Lanç!$C$115:$C$6504,C547,Lanç!$G$115:$G$6504)</f>
        <v>0</v>
      </c>
      <c r="H547" s="162">
        <f t="shared" si="35"/>
        <v>0</v>
      </c>
      <c r="I547" s="162">
        <f t="shared" si="36"/>
        <v>0</v>
      </c>
    </row>
    <row r="548" spans="1:14" hidden="1">
      <c r="A548" s="151">
        <f t="shared" si="34"/>
        <v>1</v>
      </c>
      <c r="B548" s="151" t="s">
        <v>206</v>
      </c>
      <c r="C548" s="159">
        <v>313122</v>
      </c>
      <c r="D548" s="160" t="s">
        <v>427</v>
      </c>
      <c r="E548" s="161">
        <f>SUMIF(Lanç!$C$3:$C$114,C548,Lanç!$F$3:$F$114)</f>
        <v>0</v>
      </c>
      <c r="F548" s="161">
        <f>SUMIF(Lanç!$C$115:$C$6504,C548,Lanç!$F$115:$F$6504)</f>
        <v>0</v>
      </c>
      <c r="G548" s="161">
        <f>SUMIF(Lanç!$C$115:$C$6504,C548,Lanç!$G$115:$G$6504)</f>
        <v>0</v>
      </c>
      <c r="H548" s="162">
        <f t="shared" si="35"/>
        <v>0</v>
      </c>
      <c r="I548" s="162">
        <f t="shared" si="36"/>
        <v>0</v>
      </c>
    </row>
    <row r="549" spans="1:14" hidden="1">
      <c r="A549" s="151">
        <f t="shared" si="34"/>
        <v>1</v>
      </c>
      <c r="B549" s="155" t="s">
        <v>204</v>
      </c>
      <c r="C549" s="156">
        <v>3132</v>
      </c>
      <c r="D549" s="157" t="s">
        <v>429</v>
      </c>
      <c r="E549" s="158">
        <f>SUM(E550:E552)</f>
        <v>0</v>
      </c>
      <c r="F549" s="158">
        <f>SUM(F550:F552)</f>
        <v>0</v>
      </c>
      <c r="G549" s="158">
        <f>SUM(G550:G552)</f>
        <v>0</v>
      </c>
      <c r="H549" s="154">
        <f t="shared" si="35"/>
        <v>0</v>
      </c>
      <c r="I549" s="154">
        <f t="shared" si="36"/>
        <v>0</v>
      </c>
      <c r="J549" s="1"/>
      <c r="K549" s="1"/>
      <c r="L549" s="1"/>
      <c r="M549" s="1"/>
      <c r="N549" s="1"/>
    </row>
    <row r="550" spans="1:14" hidden="1">
      <c r="A550" s="151">
        <f t="shared" si="34"/>
        <v>1</v>
      </c>
      <c r="B550" s="151" t="s">
        <v>206</v>
      </c>
      <c r="C550" s="159">
        <v>31321</v>
      </c>
      <c r="D550" s="160" t="s">
        <v>425</v>
      </c>
      <c r="E550" s="161">
        <f>SUMIF(Lanç!$C$3:$C$114,C550,Lanç!$F$3:$F$114)</f>
        <v>0</v>
      </c>
      <c r="F550" s="161">
        <f>SUMIF(Lanç!$C$115:$C$6504,C550,Lanç!$F$115:$F$6504)</f>
        <v>0</v>
      </c>
      <c r="G550" s="161">
        <f>SUMIF(Lanç!$C$115:$C$6504,C550,Lanç!$G$115:$G$6504)</f>
        <v>0</v>
      </c>
      <c r="H550" s="162">
        <f t="shared" si="35"/>
        <v>0</v>
      </c>
      <c r="I550" s="162">
        <f t="shared" si="36"/>
        <v>0</v>
      </c>
    </row>
    <row r="551" spans="1:14" hidden="1">
      <c r="A551" s="151">
        <f t="shared" si="34"/>
        <v>1</v>
      </c>
      <c r="B551" s="151" t="s">
        <v>206</v>
      </c>
      <c r="C551" s="159">
        <v>31322</v>
      </c>
      <c r="D551" s="160" t="s">
        <v>427</v>
      </c>
      <c r="E551" s="161">
        <f>SUMIF(Lanç!$C$3:$C$114,C551,Lanç!$F$3:$F$114)</f>
        <v>0</v>
      </c>
      <c r="F551" s="161">
        <f>SUMIF(Lanç!$C$115:$C$6504,C551,Lanç!$F$115:$F$6504)</f>
        <v>0</v>
      </c>
      <c r="G551" s="161">
        <f>SUMIF(Lanç!$C$115:$C$6504,C551,Lanç!$G$115:$G$6504)</f>
        <v>0</v>
      </c>
      <c r="H551" s="162">
        <f t="shared" si="35"/>
        <v>0</v>
      </c>
      <c r="I551" s="162">
        <f t="shared" si="36"/>
        <v>0</v>
      </c>
    </row>
    <row r="552" spans="1:14" hidden="1">
      <c r="A552" s="151">
        <f t="shared" si="34"/>
        <v>1</v>
      </c>
      <c r="B552" s="151" t="s">
        <v>206</v>
      </c>
      <c r="C552" s="159">
        <v>314</v>
      </c>
      <c r="D552" s="160" t="s">
        <v>539</v>
      </c>
      <c r="E552" s="161">
        <f>SUMIF(Lanç!$C$3:$C$114,C552,Lanç!$F$3:$F$114)</f>
        <v>0</v>
      </c>
      <c r="F552" s="161">
        <f>SUMIF(Lanç!$C$115:$C$6504,C552,Lanç!$F$115:$F$6504)</f>
        <v>0</v>
      </c>
      <c r="G552" s="161">
        <f>SUMIF(Lanç!$C$115:$C$6504,C552,Lanç!$G$115:$G$6504)</f>
        <v>0</v>
      </c>
      <c r="H552" s="162">
        <f t="shared" si="35"/>
        <v>0</v>
      </c>
      <c r="I552" s="162">
        <f t="shared" si="36"/>
        <v>0</v>
      </c>
      <c r="J552" s="2"/>
      <c r="K552" s="2"/>
      <c r="L552" s="2"/>
      <c r="M552" s="2"/>
      <c r="N552" s="2"/>
    </row>
    <row r="553" spans="1:14" hidden="1">
      <c r="A553" s="151">
        <f t="shared" si="34"/>
        <v>1</v>
      </c>
      <c r="B553" s="155" t="s">
        <v>204</v>
      </c>
      <c r="C553" s="156">
        <v>316</v>
      </c>
      <c r="D553" s="157" t="s">
        <v>540</v>
      </c>
      <c r="E553" s="158">
        <f>SUM(E554:E555)</f>
        <v>0</v>
      </c>
      <c r="F553" s="158">
        <f>SUM(F554:F555)</f>
        <v>0</v>
      </c>
      <c r="G553" s="158">
        <f>SUM(G554:G555)</f>
        <v>0</v>
      </c>
      <c r="H553" s="154">
        <f t="shared" si="35"/>
        <v>0</v>
      </c>
      <c r="I553" s="154">
        <f t="shared" si="36"/>
        <v>0</v>
      </c>
    </row>
    <row r="554" spans="1:14" hidden="1">
      <c r="A554" s="151">
        <f t="shared" si="34"/>
        <v>1</v>
      </c>
      <c r="B554" s="151" t="s">
        <v>206</v>
      </c>
      <c r="C554" s="159">
        <v>3162</v>
      </c>
      <c r="D554" s="160" t="s">
        <v>541</v>
      </c>
      <c r="E554" s="161">
        <f>SUMIF(Lanç!$C$3:$C$114,C554,Lanç!$F$3:$F$114)</f>
        <v>0</v>
      </c>
      <c r="F554" s="161">
        <f>SUMIF(Lanç!$C$115:$C$6504,C554,Lanç!$F$115:$F$6504)</f>
        <v>0</v>
      </c>
      <c r="G554" s="161">
        <f>SUMIF(Lanç!$C$115:$C$6504,C554,Lanç!$G$115:$G$6504)</f>
        <v>0</v>
      </c>
      <c r="H554" s="162">
        <f t="shared" si="35"/>
        <v>0</v>
      </c>
      <c r="I554" s="162">
        <f t="shared" si="36"/>
        <v>0</v>
      </c>
    </row>
    <row r="555" spans="1:14" hidden="1">
      <c r="A555" s="151">
        <f t="shared" si="34"/>
        <v>1</v>
      </c>
      <c r="B555" s="151" t="s">
        <v>206</v>
      </c>
      <c r="C555" s="159">
        <v>3163</v>
      </c>
      <c r="D555" s="160" t="s">
        <v>542</v>
      </c>
      <c r="E555" s="161">
        <f>SUMIF(Lanç!$C$3:$C$114,C555,Lanç!$F$3:$F$114)</f>
        <v>0</v>
      </c>
      <c r="F555" s="161">
        <f>SUMIF(Lanç!$C$115:$C$6504,C555,Lanç!$F$115:$F$6504)</f>
        <v>0</v>
      </c>
      <c r="G555" s="161">
        <f>SUMIF(Lanç!$C$115:$C$6504,C555,Lanç!$G$115:$G$6504)</f>
        <v>0</v>
      </c>
      <c r="H555" s="162">
        <f t="shared" si="35"/>
        <v>0</v>
      </c>
      <c r="I555" s="162">
        <f t="shared" si="36"/>
        <v>0</v>
      </c>
    </row>
    <row r="556" spans="1:14" s="57" customFormat="1">
      <c r="A556" s="155">
        <f t="shared" si="34"/>
        <v>0</v>
      </c>
      <c r="B556" s="155" t="s">
        <v>204</v>
      </c>
      <c r="C556" s="156">
        <v>317</v>
      </c>
      <c r="D556" s="157" t="s">
        <v>543</v>
      </c>
      <c r="E556" s="158">
        <f>SUM(E557)</f>
        <v>10639863.985536844</v>
      </c>
      <c r="F556" s="158">
        <f>SUM(F557)</f>
        <v>14200790.96535</v>
      </c>
      <c r="G556" s="158">
        <f>SUM(G557)</f>
        <v>0</v>
      </c>
      <c r="H556" s="163">
        <f t="shared" si="35"/>
        <v>14200790.96535</v>
      </c>
      <c r="I556" s="163">
        <f t="shared" si="36"/>
        <v>24840654.950886846</v>
      </c>
    </row>
    <row r="557" spans="1:14" s="57" customFormat="1">
      <c r="A557" s="155">
        <f t="shared" si="34"/>
        <v>0</v>
      </c>
      <c r="B557" s="155" t="s">
        <v>204</v>
      </c>
      <c r="C557" s="156">
        <v>3171</v>
      </c>
      <c r="D557" s="157" t="s">
        <v>544</v>
      </c>
      <c r="E557" s="158">
        <f>SUM(E558:E573)</f>
        <v>10639863.985536844</v>
      </c>
      <c r="F557" s="158">
        <f>SUM(F558:F573)</f>
        <v>14200790.96535</v>
      </c>
      <c r="G557" s="158">
        <f>SUM(G558:G573)</f>
        <v>0</v>
      </c>
      <c r="H557" s="163">
        <f t="shared" si="35"/>
        <v>14200790.96535</v>
      </c>
      <c r="I557" s="163">
        <f t="shared" si="36"/>
        <v>24840654.950886846</v>
      </c>
    </row>
    <row r="558" spans="1:14" s="57" customFormat="1">
      <c r="A558" s="151">
        <f t="shared" si="34"/>
        <v>0</v>
      </c>
      <c r="B558" s="151" t="s">
        <v>206</v>
      </c>
      <c r="C558" s="159">
        <v>3171034</v>
      </c>
      <c r="D558" s="160" t="s">
        <v>465</v>
      </c>
      <c r="E558" s="161">
        <f>SUMIF(Lanç!$C$3:$C$114,C558,Lanç!$F$3:$F$114)</f>
        <v>94311.1</v>
      </c>
      <c r="F558" s="161">
        <f>SUMIF(Lanç!$C$115:$C$6504,C558,Lanç!$F$115:$F$6504)</f>
        <v>0</v>
      </c>
      <c r="G558" s="161">
        <f>SUMIF(Lanç!$C$115:$C$6504,C558,Lanç!$G$115:$G$6504)</f>
        <v>0</v>
      </c>
      <c r="H558" s="162">
        <f t="shared" si="35"/>
        <v>0</v>
      </c>
      <c r="I558" s="162">
        <f t="shared" si="36"/>
        <v>94311.1</v>
      </c>
    </row>
    <row r="559" spans="1:14" s="57" customFormat="1">
      <c r="A559" s="151">
        <f t="shared" si="34"/>
        <v>0</v>
      </c>
      <c r="B559" s="151" t="s">
        <v>206</v>
      </c>
      <c r="C559" s="159">
        <v>3171077</v>
      </c>
      <c r="D559" s="160" t="s">
        <v>506</v>
      </c>
      <c r="E559" s="161">
        <f>SUMIF(Lanç!$C$3:$C$114,C559,Lanç!$F$3:$F$114)</f>
        <v>10310385.272336844</v>
      </c>
      <c r="F559" s="161">
        <f>SUMIF(Lanç!$C$115:$C$6504,C559,Lanç!$F$115:$F$6504)</f>
        <v>14200790.96535</v>
      </c>
      <c r="G559" s="161">
        <f>SUMIF(Lanç!$C$115:$C$6504,C559,Lanç!$G$115:$G$6504)</f>
        <v>0</v>
      </c>
      <c r="H559" s="162">
        <f t="shared" si="35"/>
        <v>14200790.96535</v>
      </c>
      <c r="I559" s="162">
        <f t="shared" si="36"/>
        <v>24511176.237686843</v>
      </c>
    </row>
    <row r="560" spans="1:14" s="57" customFormat="1">
      <c r="A560" s="151">
        <f t="shared" si="34"/>
        <v>0</v>
      </c>
      <c r="B560" s="151" t="s">
        <v>206</v>
      </c>
      <c r="C560" s="159">
        <v>3171113</v>
      </c>
      <c r="D560" s="160" t="s">
        <v>1728</v>
      </c>
      <c r="E560" s="161">
        <f>SUMIF(Lanç!$C$3:$C$114,C560,Lanç!$F$3:$F$114)</f>
        <v>19500</v>
      </c>
      <c r="F560" s="161">
        <f>SUMIF(Lanç!$C$115:$C$6504,C560,Lanç!$F$115:$F$6504)</f>
        <v>0</v>
      </c>
      <c r="G560" s="161">
        <f>SUMIF(Lanç!$C$115:$C$6504,C560,Lanç!$G$115:$G$6504)</f>
        <v>0</v>
      </c>
      <c r="H560" s="162">
        <f t="shared" si="35"/>
        <v>0</v>
      </c>
      <c r="I560" s="162">
        <f t="shared" si="36"/>
        <v>19500</v>
      </c>
    </row>
    <row r="561" spans="1:14" s="57" customFormat="1">
      <c r="A561" s="151">
        <f t="shared" si="34"/>
        <v>0</v>
      </c>
      <c r="B561" s="151" t="s">
        <v>206</v>
      </c>
      <c r="C561" s="159">
        <v>3171114</v>
      </c>
      <c r="D561" s="160" t="s">
        <v>1729</v>
      </c>
      <c r="E561" s="161">
        <f>SUMIF(Lanç!$C$3:$C$114,C561,Lanç!$F$3:$F$114)</f>
        <v>19500</v>
      </c>
      <c r="F561" s="161">
        <f>SUMIF(Lanç!$C$115:$C$6504,C561,Lanç!$F$115:$F$6504)</f>
        <v>0</v>
      </c>
      <c r="G561" s="161">
        <f>SUMIF(Lanç!$C$115:$C$6504,C561,Lanç!$G$115:$G$6504)</f>
        <v>0</v>
      </c>
      <c r="H561" s="162">
        <f t="shared" si="35"/>
        <v>0</v>
      </c>
      <c r="I561" s="162">
        <f t="shared" si="36"/>
        <v>19500</v>
      </c>
    </row>
    <row r="562" spans="1:14" s="57" customFormat="1" hidden="1">
      <c r="A562" s="151">
        <f t="shared" si="34"/>
        <v>1</v>
      </c>
      <c r="B562" s="151" t="s">
        <v>206</v>
      </c>
      <c r="C562" s="159">
        <v>3171115</v>
      </c>
      <c r="D562" s="160" t="s">
        <v>1721</v>
      </c>
      <c r="E562" s="161">
        <f>SUMIF(Lanç!$C$3:$C$114,C562,Lanç!$F$3:$F$114)</f>
        <v>0</v>
      </c>
      <c r="F562" s="161">
        <f>SUMIF(Lanç!$C$115:$C$6504,C562,Lanç!$F$115:$F$6504)</f>
        <v>0</v>
      </c>
      <c r="G562" s="161">
        <f>SUMIF(Lanç!$C$115:$C$6504,C562,Lanç!$G$115:$G$6504)</f>
        <v>0</v>
      </c>
      <c r="H562" s="162">
        <f t="shared" si="35"/>
        <v>0</v>
      </c>
      <c r="I562" s="162">
        <f t="shared" si="36"/>
        <v>0</v>
      </c>
    </row>
    <row r="563" spans="1:14" s="57" customFormat="1">
      <c r="A563" s="151">
        <f t="shared" si="34"/>
        <v>0</v>
      </c>
      <c r="B563" s="151" t="s">
        <v>206</v>
      </c>
      <c r="C563" s="159">
        <v>3171116</v>
      </c>
      <c r="D563" s="160" t="s">
        <v>1730</v>
      </c>
      <c r="E563" s="161">
        <f>SUMIF(Lanç!$C$3:$C$114,C563,Lanç!$F$3:$F$114)</f>
        <v>196167.61320000002</v>
      </c>
      <c r="F563" s="161">
        <f>SUMIF(Lanç!$C$115:$C$6504,C563,Lanç!$F$115:$F$6504)</f>
        <v>0</v>
      </c>
      <c r="G563" s="161">
        <f>SUMIF(Lanç!$C$115:$C$6504,C563,Lanç!$G$115:$G$6504)</f>
        <v>0</v>
      </c>
      <c r="H563" s="162">
        <f t="shared" si="35"/>
        <v>0</v>
      </c>
      <c r="I563" s="162">
        <f t="shared" si="36"/>
        <v>196167.61320000002</v>
      </c>
    </row>
    <row r="564" spans="1:14" s="57" customFormat="1" hidden="1">
      <c r="A564" s="151">
        <f t="shared" si="34"/>
        <v>1</v>
      </c>
      <c r="B564" s="151" t="s">
        <v>206</v>
      </c>
      <c r="C564" s="159">
        <v>3171008</v>
      </c>
      <c r="D564" s="160" t="s">
        <v>456</v>
      </c>
      <c r="E564" s="161">
        <f>SUMIF(Lanç!$C$3:$C$114,C564,Lanç!$F$3:$F$114)</f>
        <v>0</v>
      </c>
      <c r="F564" s="161">
        <f>SUMIF(Lanç!$C$115:$C$6504,C564,Lanç!$F$115:$F$6504)</f>
        <v>0</v>
      </c>
      <c r="G564" s="161">
        <f>SUMIF(Lanç!$C$115:$C$6504,C564,Lanç!$G$115:$G$6504)</f>
        <v>0</v>
      </c>
      <c r="H564" s="162">
        <f t="shared" si="35"/>
        <v>0</v>
      </c>
      <c r="I564" s="162">
        <f t="shared" si="36"/>
        <v>0</v>
      </c>
    </row>
    <row r="565" spans="1:14" s="57" customFormat="1" hidden="1">
      <c r="A565" s="151">
        <f t="shared" si="34"/>
        <v>1</v>
      </c>
      <c r="B565" s="151" t="s">
        <v>206</v>
      </c>
      <c r="C565" s="159">
        <v>3171009</v>
      </c>
      <c r="D565" s="160" t="s">
        <v>545</v>
      </c>
      <c r="E565" s="161">
        <f>SUMIF(Lanç!$C$3:$C$114,C565,Lanç!$F$3:$F$114)</f>
        <v>0</v>
      </c>
      <c r="F565" s="161">
        <f>SUMIF(Lanç!$C$115:$C$6504,C565,Lanç!$F$115:$F$6504)</f>
        <v>0</v>
      </c>
      <c r="G565" s="161">
        <f>SUMIF(Lanç!$C$115:$C$6504,C565,Lanç!$G$115:$G$6504)</f>
        <v>0</v>
      </c>
      <c r="H565" s="162">
        <f t="shared" si="35"/>
        <v>0</v>
      </c>
      <c r="I565" s="162">
        <f t="shared" si="36"/>
        <v>0</v>
      </c>
    </row>
    <row r="566" spans="1:14" s="57" customFormat="1" hidden="1">
      <c r="A566" s="151">
        <f t="shared" si="34"/>
        <v>1</v>
      </c>
      <c r="B566" s="151" t="s">
        <v>206</v>
      </c>
      <c r="C566" s="159">
        <v>3171010</v>
      </c>
      <c r="D566" s="160" t="s">
        <v>546</v>
      </c>
      <c r="E566" s="161">
        <f>SUMIF(Lanç!$C$3:$C$114,C566,Lanç!$F$3:$F$114)</f>
        <v>0</v>
      </c>
      <c r="F566" s="161">
        <f>SUMIF(Lanç!$C$115:$C$6504,C566,Lanç!$F$115:$F$6504)</f>
        <v>0</v>
      </c>
      <c r="G566" s="161">
        <f>SUMIF(Lanç!$C$115:$C$6504,C566,Lanç!$G$115:$G$6504)</f>
        <v>0</v>
      </c>
      <c r="H566" s="162">
        <f t="shared" si="35"/>
        <v>0</v>
      </c>
      <c r="I566" s="162">
        <f t="shared" si="36"/>
        <v>0</v>
      </c>
    </row>
    <row r="567" spans="1:14" s="57" customFormat="1" hidden="1">
      <c r="A567" s="151">
        <f>IF(E567+F567+G567+H567+I567=0,1,0)</f>
        <v>1</v>
      </c>
      <c r="B567" s="151" t="s">
        <v>206</v>
      </c>
      <c r="C567" s="159">
        <v>3171011</v>
      </c>
      <c r="D567" s="160" t="s">
        <v>1788</v>
      </c>
      <c r="E567" s="161">
        <f>SUMIF(Lanç!$C$3:$C$114,C567,Lanç!$F$3:$F$114)</f>
        <v>0</v>
      </c>
      <c r="F567" s="161">
        <f>SUMIF(Lanç!$C$115:$C$6504,C567,Lanç!$F$115:$F$6504)</f>
        <v>0</v>
      </c>
      <c r="G567" s="161">
        <f>SUMIF(Lanç!$C$115:$C$6504,C567,Lanç!$G$115:$G$6504)</f>
        <v>0</v>
      </c>
      <c r="H567" s="162">
        <f>(F567)-(G567)</f>
        <v>0</v>
      </c>
      <c r="I567" s="162">
        <f>(E567)+(H567)</f>
        <v>0</v>
      </c>
    </row>
    <row r="568" spans="1:14" s="57" customFormat="1" hidden="1">
      <c r="A568" s="151">
        <f t="shared" si="34"/>
        <v>1</v>
      </c>
      <c r="B568" s="151" t="s">
        <v>206</v>
      </c>
      <c r="C568" s="159">
        <v>3171012</v>
      </c>
      <c r="D568" s="160" t="s">
        <v>547</v>
      </c>
      <c r="E568" s="161">
        <f>SUMIF(Lanç!$C$3:$C$114,C568,Lanç!$F$3:$F$114)</f>
        <v>0</v>
      </c>
      <c r="F568" s="161">
        <f>SUMIF(Lanç!$C$115:$C$6504,C568,Lanç!$F$115:$F$6504)</f>
        <v>0</v>
      </c>
      <c r="G568" s="161">
        <f>SUMIF(Lanç!$C$115:$C$6504,C568,Lanç!$G$115:$G$6504)</f>
        <v>0</v>
      </c>
      <c r="H568" s="162">
        <f t="shared" si="35"/>
        <v>0</v>
      </c>
      <c r="I568" s="162">
        <f t="shared" si="36"/>
        <v>0</v>
      </c>
    </row>
    <row r="569" spans="1:14" s="57" customFormat="1" hidden="1">
      <c r="A569" s="151">
        <f t="shared" si="34"/>
        <v>1</v>
      </c>
      <c r="B569" s="151" t="s">
        <v>206</v>
      </c>
      <c r="C569" s="159">
        <v>3171013</v>
      </c>
      <c r="D569" s="160" t="s">
        <v>548</v>
      </c>
      <c r="E569" s="161">
        <f>SUMIF(Lanç!$C$3:$C$114,C569,Lanç!$F$3:$F$114)</f>
        <v>0</v>
      </c>
      <c r="F569" s="161">
        <f>SUMIF(Lanç!$C$115:$C$6504,C569,Lanç!$F$115:$F$6504)</f>
        <v>0</v>
      </c>
      <c r="G569" s="161">
        <f>SUMIF(Lanç!$C$115:$C$6504,C569,Lanç!$G$115:$G$6504)</f>
        <v>0</v>
      </c>
      <c r="H569" s="162">
        <f t="shared" si="35"/>
        <v>0</v>
      </c>
      <c r="I569" s="162">
        <f t="shared" si="36"/>
        <v>0</v>
      </c>
    </row>
    <row r="570" spans="1:14" s="57" customFormat="1" hidden="1">
      <c r="A570" s="151">
        <f>IF(E570+F570+G570+H570+I570=0,1,0)</f>
        <v>1</v>
      </c>
      <c r="B570" s="151" t="s">
        <v>206</v>
      </c>
      <c r="C570" s="159">
        <v>3171014</v>
      </c>
      <c r="D570" s="160" t="s">
        <v>549</v>
      </c>
      <c r="E570" s="161">
        <f>SUMIF(Lanç!$C$3:$C$114,C570,Lanç!$F$3:$F$114)</f>
        <v>0</v>
      </c>
      <c r="F570" s="161">
        <f>SUMIF(Lanç!$C$115:$C$6504,C570,Lanç!$F$115:$F$6504)</f>
        <v>0</v>
      </c>
      <c r="G570" s="161">
        <f>SUMIF(Lanç!$C$115:$C$6504,C570,Lanç!$G$115:$G$6504)</f>
        <v>0</v>
      </c>
      <c r="H570" s="162">
        <f>(F570)-(G570)</f>
        <v>0</v>
      </c>
      <c r="I570" s="162">
        <f>(E570)+(H570)</f>
        <v>0</v>
      </c>
    </row>
    <row r="571" spans="1:14" s="57" customFormat="1" hidden="1">
      <c r="A571" s="151">
        <f>IF(E571+F571+G571+H571+I571=0,1,0)</f>
        <v>1</v>
      </c>
      <c r="B571" s="151" t="s">
        <v>206</v>
      </c>
      <c r="C571" s="159">
        <v>3171015</v>
      </c>
      <c r="D571" s="160" t="s">
        <v>1796</v>
      </c>
      <c r="E571" s="161">
        <f>SUMIF(Lanç!$C$3:$C$114,C571,Lanç!$F$3:$F$114)</f>
        <v>0</v>
      </c>
      <c r="F571" s="161">
        <f>SUMIF(Lanç!$C$115:$C$6504,C571,Lanç!$F$115:$F$6504)</f>
        <v>0</v>
      </c>
      <c r="G571" s="161">
        <f>SUMIF(Lanç!$C$115:$C$6504,C571,Lanç!$G$115:$G$6504)</f>
        <v>0</v>
      </c>
      <c r="H571" s="162">
        <f>(F571)-(G571)</f>
        <v>0</v>
      </c>
      <c r="I571" s="162">
        <f>(E571)+(H571)</f>
        <v>0</v>
      </c>
    </row>
    <row r="572" spans="1:14" s="57" customFormat="1" hidden="1">
      <c r="A572" s="151">
        <f t="shared" si="34"/>
        <v>1</v>
      </c>
      <c r="B572" s="151" t="s">
        <v>206</v>
      </c>
      <c r="C572" s="159">
        <v>3171016</v>
      </c>
      <c r="D572" s="160" t="s">
        <v>534</v>
      </c>
      <c r="E572" s="161">
        <f>SUMIF(Lanç!$C$3:$C$114,C572,Lanç!$F$3:$F$114)</f>
        <v>0</v>
      </c>
      <c r="F572" s="161">
        <f>SUMIF(Lanç!$C$115:$C$6504,C572,Lanç!$F$115:$F$6504)</f>
        <v>0</v>
      </c>
      <c r="G572" s="161">
        <f>SUMIF(Lanç!$C$115:$C$6504,C572,Lanç!$G$115:$G$6504)</f>
        <v>0</v>
      </c>
      <c r="H572" s="162">
        <f t="shared" si="35"/>
        <v>0</v>
      </c>
      <c r="I572" s="162">
        <f t="shared" si="36"/>
        <v>0</v>
      </c>
    </row>
    <row r="573" spans="1:14" hidden="1">
      <c r="A573" s="151">
        <f t="shared" si="34"/>
        <v>1</v>
      </c>
      <c r="B573" s="151" t="s">
        <v>206</v>
      </c>
      <c r="C573" s="159">
        <v>31762</v>
      </c>
      <c r="D573" s="160" t="s">
        <v>550</v>
      </c>
      <c r="E573" s="161">
        <f>SUMIF(Lanç!$C$3:$C$114,C573,Lanç!$F$3:$F$114)</f>
        <v>0</v>
      </c>
      <c r="F573" s="161">
        <f>SUMIF(Lanç!$C$115:$C$6504,C573,Lanç!$F$115:$F$6504)</f>
        <v>0</v>
      </c>
      <c r="G573" s="161">
        <f>SUMIF(Lanç!$C$115:$C$6504,C573,Lanç!$G$115:$G$6504)</f>
        <v>0</v>
      </c>
      <c r="H573" s="162">
        <f t="shared" si="35"/>
        <v>0</v>
      </c>
      <c r="I573" s="162">
        <f t="shared" si="36"/>
        <v>0</v>
      </c>
    </row>
    <row r="574" spans="1:14">
      <c r="A574" s="151">
        <f t="shared" si="34"/>
        <v>0</v>
      </c>
      <c r="B574" s="155" t="s">
        <v>204</v>
      </c>
      <c r="C574" s="156">
        <v>318</v>
      </c>
      <c r="D574" s="157" t="s">
        <v>551</v>
      </c>
      <c r="E574" s="158">
        <f>SUM(E575,E581)</f>
        <v>36008955.329999998</v>
      </c>
      <c r="F574" s="158">
        <f>SUM(F575,F581)</f>
        <v>0</v>
      </c>
      <c r="G574" s="158">
        <f>SUM(G575,G581)</f>
        <v>3400000</v>
      </c>
      <c r="H574" s="154">
        <f t="shared" si="35"/>
        <v>-3400000</v>
      </c>
      <c r="I574" s="154">
        <f t="shared" si="36"/>
        <v>32608955.329999998</v>
      </c>
      <c r="J574" s="1"/>
      <c r="K574" s="1"/>
      <c r="L574" s="1"/>
      <c r="M574" s="1"/>
      <c r="N574" s="1"/>
    </row>
    <row r="575" spans="1:14">
      <c r="A575" s="151">
        <f t="shared" si="34"/>
        <v>0</v>
      </c>
      <c r="B575" s="155" t="s">
        <v>204</v>
      </c>
      <c r="C575" s="156">
        <v>3181</v>
      </c>
      <c r="D575" s="157" t="s">
        <v>422</v>
      </c>
      <c r="E575" s="158">
        <f>SUM(E576)</f>
        <v>36008955.329999998</v>
      </c>
      <c r="F575" s="158">
        <f>SUM(F576)</f>
        <v>0</v>
      </c>
      <c r="G575" s="158">
        <f>SUM(G576)</f>
        <v>3400000</v>
      </c>
      <c r="H575" s="154">
        <f t="shared" si="35"/>
        <v>-3400000</v>
      </c>
      <c r="I575" s="154">
        <f t="shared" si="36"/>
        <v>32608955.329999998</v>
      </c>
    </row>
    <row r="576" spans="1:14">
      <c r="A576" s="151">
        <f t="shared" si="34"/>
        <v>0</v>
      </c>
      <c r="B576" s="155" t="s">
        <v>204</v>
      </c>
      <c r="C576" s="156">
        <v>31812</v>
      </c>
      <c r="D576" s="157" t="s">
        <v>429</v>
      </c>
      <c r="E576" s="158">
        <f>SUM(E577:E580)</f>
        <v>36008955.329999998</v>
      </c>
      <c r="F576" s="158">
        <f>SUM(F577:F580)</f>
        <v>0</v>
      </c>
      <c r="G576" s="158">
        <f>SUM(G577:G580)</f>
        <v>3400000</v>
      </c>
      <c r="H576" s="154">
        <f t="shared" si="35"/>
        <v>-3400000</v>
      </c>
      <c r="I576" s="154">
        <f t="shared" si="36"/>
        <v>32608955.329999998</v>
      </c>
    </row>
    <row r="577" spans="1:14">
      <c r="A577" s="151">
        <f t="shared" si="34"/>
        <v>0</v>
      </c>
      <c r="B577" s="151" t="s">
        <v>206</v>
      </c>
      <c r="C577" s="159">
        <v>318121</v>
      </c>
      <c r="D577" s="160" t="s">
        <v>425</v>
      </c>
      <c r="E577" s="161">
        <f>SUMIF(Lanç!$C$3:$C$114,C577,Lanç!$F$3:$F$114)</f>
        <v>32608955.329999998</v>
      </c>
      <c r="F577" s="161">
        <f>SUMIF(Lanç!$C$115:$C$6504,C577,Lanç!$F$115:$F$6504)</f>
        <v>0</v>
      </c>
      <c r="G577" s="161">
        <f>SUMIF(Lanç!$C$115:$C$6504,C577,Lanç!$G$115:$G$6504)</f>
        <v>0</v>
      </c>
      <c r="H577" s="162">
        <f t="shared" si="35"/>
        <v>0</v>
      </c>
      <c r="I577" s="162">
        <f t="shared" si="36"/>
        <v>32608955.329999998</v>
      </c>
    </row>
    <row r="578" spans="1:14" hidden="1">
      <c r="A578" s="151">
        <f>IF(E578+F578+G578+H578+I578=0,1,0)</f>
        <v>1</v>
      </c>
      <c r="B578" s="151" t="s">
        <v>206</v>
      </c>
      <c r="C578" s="159">
        <v>318121034</v>
      </c>
      <c r="D578" s="160" t="s">
        <v>464</v>
      </c>
      <c r="E578" s="161">
        <f>SUMIF(Lanç!$C$3:$C$114,C578,Lanç!$F$3:$F$114)</f>
        <v>0</v>
      </c>
      <c r="F578" s="161">
        <f>SUMIF(Lanç!$C$115:$C$6504,C578,Lanç!$F$115:$F$6504)</f>
        <v>0</v>
      </c>
      <c r="G578" s="161">
        <f>SUMIF(Lanç!$C$115:$C$6504,C578,Lanç!$G$115:$G$6504)</f>
        <v>0</v>
      </c>
      <c r="H578" s="162">
        <f>(F578)-(G578)</f>
        <v>0</v>
      </c>
      <c r="I578" s="162">
        <f>(E578)+(H578)</f>
        <v>0</v>
      </c>
    </row>
    <row r="579" spans="1:14">
      <c r="A579" s="151">
        <f>IF(E579+F579+G579+H579+I579=0,1,0)</f>
        <v>0</v>
      </c>
      <c r="B579" s="151" t="s">
        <v>206</v>
      </c>
      <c r="C579" s="159">
        <v>318121100</v>
      </c>
      <c r="D579" s="160" t="s">
        <v>529</v>
      </c>
      <c r="E579" s="161">
        <f>SUMIF(Lanç!$C$3:$C$114,C579,Lanç!$F$3:$F$114)</f>
        <v>3400000</v>
      </c>
      <c r="F579" s="161">
        <f>SUMIF(Lanç!$C$115:$C$6504,C579,Lanç!$F$115:$F$6504)</f>
        <v>0</v>
      </c>
      <c r="G579" s="161">
        <f>SUMIF(Lanç!$C$115:$C$6504,C579,Lanç!$G$115:$G$6504)</f>
        <v>3400000</v>
      </c>
      <c r="H579" s="162">
        <f>(F579)-(G579)</f>
        <v>-3400000</v>
      </c>
      <c r="I579" s="162">
        <f>(E579)+(H579)</f>
        <v>0</v>
      </c>
    </row>
    <row r="580" spans="1:14" hidden="1">
      <c r="A580" s="151">
        <f t="shared" si="34"/>
        <v>1</v>
      </c>
      <c r="B580" s="151" t="s">
        <v>206</v>
      </c>
      <c r="C580" s="159">
        <v>318122</v>
      </c>
      <c r="D580" s="160" t="s">
        <v>427</v>
      </c>
      <c r="E580" s="161">
        <f>SUMIF(Lanç!$C$3:$C$114,C580,Lanç!$F$3:$F$114)</f>
        <v>0</v>
      </c>
      <c r="F580" s="161">
        <f>SUMIF(Lanç!$C$115:$C$6504,C580,Lanç!$F$115:$F$6504)</f>
        <v>0</v>
      </c>
      <c r="G580" s="161">
        <f>SUMIF(Lanç!$C$115:$C$6504,C580,Lanç!$G$115:$G$6504)</f>
        <v>0</v>
      </c>
      <c r="H580" s="162">
        <f t="shared" si="35"/>
        <v>0</v>
      </c>
      <c r="I580" s="162">
        <f t="shared" si="36"/>
        <v>0</v>
      </c>
    </row>
    <row r="581" spans="1:14" hidden="1">
      <c r="A581" s="151">
        <f t="shared" si="34"/>
        <v>1</v>
      </c>
      <c r="B581" s="155" t="s">
        <v>204</v>
      </c>
      <c r="C581" s="156">
        <v>3182</v>
      </c>
      <c r="D581" s="157" t="s">
        <v>552</v>
      </c>
      <c r="E581" s="158">
        <f>SUM(E582)</f>
        <v>0</v>
      </c>
      <c r="F581" s="158">
        <f>SUM(F582)</f>
        <v>0</v>
      </c>
      <c r="G581" s="158">
        <f>SUM(G582)</f>
        <v>0</v>
      </c>
      <c r="H581" s="154">
        <f t="shared" si="35"/>
        <v>0</v>
      </c>
      <c r="I581" s="154">
        <f t="shared" si="36"/>
        <v>0</v>
      </c>
      <c r="J581" s="1"/>
      <c r="K581" s="1"/>
      <c r="L581" s="1"/>
      <c r="M581" s="1"/>
      <c r="N581" s="1"/>
    </row>
    <row r="582" spans="1:14" hidden="1">
      <c r="A582" s="151">
        <f t="shared" si="34"/>
        <v>1</v>
      </c>
      <c r="B582" s="155" t="s">
        <v>204</v>
      </c>
      <c r="C582" s="156">
        <v>31822</v>
      </c>
      <c r="D582" s="157" t="s">
        <v>429</v>
      </c>
      <c r="E582" s="158">
        <f>SUM(E583:E585)</f>
        <v>0</v>
      </c>
      <c r="F582" s="158">
        <f>SUM(F583:F585)</f>
        <v>0</v>
      </c>
      <c r="G582" s="158">
        <f>SUM(G583:G585)</f>
        <v>0</v>
      </c>
      <c r="H582" s="154">
        <f t="shared" si="35"/>
        <v>0</v>
      </c>
      <c r="I582" s="154">
        <f t="shared" si="36"/>
        <v>0</v>
      </c>
    </row>
    <row r="583" spans="1:14" hidden="1">
      <c r="A583" s="151">
        <f t="shared" si="34"/>
        <v>1</v>
      </c>
      <c r="B583" s="151" t="s">
        <v>206</v>
      </c>
      <c r="C583" s="159">
        <v>318221</v>
      </c>
      <c r="D583" s="160" t="s">
        <v>425</v>
      </c>
      <c r="E583" s="161">
        <f>SUMIF(Lanç!$C$3:$C$114,C583,Lanç!$F$3:$F$114)</f>
        <v>0</v>
      </c>
      <c r="F583" s="161">
        <f>SUMIF(Lanç!$C$115:$C$6504,C583,Lanç!$F$115:$F$6504)</f>
        <v>0</v>
      </c>
      <c r="G583" s="161">
        <f>SUMIF(Lanç!$C$115:$C$6504,C583,Lanç!$G$115:$G$6504)</f>
        <v>0</v>
      </c>
      <c r="H583" s="162">
        <f t="shared" si="35"/>
        <v>0</v>
      </c>
      <c r="I583" s="162">
        <f t="shared" si="36"/>
        <v>0</v>
      </c>
    </row>
    <row r="584" spans="1:14" hidden="1">
      <c r="A584" s="151">
        <f t="shared" si="34"/>
        <v>1</v>
      </c>
      <c r="B584" s="151" t="s">
        <v>206</v>
      </c>
      <c r="C584" s="159">
        <v>318222</v>
      </c>
      <c r="D584" s="160" t="s">
        <v>427</v>
      </c>
      <c r="E584" s="161">
        <f>SUMIF(Lanç!$C$3:$C$114,C584,Lanç!$F$3:$F$114)</f>
        <v>0</v>
      </c>
      <c r="F584" s="161">
        <f>SUMIF(Lanç!$C$115:$C$6504,C584,Lanç!$F$115:$F$6504)</f>
        <v>0</v>
      </c>
      <c r="G584" s="161">
        <f>SUMIF(Lanç!$C$115:$C$6504,C584,Lanç!$G$115:$G$6504)</f>
        <v>0</v>
      </c>
      <c r="H584" s="162">
        <f t="shared" si="35"/>
        <v>0</v>
      </c>
      <c r="I584" s="162">
        <f t="shared" si="36"/>
        <v>0</v>
      </c>
    </row>
    <row r="585" spans="1:14" hidden="1">
      <c r="A585" s="151">
        <f t="shared" si="34"/>
        <v>1</v>
      </c>
      <c r="B585" s="151" t="s">
        <v>206</v>
      </c>
      <c r="C585" s="159">
        <v>31862</v>
      </c>
      <c r="D585" s="160" t="s">
        <v>553</v>
      </c>
      <c r="E585" s="161">
        <f>SUMIF(Lanç!$C$3:$C$114,C585,Lanç!$F$3:$F$114)</f>
        <v>0</v>
      </c>
      <c r="F585" s="161">
        <f>SUMIF(Lanç!$C$115:$C$6504,C585,Lanç!$F$115:$F$6504)</f>
        <v>0</v>
      </c>
      <c r="G585" s="161">
        <f>SUMIF(Lanç!$C$115:$C$6504,C585,Lanç!$G$115:$G$6504)</f>
        <v>0</v>
      </c>
      <c r="H585" s="162">
        <f t="shared" si="35"/>
        <v>0</v>
      </c>
      <c r="I585" s="162">
        <f t="shared" si="36"/>
        <v>0</v>
      </c>
    </row>
    <row r="586" spans="1:14">
      <c r="A586" s="151">
        <f t="shared" si="34"/>
        <v>0</v>
      </c>
      <c r="B586" s="155" t="s">
        <v>204</v>
      </c>
      <c r="C586" s="156">
        <v>319</v>
      </c>
      <c r="D586" s="157" t="s">
        <v>554</v>
      </c>
      <c r="E586" s="158">
        <f>SUM(E587,E686,E690)</f>
        <v>0</v>
      </c>
      <c r="F586" s="158">
        <f>SUM(F587,F686,F690)</f>
        <v>0</v>
      </c>
      <c r="G586" s="158">
        <f>SUM(G587,G686,G690)</f>
        <v>22582269.530000001</v>
      </c>
      <c r="H586" s="154">
        <f t="shared" si="35"/>
        <v>-22582269.530000001</v>
      </c>
      <c r="I586" s="154">
        <f t="shared" si="36"/>
        <v>-22582269.530000001</v>
      </c>
      <c r="J586" s="1"/>
      <c r="K586" s="1"/>
      <c r="L586" s="1"/>
      <c r="M586" s="1"/>
      <c r="N586" s="1"/>
    </row>
    <row r="587" spans="1:14">
      <c r="A587" s="151">
        <f t="shared" si="34"/>
        <v>0</v>
      </c>
      <c r="B587" s="155" t="s">
        <v>204</v>
      </c>
      <c r="C587" s="156">
        <v>3191</v>
      </c>
      <c r="D587" s="157" t="s">
        <v>555</v>
      </c>
      <c r="E587" s="158">
        <f>SUM(E588)</f>
        <v>0</v>
      </c>
      <c r="F587" s="158">
        <f>SUM(F588)</f>
        <v>0</v>
      </c>
      <c r="G587" s="158">
        <f>SUM(G588)</f>
        <v>22582269.530000001</v>
      </c>
      <c r="H587" s="154">
        <f t="shared" si="35"/>
        <v>-22582269.530000001</v>
      </c>
      <c r="I587" s="154">
        <f t="shared" si="36"/>
        <v>-22582269.530000001</v>
      </c>
    </row>
    <row r="588" spans="1:14">
      <c r="A588" s="151">
        <f t="shared" si="34"/>
        <v>0</v>
      </c>
      <c r="B588" s="155" t="s">
        <v>204</v>
      </c>
      <c r="C588" s="156">
        <v>31912</v>
      </c>
      <c r="D588" s="157" t="s">
        <v>429</v>
      </c>
      <c r="E588" s="158">
        <f>SUM(E589,E683)</f>
        <v>0</v>
      </c>
      <c r="F588" s="158">
        <f>SUM(F589,F683)</f>
        <v>0</v>
      </c>
      <c r="G588" s="158">
        <f>SUM(G589,G683)</f>
        <v>22582269.530000001</v>
      </c>
      <c r="H588" s="154">
        <f t="shared" si="35"/>
        <v>-22582269.530000001</v>
      </c>
      <c r="I588" s="154">
        <f t="shared" si="36"/>
        <v>-22582269.530000001</v>
      </c>
    </row>
    <row r="589" spans="1:14">
      <c r="A589" s="151">
        <f t="shared" si="34"/>
        <v>0</v>
      </c>
      <c r="B589" s="155" t="s">
        <v>204</v>
      </c>
      <c r="C589" s="156">
        <v>319121</v>
      </c>
      <c r="D589" s="157" t="s">
        <v>425</v>
      </c>
      <c r="E589" s="158">
        <f>SUM(E590:E682)</f>
        <v>0</v>
      </c>
      <c r="F589" s="158">
        <f>SUM(F590:F682)</f>
        <v>0</v>
      </c>
      <c r="G589" s="158">
        <f>SUM(G590:G682)</f>
        <v>22582269.530000001</v>
      </c>
      <c r="H589" s="154">
        <f t="shared" si="35"/>
        <v>-22582269.530000001</v>
      </c>
      <c r="I589" s="154">
        <f t="shared" si="36"/>
        <v>-22582269.530000001</v>
      </c>
    </row>
    <row r="590" spans="1:14" hidden="1">
      <c r="A590" s="151">
        <f t="shared" si="34"/>
        <v>1</v>
      </c>
      <c r="B590" s="151" t="s">
        <v>206</v>
      </c>
      <c r="C590" s="159">
        <v>319121001</v>
      </c>
      <c r="D590" s="160" t="s">
        <v>435</v>
      </c>
      <c r="E590" s="161">
        <f>SUMIF(Lanç!$C$3:$C$114,C590,Lanç!$F$3:$F$114)</f>
        <v>0</v>
      </c>
      <c r="F590" s="161">
        <f>SUMIF(Lanç!$C$115:$C$6504,C590,Lanç!$F$115:$F$6504)</f>
        <v>0</v>
      </c>
      <c r="G590" s="161">
        <f>SUMIF(Lanç!$C$115:$C$6504,C590,Lanç!$G$115:$G$6504)</f>
        <v>0</v>
      </c>
      <c r="H590" s="162">
        <f t="shared" si="35"/>
        <v>0</v>
      </c>
      <c r="I590" s="162">
        <f t="shared" si="36"/>
        <v>0</v>
      </c>
    </row>
    <row r="591" spans="1:14" hidden="1">
      <c r="A591" s="151">
        <f t="shared" si="34"/>
        <v>1</v>
      </c>
      <c r="B591" s="151" t="s">
        <v>206</v>
      </c>
      <c r="C591" s="159">
        <v>319121002</v>
      </c>
      <c r="D591" s="160" t="s">
        <v>556</v>
      </c>
      <c r="E591" s="161">
        <f>SUMIF(Lanç!$C$3:$C$114,C591,Lanç!$F$3:$F$114)</f>
        <v>0</v>
      </c>
      <c r="F591" s="161">
        <f>SUMIF(Lanç!$C$115:$C$6504,C591,Lanç!$F$115:$F$6504)</f>
        <v>0</v>
      </c>
      <c r="G591" s="161">
        <f>SUMIF(Lanç!$C$115:$C$6504,C591,Lanç!$G$115:$G$6504)</f>
        <v>0</v>
      </c>
      <c r="H591" s="162">
        <f t="shared" si="35"/>
        <v>0</v>
      </c>
      <c r="I591" s="162">
        <f t="shared" si="36"/>
        <v>0</v>
      </c>
    </row>
    <row r="592" spans="1:14" hidden="1">
      <c r="A592" s="151">
        <f t="shared" si="34"/>
        <v>1</v>
      </c>
      <c r="B592" s="151" t="s">
        <v>206</v>
      </c>
      <c r="C592" s="159">
        <v>319121003</v>
      </c>
      <c r="D592" s="160" t="s">
        <v>557</v>
      </c>
      <c r="E592" s="161">
        <f>SUMIF(Lanç!$C$3:$C$114,C592,Lanç!$F$3:$F$114)</f>
        <v>0</v>
      </c>
      <c r="F592" s="161">
        <f>SUMIF(Lanç!$C$115:$C$6504,C592,Lanç!$F$115:$F$6504)</f>
        <v>0</v>
      </c>
      <c r="G592" s="161">
        <f>SUMIF(Lanç!$C$115:$C$6504,C592,Lanç!$G$115:$G$6504)</f>
        <v>0</v>
      </c>
      <c r="H592" s="162">
        <f t="shared" si="35"/>
        <v>0</v>
      </c>
      <c r="I592" s="162">
        <f t="shared" si="36"/>
        <v>0</v>
      </c>
    </row>
    <row r="593" spans="1:9" hidden="1">
      <c r="A593" s="151">
        <f t="shared" si="34"/>
        <v>1</v>
      </c>
      <c r="B593" s="151" t="s">
        <v>206</v>
      </c>
      <c r="C593" s="159">
        <v>319121004</v>
      </c>
      <c r="D593" s="160" t="s">
        <v>558</v>
      </c>
      <c r="E593" s="161">
        <f>SUMIF(Lanç!$C$3:$C$114,C593,Lanç!$F$3:$F$114)</f>
        <v>0</v>
      </c>
      <c r="F593" s="161">
        <f>SUMIF(Lanç!$C$115:$C$6504,C593,Lanç!$F$115:$F$6504)</f>
        <v>0</v>
      </c>
      <c r="G593" s="161">
        <f>SUMIF(Lanç!$C$115:$C$6504,C593,Lanç!$G$115:$G$6504)</f>
        <v>0</v>
      </c>
      <c r="H593" s="162">
        <f t="shared" si="35"/>
        <v>0</v>
      </c>
      <c r="I593" s="162">
        <f t="shared" si="36"/>
        <v>0</v>
      </c>
    </row>
    <row r="594" spans="1:9" hidden="1">
      <c r="A594" s="151">
        <f t="shared" si="34"/>
        <v>1</v>
      </c>
      <c r="B594" s="151" t="s">
        <v>206</v>
      </c>
      <c r="C594" s="159">
        <v>319121005</v>
      </c>
      <c r="D594" s="160" t="s">
        <v>559</v>
      </c>
      <c r="E594" s="161">
        <f>SUMIF(Lanç!$C$3:$C$114,C594,Lanç!$F$3:$F$114)</f>
        <v>0</v>
      </c>
      <c r="F594" s="161">
        <f>SUMIF(Lanç!$C$115:$C$6504,C594,Lanç!$F$115:$F$6504)</f>
        <v>0</v>
      </c>
      <c r="G594" s="161">
        <f>SUMIF(Lanç!$C$115:$C$6504,C594,Lanç!$G$115:$G$6504)</f>
        <v>0</v>
      </c>
      <c r="H594" s="162">
        <f t="shared" si="35"/>
        <v>0</v>
      </c>
      <c r="I594" s="162">
        <f t="shared" si="36"/>
        <v>0</v>
      </c>
    </row>
    <row r="595" spans="1:9" hidden="1">
      <c r="A595" s="151">
        <f t="shared" ref="A595:A658" si="37">IF(E595+F595+G595+H595+I595=0,1,0)</f>
        <v>1</v>
      </c>
      <c r="B595" s="151" t="s">
        <v>206</v>
      </c>
      <c r="C595" s="159">
        <v>319121006</v>
      </c>
      <c r="D595" s="160" t="s">
        <v>560</v>
      </c>
      <c r="E595" s="161">
        <f>SUMIF(Lanç!$C$3:$C$114,C595,Lanç!$F$3:$F$114)</f>
        <v>0</v>
      </c>
      <c r="F595" s="161">
        <f>SUMIF(Lanç!$C$115:$C$6504,C595,Lanç!$F$115:$F$6504)</f>
        <v>0</v>
      </c>
      <c r="G595" s="161">
        <f>SUMIF(Lanç!$C$115:$C$6504,C595,Lanç!$G$115:$G$6504)</f>
        <v>0</v>
      </c>
      <c r="H595" s="162">
        <f t="shared" ref="H595:H658" si="38">(F595)-(G595)</f>
        <v>0</v>
      </c>
      <c r="I595" s="162">
        <f t="shared" ref="I595:I658" si="39">(E595)+(H595)</f>
        <v>0</v>
      </c>
    </row>
    <row r="596" spans="1:9" hidden="1">
      <c r="A596" s="151">
        <f t="shared" si="37"/>
        <v>1</v>
      </c>
      <c r="B596" s="151" t="s">
        <v>206</v>
      </c>
      <c r="C596" s="159">
        <v>319121007</v>
      </c>
      <c r="D596" s="160" t="s">
        <v>561</v>
      </c>
      <c r="E596" s="161">
        <f>SUMIF(Lanç!$C$3:$C$114,C596,Lanç!$F$3:$F$114)</f>
        <v>0</v>
      </c>
      <c r="F596" s="161">
        <f>SUMIF(Lanç!$C$115:$C$6504,C596,Lanç!$F$115:$F$6504)</f>
        <v>0</v>
      </c>
      <c r="G596" s="161">
        <f>SUMIF(Lanç!$C$115:$C$6504,C596,Lanç!$G$115:$G$6504)</f>
        <v>0</v>
      </c>
      <c r="H596" s="162">
        <f t="shared" si="38"/>
        <v>0</v>
      </c>
      <c r="I596" s="162">
        <f t="shared" si="39"/>
        <v>0</v>
      </c>
    </row>
    <row r="597" spans="1:9" hidden="1">
      <c r="A597" s="151">
        <f t="shared" si="37"/>
        <v>1</v>
      </c>
      <c r="B597" s="151" t="s">
        <v>206</v>
      </c>
      <c r="C597" s="159">
        <v>319121008</v>
      </c>
      <c r="D597" s="160" t="s">
        <v>439</v>
      </c>
      <c r="E597" s="161">
        <f>SUMIF(Lanç!$C$3:$C$114,C597,Lanç!$F$3:$F$114)</f>
        <v>0</v>
      </c>
      <c r="F597" s="161">
        <f>SUMIF(Lanç!$C$115:$C$6504,C597,Lanç!$F$115:$F$6504)</f>
        <v>0</v>
      </c>
      <c r="G597" s="161">
        <f>SUMIF(Lanç!$C$115:$C$6504,C597,Lanç!$G$115:$G$6504)</f>
        <v>0</v>
      </c>
      <c r="H597" s="162">
        <f t="shared" si="38"/>
        <v>0</v>
      </c>
      <c r="I597" s="162">
        <f t="shared" si="39"/>
        <v>0</v>
      </c>
    </row>
    <row r="598" spans="1:9" hidden="1">
      <c r="A598" s="151">
        <f t="shared" si="37"/>
        <v>1</v>
      </c>
      <c r="B598" s="151" t="s">
        <v>206</v>
      </c>
      <c r="C598" s="159">
        <v>319121009</v>
      </c>
      <c r="D598" s="160" t="s">
        <v>562</v>
      </c>
      <c r="E598" s="161">
        <f>SUMIF(Lanç!$C$3:$C$114,C598,Lanç!$F$3:$F$114)</f>
        <v>0</v>
      </c>
      <c r="F598" s="161">
        <f>SUMIF(Lanç!$C$115:$C$6504,C598,Lanç!$F$115:$F$6504)</f>
        <v>0</v>
      </c>
      <c r="G598" s="161">
        <f>SUMIF(Lanç!$C$115:$C$6504,C598,Lanç!$G$115:$G$6504)</f>
        <v>0</v>
      </c>
      <c r="H598" s="162">
        <f t="shared" si="38"/>
        <v>0</v>
      </c>
      <c r="I598" s="162">
        <f t="shared" si="39"/>
        <v>0</v>
      </c>
    </row>
    <row r="599" spans="1:9" hidden="1">
      <c r="A599" s="151">
        <f t="shared" si="37"/>
        <v>1</v>
      </c>
      <c r="B599" s="151" t="s">
        <v>206</v>
      </c>
      <c r="C599" s="159">
        <v>319121010</v>
      </c>
      <c r="D599" s="160" t="s">
        <v>456</v>
      </c>
      <c r="E599" s="161">
        <f>SUMIF(Lanç!$C$3:$C$114,C599,Lanç!$F$3:$F$114)</f>
        <v>0</v>
      </c>
      <c r="F599" s="161">
        <f>SUMIF(Lanç!$C$115:$C$6504,C599,Lanç!$F$115:$F$6504)</f>
        <v>0</v>
      </c>
      <c r="G599" s="161">
        <f>SUMIF(Lanç!$C$115:$C$6504,C599,Lanç!$G$115:$G$6504)</f>
        <v>0</v>
      </c>
      <c r="H599" s="162">
        <f t="shared" si="38"/>
        <v>0</v>
      </c>
      <c r="I599" s="162">
        <f t="shared" si="39"/>
        <v>0</v>
      </c>
    </row>
    <row r="600" spans="1:9" hidden="1">
      <c r="A600" s="151">
        <f t="shared" si="37"/>
        <v>1</v>
      </c>
      <c r="B600" s="151" t="s">
        <v>206</v>
      </c>
      <c r="C600" s="159">
        <v>319121011</v>
      </c>
      <c r="D600" s="160" t="s">
        <v>461</v>
      </c>
      <c r="E600" s="161">
        <f>SUMIF(Lanç!$C$3:$C$114,C600,Lanç!$F$3:$F$114)</f>
        <v>0</v>
      </c>
      <c r="F600" s="161">
        <f>SUMIF(Lanç!$C$115:$C$6504,C600,Lanç!$F$115:$F$6504)</f>
        <v>0</v>
      </c>
      <c r="G600" s="161">
        <f>SUMIF(Lanç!$C$115:$C$6504,C600,Lanç!$G$115:$G$6504)</f>
        <v>0</v>
      </c>
      <c r="H600" s="162">
        <f t="shared" si="38"/>
        <v>0</v>
      </c>
      <c r="I600" s="162">
        <f t="shared" si="39"/>
        <v>0</v>
      </c>
    </row>
    <row r="601" spans="1:9" hidden="1">
      <c r="A601" s="151">
        <f t="shared" si="37"/>
        <v>1</v>
      </c>
      <c r="B601" s="151" t="s">
        <v>206</v>
      </c>
      <c r="C601" s="159">
        <v>319121012</v>
      </c>
      <c r="D601" s="160" t="s">
        <v>462</v>
      </c>
      <c r="E601" s="161">
        <f>SUMIF(Lanç!$C$3:$C$114,C601,Lanç!$F$3:$F$114)</f>
        <v>0</v>
      </c>
      <c r="F601" s="161">
        <f>SUMIF(Lanç!$C$115:$C$6504,C601,Lanç!$F$115:$F$6504)</f>
        <v>0</v>
      </c>
      <c r="G601" s="161">
        <f>SUMIF(Lanç!$C$115:$C$6504,C601,Lanç!$G$115:$G$6504)</f>
        <v>0</v>
      </c>
      <c r="H601" s="162">
        <f t="shared" si="38"/>
        <v>0</v>
      </c>
      <c r="I601" s="162">
        <f t="shared" si="39"/>
        <v>0</v>
      </c>
    </row>
    <row r="602" spans="1:9" hidden="1">
      <c r="A602" s="151">
        <f t="shared" si="37"/>
        <v>1</v>
      </c>
      <c r="B602" s="151" t="s">
        <v>206</v>
      </c>
      <c r="C602" s="159">
        <v>319121013</v>
      </c>
      <c r="D602" s="160" t="s">
        <v>563</v>
      </c>
      <c r="E602" s="161">
        <f>SUMIF(Lanç!$C$3:$C$114,C602,Lanç!$F$3:$F$114)</f>
        <v>0</v>
      </c>
      <c r="F602" s="161">
        <f>SUMIF(Lanç!$C$115:$C$6504,C602,Lanç!$F$115:$F$6504)</f>
        <v>0</v>
      </c>
      <c r="G602" s="161">
        <f>SUMIF(Lanç!$C$115:$C$6504,C602,Lanç!$G$115:$G$6504)</f>
        <v>0</v>
      </c>
      <c r="H602" s="162">
        <f t="shared" si="38"/>
        <v>0</v>
      </c>
      <c r="I602" s="162">
        <f t="shared" si="39"/>
        <v>0</v>
      </c>
    </row>
    <row r="603" spans="1:9" hidden="1">
      <c r="A603" s="151">
        <f t="shared" si="37"/>
        <v>1</v>
      </c>
      <c r="B603" s="151" t="s">
        <v>206</v>
      </c>
      <c r="C603" s="159">
        <v>319121014</v>
      </c>
      <c r="D603" s="160" t="s">
        <v>473</v>
      </c>
      <c r="E603" s="161">
        <f>SUMIF(Lanç!$C$3:$C$114,C603,Lanç!$F$3:$F$114)</f>
        <v>0</v>
      </c>
      <c r="F603" s="161">
        <f>SUMIF(Lanç!$C$115:$C$6504,C603,Lanç!$F$115:$F$6504)</f>
        <v>0</v>
      </c>
      <c r="G603" s="161">
        <f>SUMIF(Lanç!$C$115:$C$6504,C603,Lanç!$G$115:$G$6504)</f>
        <v>0</v>
      </c>
      <c r="H603" s="162">
        <f t="shared" si="38"/>
        <v>0</v>
      </c>
      <c r="I603" s="162">
        <f t="shared" si="39"/>
        <v>0</v>
      </c>
    </row>
    <row r="604" spans="1:9" hidden="1">
      <c r="A604" s="151">
        <f t="shared" si="37"/>
        <v>1</v>
      </c>
      <c r="B604" s="151" t="s">
        <v>206</v>
      </c>
      <c r="C604" s="159">
        <v>319121015</v>
      </c>
      <c r="D604" s="160" t="s">
        <v>564</v>
      </c>
      <c r="E604" s="161">
        <f>SUMIF(Lanç!C3:C114,C604,Lanç!F3:F114)</f>
        <v>0</v>
      </c>
      <c r="F604" s="161">
        <f>SUMIF(Lanç!C115:C6504,C604,Lanç!F115:F6504)</f>
        <v>0</v>
      </c>
      <c r="G604" s="161">
        <f>SUMIF(Lanç!C115:C6504,C604,Lanç!G115:G6504)</f>
        <v>0</v>
      </c>
      <c r="H604" s="162">
        <f t="shared" si="38"/>
        <v>0</v>
      </c>
      <c r="I604" s="162">
        <f t="shared" si="39"/>
        <v>0</v>
      </c>
    </row>
    <row r="605" spans="1:9" hidden="1">
      <c r="A605" s="151">
        <f t="shared" si="37"/>
        <v>1</v>
      </c>
      <c r="B605" s="151" t="s">
        <v>206</v>
      </c>
      <c r="C605" s="159">
        <v>319121016</v>
      </c>
      <c r="D605" s="160" t="s">
        <v>467</v>
      </c>
      <c r="E605" s="161">
        <f>SUMIF(Lanç!$C$3:$C$114,C605,Lanç!$F$3:$F$114)</f>
        <v>0</v>
      </c>
      <c r="F605" s="161">
        <f>SUMIF(Lanç!$C$115:$C$6504,C605,Lanç!$F$115:$F$6504)</f>
        <v>0</v>
      </c>
      <c r="G605" s="161">
        <f>SUMIF(Lanç!$C$115:$C$6504,C605,Lanç!$G$115:$G$6504)</f>
        <v>0</v>
      </c>
      <c r="H605" s="162">
        <f t="shared" si="38"/>
        <v>0</v>
      </c>
      <c r="I605" s="162">
        <f t="shared" si="39"/>
        <v>0</v>
      </c>
    </row>
    <row r="606" spans="1:9" hidden="1">
      <c r="A606" s="151">
        <f t="shared" si="37"/>
        <v>1</v>
      </c>
      <c r="B606" s="151" t="s">
        <v>206</v>
      </c>
      <c r="C606" s="159">
        <v>319121017</v>
      </c>
      <c r="D606" s="160" t="s">
        <v>565</v>
      </c>
      <c r="E606" s="161">
        <f>SUMIF(Lanç!$C$3:$C$114,C606,Lanç!$F$3:$F$114)</f>
        <v>0</v>
      </c>
      <c r="F606" s="161">
        <f>SUMIF(Lanç!$C$115:$C$6504,C606,Lanç!$F$115:$F$6504)</f>
        <v>0</v>
      </c>
      <c r="G606" s="161">
        <f>SUMIF(Lanç!$C$115:$C$6504,C606,Lanç!$G$115:$G$6504)</f>
        <v>0</v>
      </c>
      <c r="H606" s="162">
        <f t="shared" si="38"/>
        <v>0</v>
      </c>
      <c r="I606" s="162">
        <f t="shared" si="39"/>
        <v>0</v>
      </c>
    </row>
    <row r="607" spans="1:9" hidden="1">
      <c r="A607" s="151">
        <f t="shared" si="37"/>
        <v>1</v>
      </c>
      <c r="B607" s="151" t="s">
        <v>206</v>
      </c>
      <c r="C607" s="159">
        <v>319121018</v>
      </c>
      <c r="D607" s="160" t="s">
        <v>566</v>
      </c>
      <c r="E607" s="161">
        <f>SUMIF(Lanç!$C$3:$C$114,C607,Lanç!$F$3:$F$114)</f>
        <v>0</v>
      </c>
      <c r="F607" s="161">
        <f>SUMIF(Lanç!$C$115:$C$6504,C607,Lanç!$F$115:$F$6504)</f>
        <v>0</v>
      </c>
      <c r="G607" s="161">
        <f>SUMIF(Lanç!$C$115:$C$6504,C607,Lanç!$G$115:$G$6504)</f>
        <v>0</v>
      </c>
      <c r="H607" s="162">
        <f t="shared" si="38"/>
        <v>0</v>
      </c>
      <c r="I607" s="162">
        <f t="shared" si="39"/>
        <v>0</v>
      </c>
    </row>
    <row r="608" spans="1:9" hidden="1">
      <c r="A608" s="151">
        <f t="shared" si="37"/>
        <v>1</v>
      </c>
      <c r="B608" s="151" t="s">
        <v>206</v>
      </c>
      <c r="C608" s="159">
        <v>319121019</v>
      </c>
      <c r="D608" s="160" t="s">
        <v>567</v>
      </c>
      <c r="E608" s="161">
        <f>SUMIF(Lanç!$C$3:$C$114,C608,Lanç!$F$3:$F$114)</f>
        <v>0</v>
      </c>
      <c r="F608" s="161">
        <f>SUMIF(Lanç!$C$115:$C$6504,C608,Lanç!$F$115:$F$6504)</f>
        <v>0</v>
      </c>
      <c r="G608" s="161">
        <f>SUMIF(Lanç!$C$115:$C$6504,C608,Lanç!$G$115:$G$6504)</f>
        <v>0</v>
      </c>
      <c r="H608" s="162">
        <f t="shared" si="38"/>
        <v>0</v>
      </c>
      <c r="I608" s="162">
        <f t="shared" si="39"/>
        <v>0</v>
      </c>
    </row>
    <row r="609" spans="1:9" hidden="1">
      <c r="A609" s="151">
        <f t="shared" si="37"/>
        <v>1</v>
      </c>
      <c r="B609" s="151" t="s">
        <v>206</v>
      </c>
      <c r="C609" s="159">
        <v>319121020</v>
      </c>
      <c r="D609" s="160" t="s">
        <v>568</v>
      </c>
      <c r="E609" s="161">
        <f>SUMIF(Lanç!$C$3:$C$114,C609,Lanç!$F$3:$F$114)</f>
        <v>0</v>
      </c>
      <c r="F609" s="161">
        <f>SUMIF(Lanç!$C$115:$C$6504,C609,Lanç!$F$115:$F$6504)</f>
        <v>0</v>
      </c>
      <c r="G609" s="161">
        <f>SUMIF(Lanç!$C$115:$C$6504,C609,Lanç!$G$115:$G$6504)</f>
        <v>0</v>
      </c>
      <c r="H609" s="162">
        <f t="shared" si="38"/>
        <v>0</v>
      </c>
      <c r="I609" s="162">
        <f t="shared" si="39"/>
        <v>0</v>
      </c>
    </row>
    <row r="610" spans="1:9" hidden="1">
      <c r="A610" s="151">
        <f t="shared" si="37"/>
        <v>1</v>
      </c>
      <c r="B610" s="151" t="s">
        <v>206</v>
      </c>
      <c r="C610" s="159">
        <v>319121021</v>
      </c>
      <c r="D610" s="160" t="s">
        <v>569</v>
      </c>
      <c r="E610" s="161">
        <f>SUMIF(Lanç!$C$3:$C$114,C610,Lanç!$F$3:$F$114)</f>
        <v>0</v>
      </c>
      <c r="F610" s="161">
        <f>SUMIF(Lanç!$C$115:$C$6504,C610,Lanç!$F$115:$F$6504)</f>
        <v>0</v>
      </c>
      <c r="G610" s="161">
        <f>SUMIF(Lanç!$C$115:$C$6504,C610,Lanç!$G$115:$G$6504)</f>
        <v>0</v>
      </c>
      <c r="H610" s="162">
        <f t="shared" si="38"/>
        <v>0</v>
      </c>
      <c r="I610" s="162">
        <f t="shared" si="39"/>
        <v>0</v>
      </c>
    </row>
    <row r="611" spans="1:9" hidden="1">
      <c r="A611" s="151">
        <f t="shared" si="37"/>
        <v>1</v>
      </c>
      <c r="B611" s="151" t="s">
        <v>206</v>
      </c>
      <c r="C611" s="159">
        <v>319121022</v>
      </c>
      <c r="D611" s="160" t="s">
        <v>570</v>
      </c>
      <c r="E611" s="161">
        <f>SUMIF(Lanç!C3:C114,C611,Lanç!F3:F114)</f>
        <v>0</v>
      </c>
      <c r="F611" s="161">
        <f>SUMIF(Lanç!C115:C6504,C611,Lanç!F115:F6504)</f>
        <v>0</v>
      </c>
      <c r="G611" s="161">
        <f>SUMIF(Lanç!C115:C6504,C611,Lanç!G115:G6504)</f>
        <v>0</v>
      </c>
      <c r="H611" s="162">
        <f t="shared" si="38"/>
        <v>0</v>
      </c>
      <c r="I611" s="162">
        <f t="shared" si="39"/>
        <v>0</v>
      </c>
    </row>
    <row r="612" spans="1:9" hidden="1">
      <c r="A612" s="151">
        <f t="shared" si="37"/>
        <v>1</v>
      </c>
      <c r="B612" s="151" t="s">
        <v>206</v>
      </c>
      <c r="C612" s="159">
        <v>319121023</v>
      </c>
      <c r="D612" s="160" t="s">
        <v>476</v>
      </c>
      <c r="E612" s="161">
        <f>SUMIF(Lanç!$C$3:$C$114,C612,Lanç!$F$3:$F$114)</f>
        <v>0</v>
      </c>
      <c r="F612" s="161">
        <f>SUMIF(Lanç!$C$115:$C$6504,C612,Lanç!$F$115:$F$6504)</f>
        <v>0</v>
      </c>
      <c r="G612" s="161">
        <f>SUMIF(Lanç!$C$115:$C$6504,C612,Lanç!$G$115:$G$6504)</f>
        <v>0</v>
      </c>
      <c r="H612" s="162">
        <f t="shared" si="38"/>
        <v>0</v>
      </c>
      <c r="I612" s="162">
        <f t="shared" si="39"/>
        <v>0</v>
      </c>
    </row>
    <row r="613" spans="1:9" hidden="1">
      <c r="A613" s="151">
        <f t="shared" si="37"/>
        <v>1</v>
      </c>
      <c r="B613" s="151" t="s">
        <v>206</v>
      </c>
      <c r="C613" s="159">
        <v>319121024</v>
      </c>
      <c r="D613" s="160" t="s">
        <v>571</v>
      </c>
      <c r="E613" s="161">
        <f>SUMIF(Lanç!$C$3:$C$114,C613,Lanç!$F$3:$F$114)</f>
        <v>0</v>
      </c>
      <c r="F613" s="161">
        <f>SUMIF(Lanç!$C$115:$C$6504,C613,Lanç!$F$115:$F$6504)</f>
        <v>0</v>
      </c>
      <c r="G613" s="161">
        <f>SUMIF(Lanç!$C$115:$C$6504,C613,Lanç!$G$115:$G$6504)</f>
        <v>0</v>
      </c>
      <c r="H613" s="162">
        <f t="shared" si="38"/>
        <v>0</v>
      </c>
      <c r="I613" s="162">
        <f t="shared" si="39"/>
        <v>0</v>
      </c>
    </row>
    <row r="614" spans="1:9" hidden="1">
      <c r="A614" s="151">
        <f t="shared" si="37"/>
        <v>1</v>
      </c>
      <c r="B614" s="151" t="s">
        <v>206</v>
      </c>
      <c r="C614" s="159">
        <v>319121025</v>
      </c>
      <c r="D614" s="160" t="s">
        <v>480</v>
      </c>
      <c r="E614" s="161">
        <f>SUMIF(Lanç!$C$3:$C$114,C614,Lanç!$F$3:$F$114)</f>
        <v>0</v>
      </c>
      <c r="F614" s="161">
        <f>SUMIF(Lanç!$C$115:$C$6504,C614,Lanç!$F$115:$F$6504)</f>
        <v>0</v>
      </c>
      <c r="G614" s="161">
        <f>SUMIF(Lanç!$C$115:$C$6504,C614,Lanç!$G$115:$G$6504)</f>
        <v>0</v>
      </c>
      <c r="H614" s="162">
        <f t="shared" si="38"/>
        <v>0</v>
      </c>
      <c r="I614" s="162">
        <f t="shared" si="39"/>
        <v>0</v>
      </c>
    </row>
    <row r="615" spans="1:9" hidden="1">
      <c r="A615" s="151">
        <f t="shared" si="37"/>
        <v>1</v>
      </c>
      <c r="B615" s="151" t="s">
        <v>206</v>
      </c>
      <c r="C615" s="159">
        <v>319121026</v>
      </c>
      <c r="D615" s="160" t="s">
        <v>572</v>
      </c>
      <c r="E615" s="161">
        <f>SUMIF(Lanç!$C$3:$C$114,C615,Lanç!$F$3:$F$114)</f>
        <v>0</v>
      </c>
      <c r="F615" s="161">
        <f>SUMIF(Lanç!$C$115:$C$6504,C615,Lanç!$F$115:$F$6504)</f>
        <v>0</v>
      </c>
      <c r="G615" s="161">
        <f>SUMIF(Lanç!$C$115:$C$6504,C615,Lanç!$G$115:$G$6504)</f>
        <v>0</v>
      </c>
      <c r="H615" s="162">
        <f t="shared" si="38"/>
        <v>0</v>
      </c>
      <c r="I615" s="162">
        <f t="shared" si="39"/>
        <v>0</v>
      </c>
    </row>
    <row r="616" spans="1:9" hidden="1">
      <c r="A616" s="151">
        <f t="shared" si="37"/>
        <v>1</v>
      </c>
      <c r="B616" s="151" t="s">
        <v>206</v>
      </c>
      <c r="C616" s="159">
        <v>319121027</v>
      </c>
      <c r="D616" s="160" t="s">
        <v>482</v>
      </c>
      <c r="E616" s="161">
        <f>SUMIF(Lanç!$C$3:$C$114,C616,Lanç!$F$3:$F$114)</f>
        <v>0</v>
      </c>
      <c r="F616" s="161">
        <f>SUMIF(Lanç!$C$115:$C$6504,C616,Lanç!$F$115:$F$6504)</f>
        <v>0</v>
      </c>
      <c r="G616" s="161">
        <f>SUMIF(Lanç!$C$115:$C$6504,C616,Lanç!$G$115:$G$6504)</f>
        <v>0</v>
      </c>
      <c r="H616" s="162">
        <f t="shared" si="38"/>
        <v>0</v>
      </c>
      <c r="I616" s="162">
        <f t="shared" si="39"/>
        <v>0</v>
      </c>
    </row>
    <row r="617" spans="1:9" hidden="1">
      <c r="A617" s="151">
        <f t="shared" si="37"/>
        <v>1</v>
      </c>
      <c r="B617" s="151" t="s">
        <v>206</v>
      </c>
      <c r="C617" s="159">
        <v>319121028</v>
      </c>
      <c r="D617" s="160" t="s">
        <v>479</v>
      </c>
      <c r="E617" s="161">
        <f>SUMIF(Lanç!$C$3:$C$114,C617,Lanç!$F$3:$F$114)</f>
        <v>0</v>
      </c>
      <c r="F617" s="161">
        <f>SUMIF(Lanç!$C$115:$C$6504,C617,Lanç!$F$115:$F$6504)</f>
        <v>0</v>
      </c>
      <c r="G617" s="161">
        <f>SUMIF(Lanç!$C$115:$C$6504,C617,Lanç!$G$115:$G$6504)</f>
        <v>0</v>
      </c>
      <c r="H617" s="162">
        <f t="shared" si="38"/>
        <v>0</v>
      </c>
      <c r="I617" s="162">
        <f t="shared" si="39"/>
        <v>0</v>
      </c>
    </row>
    <row r="618" spans="1:9" hidden="1">
      <c r="A618" s="151">
        <f t="shared" si="37"/>
        <v>1</v>
      </c>
      <c r="B618" s="151" t="s">
        <v>206</v>
      </c>
      <c r="C618" s="159">
        <v>319121029</v>
      </c>
      <c r="D618" s="160" t="s">
        <v>573</v>
      </c>
      <c r="E618" s="161">
        <f>SUMIF(Lanç!$C$3:$C$114,C618,Lanç!$F$3:$F$114)</f>
        <v>0</v>
      </c>
      <c r="F618" s="161">
        <f>SUMIF(Lanç!$C$115:$C$6504,C618,Lanç!$F$115:$F$6504)</f>
        <v>0</v>
      </c>
      <c r="G618" s="161">
        <f>SUMIF(Lanç!$C$115:$C$6504,C618,Lanç!$G$115:$G$6504)</f>
        <v>0</v>
      </c>
      <c r="H618" s="162">
        <f t="shared" si="38"/>
        <v>0</v>
      </c>
      <c r="I618" s="162">
        <f t="shared" si="39"/>
        <v>0</v>
      </c>
    </row>
    <row r="619" spans="1:9" hidden="1">
      <c r="A619" s="151">
        <f t="shared" si="37"/>
        <v>1</v>
      </c>
      <c r="B619" s="151" t="s">
        <v>206</v>
      </c>
      <c r="C619" s="159">
        <v>319121030</v>
      </c>
      <c r="D619" s="160" t="s">
        <v>574</v>
      </c>
      <c r="E619" s="161">
        <f>SUMIF(Lanç!$C$3:$C$114,C619,Lanç!$F$3:$F$114)</f>
        <v>0</v>
      </c>
      <c r="F619" s="161">
        <f>SUMIF(Lanç!$C$115:$C$6504,C619,Lanç!$F$115:$F$6504)</f>
        <v>0</v>
      </c>
      <c r="G619" s="161">
        <f>SUMIF(Lanç!$C$115:$C$6504,C619,Lanç!$G$115:$G$6504)</f>
        <v>0</v>
      </c>
      <c r="H619" s="162">
        <f t="shared" si="38"/>
        <v>0</v>
      </c>
      <c r="I619" s="162">
        <f t="shared" si="39"/>
        <v>0</v>
      </c>
    </row>
    <row r="620" spans="1:9" hidden="1">
      <c r="A620" s="151">
        <f t="shared" si="37"/>
        <v>1</v>
      </c>
      <c r="B620" s="151" t="s">
        <v>206</v>
      </c>
      <c r="C620" s="159">
        <v>319121031</v>
      </c>
      <c r="D620" s="160" t="s">
        <v>575</v>
      </c>
      <c r="E620" s="161">
        <f>SUMIF(Lanç!$C$3:$C$114,C620,Lanç!$F$3:$F$114)</f>
        <v>0</v>
      </c>
      <c r="F620" s="161">
        <f>SUMIF(Lanç!$C$115:$C$6504,C620,Lanç!$F$115:$F$6504)</f>
        <v>0</v>
      </c>
      <c r="G620" s="161">
        <f>SUMIF(Lanç!$C$115:$C$6504,C620,Lanç!$G$115:$G$6504)</f>
        <v>0</v>
      </c>
      <c r="H620" s="162">
        <f t="shared" si="38"/>
        <v>0</v>
      </c>
      <c r="I620" s="162">
        <f t="shared" si="39"/>
        <v>0</v>
      </c>
    </row>
    <row r="621" spans="1:9" hidden="1">
      <c r="A621" s="151">
        <f t="shared" si="37"/>
        <v>1</v>
      </c>
      <c r="B621" s="151" t="s">
        <v>206</v>
      </c>
      <c r="C621" s="159">
        <v>319121032</v>
      </c>
      <c r="D621" s="160" t="s">
        <v>576</v>
      </c>
      <c r="E621" s="161">
        <f>SUMIF(Lanç!$C$3:$C$114,C621,Lanç!$F$3:$F$114)</f>
        <v>0</v>
      </c>
      <c r="F621" s="161">
        <f>SUMIF(Lanç!$C$115:$C$6504,C621,Lanç!$F$115:$F$6504)</f>
        <v>0</v>
      </c>
      <c r="G621" s="161">
        <f>SUMIF(Lanç!$C$115:$C$6504,C621,Lanç!$G$115:$G$6504)</f>
        <v>0</v>
      </c>
      <c r="H621" s="162">
        <f t="shared" si="38"/>
        <v>0</v>
      </c>
      <c r="I621" s="162">
        <f t="shared" si="39"/>
        <v>0</v>
      </c>
    </row>
    <row r="622" spans="1:9" hidden="1">
      <c r="A622" s="151">
        <f t="shared" si="37"/>
        <v>1</v>
      </c>
      <c r="B622" s="151" t="s">
        <v>206</v>
      </c>
      <c r="C622" s="159">
        <v>319121033</v>
      </c>
      <c r="D622" s="160" t="s">
        <v>577</v>
      </c>
      <c r="E622" s="161">
        <f>SUMIF(Lanç!$C$3:$C$114,C622,Lanç!$F$3:$F$114)</f>
        <v>0</v>
      </c>
      <c r="F622" s="161">
        <f>SUMIF(Lanç!$C$115:$C$6504,C622,Lanç!$F$115:$F$6504)</f>
        <v>0</v>
      </c>
      <c r="G622" s="161">
        <f>SUMIF(Lanç!$C$115:$C$6504,C622,Lanç!$G$115:$G$6504)</f>
        <v>0</v>
      </c>
      <c r="H622" s="162">
        <f t="shared" si="38"/>
        <v>0</v>
      </c>
      <c r="I622" s="162">
        <f t="shared" si="39"/>
        <v>0</v>
      </c>
    </row>
    <row r="623" spans="1:9" hidden="1">
      <c r="A623" s="151">
        <f t="shared" si="37"/>
        <v>1</v>
      </c>
      <c r="B623" s="151" t="s">
        <v>206</v>
      </c>
      <c r="C623" s="159">
        <v>319121034</v>
      </c>
      <c r="D623" s="160" t="s">
        <v>578</v>
      </c>
      <c r="E623" s="161">
        <f>SUMIF(Lanç!$C$3:$C$114,C623,Lanç!$F$3:$F$114)</f>
        <v>0</v>
      </c>
      <c r="F623" s="161">
        <f>SUMIF(Lanç!$C$115:$C$6504,C623,Lanç!$F$115:$F$6504)</f>
        <v>0</v>
      </c>
      <c r="G623" s="161">
        <f>SUMIF(Lanç!$C$115:$C$6504,C623,Lanç!$G$115:$G$6504)</f>
        <v>0</v>
      </c>
      <c r="H623" s="162">
        <f t="shared" si="38"/>
        <v>0</v>
      </c>
      <c r="I623" s="162">
        <f t="shared" si="39"/>
        <v>0</v>
      </c>
    </row>
    <row r="624" spans="1:9" hidden="1">
      <c r="A624" s="151">
        <f t="shared" si="37"/>
        <v>1</v>
      </c>
      <c r="B624" s="151" t="s">
        <v>206</v>
      </c>
      <c r="C624" s="159">
        <v>319121036</v>
      </c>
      <c r="D624" s="160" t="s">
        <v>579</v>
      </c>
      <c r="E624" s="161">
        <f>SUMIF(Lanç!$C$3:$C$114,C624,Lanç!$F$3:$F$114)</f>
        <v>0</v>
      </c>
      <c r="F624" s="161">
        <f>SUMIF(Lanç!$C$115:$C$6504,C624,Lanç!$F$115:$F$6504)</f>
        <v>0</v>
      </c>
      <c r="G624" s="161">
        <f>SUMIF(Lanç!$C$115:$C$6504,C624,Lanç!$G$115:$G$6504)</f>
        <v>0</v>
      </c>
      <c r="H624" s="162">
        <f t="shared" si="38"/>
        <v>0</v>
      </c>
      <c r="I624" s="162">
        <f t="shared" si="39"/>
        <v>0</v>
      </c>
    </row>
    <row r="625" spans="1:9" hidden="1">
      <c r="A625" s="151">
        <f t="shared" si="37"/>
        <v>1</v>
      </c>
      <c r="B625" s="151" t="s">
        <v>206</v>
      </c>
      <c r="C625" s="159">
        <v>319121037</v>
      </c>
      <c r="D625" s="160" t="s">
        <v>580</v>
      </c>
      <c r="E625" s="161">
        <f>SUMIF(Lanç!$C$3:$C$114,C625,Lanç!$F$3:$F$114)</f>
        <v>0</v>
      </c>
      <c r="F625" s="161">
        <f>SUMIF(Lanç!$C$115:$C$6504,C625,Lanç!$F$115:$F$6504)</f>
        <v>0</v>
      </c>
      <c r="G625" s="161">
        <f>SUMIF(Lanç!$C$115:$C$6504,C625,Lanç!$G$115:$G$6504)</f>
        <v>0</v>
      </c>
      <c r="H625" s="162">
        <f t="shared" si="38"/>
        <v>0</v>
      </c>
      <c r="I625" s="162">
        <f t="shared" si="39"/>
        <v>0</v>
      </c>
    </row>
    <row r="626" spans="1:9" hidden="1">
      <c r="A626" s="151">
        <f t="shared" si="37"/>
        <v>1</v>
      </c>
      <c r="B626" s="151" t="s">
        <v>206</v>
      </c>
      <c r="C626" s="159">
        <v>319121038</v>
      </c>
      <c r="D626" s="160" t="s">
        <v>581</v>
      </c>
      <c r="E626" s="161">
        <f>SUMIF(Lanç!$C$3:$C$114,C626,Lanç!$F$3:$F$114)</f>
        <v>0</v>
      </c>
      <c r="F626" s="161">
        <f>SUMIF(Lanç!$C$115:$C$6504,C626,Lanç!$F$115:$F$6504)</f>
        <v>0</v>
      </c>
      <c r="G626" s="161">
        <f>SUMIF(Lanç!$C$115:$C$6504,C626,Lanç!$G$115:$G$6504)</f>
        <v>0</v>
      </c>
      <c r="H626" s="162">
        <f t="shared" si="38"/>
        <v>0</v>
      </c>
      <c r="I626" s="162">
        <f t="shared" si="39"/>
        <v>0</v>
      </c>
    </row>
    <row r="627" spans="1:9" hidden="1">
      <c r="A627" s="151">
        <f t="shared" si="37"/>
        <v>1</v>
      </c>
      <c r="B627" s="151" t="s">
        <v>206</v>
      </c>
      <c r="C627" s="159">
        <v>319121039</v>
      </c>
      <c r="D627" s="160" t="s">
        <v>582</v>
      </c>
      <c r="E627" s="161">
        <f>SUMIF(Lanç!$C$3:$C$114,C627,Lanç!$F$3:$F$114)</f>
        <v>0</v>
      </c>
      <c r="F627" s="161">
        <f>SUMIF(Lanç!$C$115:$C$6504,C627,Lanç!$F$115:$F$6504)</f>
        <v>0</v>
      </c>
      <c r="G627" s="161">
        <f>SUMIF(Lanç!$C$115:$C$6504,C627,Lanç!$G$115:$G$6504)</f>
        <v>0</v>
      </c>
      <c r="H627" s="162">
        <f t="shared" si="38"/>
        <v>0</v>
      </c>
      <c r="I627" s="162">
        <f t="shared" si="39"/>
        <v>0</v>
      </c>
    </row>
    <row r="628" spans="1:9" hidden="1">
      <c r="A628" s="151">
        <f t="shared" si="37"/>
        <v>1</v>
      </c>
      <c r="B628" s="151" t="s">
        <v>206</v>
      </c>
      <c r="C628" s="159">
        <v>319121040</v>
      </c>
      <c r="D628" s="160" t="s">
        <v>583</v>
      </c>
      <c r="E628" s="161">
        <f>SUMIF(Lanç!$C$3:$C$114,C628,Lanç!$F$3:$F$114)</f>
        <v>0</v>
      </c>
      <c r="F628" s="161">
        <f>SUMIF(Lanç!$C$115:$C$6504,C628,Lanç!$F$115:$F$6504)</f>
        <v>0</v>
      </c>
      <c r="G628" s="161">
        <f>SUMIF(Lanç!$C$115:$C$6504,C628,Lanç!$G$115:$G$6504)</f>
        <v>0</v>
      </c>
      <c r="H628" s="162">
        <f t="shared" si="38"/>
        <v>0</v>
      </c>
      <c r="I628" s="162">
        <f t="shared" si="39"/>
        <v>0</v>
      </c>
    </row>
    <row r="629" spans="1:9" hidden="1">
      <c r="A629" s="151">
        <f t="shared" si="37"/>
        <v>1</v>
      </c>
      <c r="B629" s="151" t="s">
        <v>206</v>
      </c>
      <c r="C629" s="159">
        <v>319121041</v>
      </c>
      <c r="D629" s="160" t="s">
        <v>584</v>
      </c>
      <c r="E629" s="161">
        <f>SUMIF(Lanç!$C$3:$C$114,C629,Lanç!$F$3:$F$114)</f>
        <v>0</v>
      </c>
      <c r="F629" s="161">
        <f>SUMIF(Lanç!$C$115:$C$6504,C629,Lanç!$F$115:$F$6504)</f>
        <v>0</v>
      </c>
      <c r="G629" s="161">
        <f>SUMIF(Lanç!$C$115:$C$6504,C629,Lanç!$G$115:$G$6504)</f>
        <v>0</v>
      </c>
      <c r="H629" s="162">
        <f t="shared" si="38"/>
        <v>0</v>
      </c>
      <c r="I629" s="162">
        <f t="shared" si="39"/>
        <v>0</v>
      </c>
    </row>
    <row r="630" spans="1:9" hidden="1">
      <c r="A630" s="151">
        <f t="shared" si="37"/>
        <v>1</v>
      </c>
      <c r="B630" s="151" t="s">
        <v>206</v>
      </c>
      <c r="C630" s="159">
        <v>319121042</v>
      </c>
      <c r="D630" s="160" t="s">
        <v>585</v>
      </c>
      <c r="E630" s="161">
        <f>SUMIF(Lanç!$C$3:$C$114,C630,Lanç!$F$3:$F$114)</f>
        <v>0</v>
      </c>
      <c r="F630" s="161">
        <f>SUMIF(Lanç!$C$115:$C$6504,C630,Lanç!$F$115:$F$6504)</f>
        <v>0</v>
      </c>
      <c r="G630" s="161">
        <f>SUMIF(Lanç!$C$115:$C$6504,C630,Lanç!$G$115:$G$6504)</f>
        <v>0</v>
      </c>
      <c r="H630" s="162">
        <f t="shared" si="38"/>
        <v>0</v>
      </c>
      <c r="I630" s="162">
        <f t="shared" si="39"/>
        <v>0</v>
      </c>
    </row>
    <row r="631" spans="1:9" hidden="1">
      <c r="A631" s="151">
        <f t="shared" si="37"/>
        <v>1</v>
      </c>
      <c r="B631" s="151" t="s">
        <v>206</v>
      </c>
      <c r="C631" s="159">
        <v>319121044</v>
      </c>
      <c r="D631" s="160" t="s">
        <v>586</v>
      </c>
      <c r="E631" s="161">
        <f>SUMIF(Lanç!$C$3:$C$114,C631,Lanç!$F$3:$F$114)</f>
        <v>0</v>
      </c>
      <c r="F631" s="161">
        <f>SUMIF(Lanç!$C$115:$C$6504,C631,Lanç!$F$115:$F$6504)</f>
        <v>0</v>
      </c>
      <c r="G631" s="161">
        <f>SUMIF(Lanç!$C$115:$C$6504,C631,Lanç!$G$115:$G$6504)</f>
        <v>0</v>
      </c>
      <c r="H631" s="162">
        <f t="shared" si="38"/>
        <v>0</v>
      </c>
      <c r="I631" s="162">
        <f t="shared" si="39"/>
        <v>0</v>
      </c>
    </row>
    <row r="632" spans="1:9" hidden="1">
      <c r="A632" s="151">
        <f t="shared" si="37"/>
        <v>1</v>
      </c>
      <c r="B632" s="151" t="s">
        <v>206</v>
      </c>
      <c r="C632" s="159">
        <v>319121046</v>
      </c>
      <c r="D632" s="160" t="s">
        <v>587</v>
      </c>
      <c r="E632" s="161">
        <f>SUMIF(Lanç!$C$3:$C$114,C632,Lanç!$F$3:$F$114)</f>
        <v>0</v>
      </c>
      <c r="F632" s="161">
        <f>SUMIF(Lanç!$C$115:$C$6504,C632,Lanç!$F$115:$F$6504)</f>
        <v>0</v>
      </c>
      <c r="G632" s="161">
        <f>SUMIF(Lanç!$C$115:$C$6504,C632,Lanç!$G$115:$G$6504)</f>
        <v>0</v>
      </c>
      <c r="H632" s="162">
        <f t="shared" si="38"/>
        <v>0</v>
      </c>
      <c r="I632" s="162">
        <f t="shared" si="39"/>
        <v>0</v>
      </c>
    </row>
    <row r="633" spans="1:9" hidden="1">
      <c r="A633" s="151">
        <f t="shared" si="37"/>
        <v>1</v>
      </c>
      <c r="B633" s="151" t="s">
        <v>206</v>
      </c>
      <c r="C633" s="159">
        <v>319121048</v>
      </c>
      <c r="D633" s="160" t="s">
        <v>588</v>
      </c>
      <c r="E633" s="161">
        <f>SUMIF(Lanç!$C$3:$C$114,C633,Lanç!$F$3:$F$114)</f>
        <v>0</v>
      </c>
      <c r="F633" s="161">
        <f>SUMIF(Lanç!$C$115:$C$6504,C633,Lanç!$F$115:$F$6504)</f>
        <v>0</v>
      </c>
      <c r="G633" s="161">
        <f>SUMIF(Lanç!$C$115:$C$6504,C633,Lanç!$G$115:$G$6504)</f>
        <v>0</v>
      </c>
      <c r="H633" s="162">
        <f t="shared" si="38"/>
        <v>0</v>
      </c>
      <c r="I633" s="162">
        <f t="shared" si="39"/>
        <v>0</v>
      </c>
    </row>
    <row r="634" spans="1:9" hidden="1">
      <c r="A634" s="151">
        <f t="shared" si="37"/>
        <v>1</v>
      </c>
      <c r="B634" s="151" t="s">
        <v>206</v>
      </c>
      <c r="C634" s="159">
        <v>319121049</v>
      </c>
      <c r="D634" s="160" t="s">
        <v>589</v>
      </c>
      <c r="E634" s="161">
        <f>SUMIF(Lanç!$C$3:$C$114,C634,Lanç!$F$3:$F$114)</f>
        <v>0</v>
      </c>
      <c r="F634" s="161">
        <f>SUMIF(Lanç!$C$115:$C$6504,C634,Lanç!$F$115:$F$6504)</f>
        <v>0</v>
      </c>
      <c r="G634" s="161">
        <f>SUMIF(Lanç!$C$115:$C$6504,C634,Lanç!$G$115:$G$6504)</f>
        <v>0</v>
      </c>
      <c r="H634" s="162">
        <f t="shared" si="38"/>
        <v>0</v>
      </c>
      <c r="I634" s="162">
        <f t="shared" si="39"/>
        <v>0</v>
      </c>
    </row>
    <row r="635" spans="1:9" hidden="1">
      <c r="A635" s="151">
        <f t="shared" si="37"/>
        <v>1</v>
      </c>
      <c r="B635" s="151" t="s">
        <v>206</v>
      </c>
      <c r="C635" s="159">
        <v>319121050</v>
      </c>
      <c r="D635" s="160" t="s">
        <v>590</v>
      </c>
      <c r="E635" s="161">
        <f>SUMIF(Lanç!$C$3:$C$114,C635,Lanç!$F$3:$F$114)</f>
        <v>0</v>
      </c>
      <c r="F635" s="161">
        <f>SUMIF(Lanç!$C$115:$C$6504,C635,Lanç!$F$115:$F$6504)</f>
        <v>0</v>
      </c>
      <c r="G635" s="161">
        <f>SUMIF(Lanç!$C$115:$C$6504,C635,Lanç!$G$115:$G$6504)</f>
        <v>0</v>
      </c>
      <c r="H635" s="162">
        <f t="shared" si="38"/>
        <v>0</v>
      </c>
      <c r="I635" s="162">
        <f t="shared" si="39"/>
        <v>0</v>
      </c>
    </row>
    <row r="636" spans="1:9" hidden="1">
      <c r="A636" s="151">
        <f t="shared" si="37"/>
        <v>1</v>
      </c>
      <c r="B636" s="151" t="s">
        <v>206</v>
      </c>
      <c r="C636" s="159">
        <v>319121051</v>
      </c>
      <c r="D636" s="160" t="s">
        <v>591</v>
      </c>
      <c r="E636" s="161">
        <f>SUMIF(Lanç!$C$3:$C$114,C636,Lanç!$F$3:$F$114)</f>
        <v>0</v>
      </c>
      <c r="F636" s="161">
        <f>SUMIF(Lanç!$C$115:$C$6504,C636,Lanç!$F$115:$F$6504)</f>
        <v>0</v>
      </c>
      <c r="G636" s="161">
        <f>SUMIF(Lanç!$C$115:$C$6504,C636,Lanç!$G$115:$G$6504)</f>
        <v>0</v>
      </c>
      <c r="H636" s="162">
        <f t="shared" si="38"/>
        <v>0</v>
      </c>
      <c r="I636" s="162">
        <f t="shared" si="39"/>
        <v>0</v>
      </c>
    </row>
    <row r="637" spans="1:9" hidden="1">
      <c r="A637" s="151">
        <f t="shared" si="37"/>
        <v>1</v>
      </c>
      <c r="B637" s="151" t="s">
        <v>206</v>
      </c>
      <c r="C637" s="159">
        <v>319121052</v>
      </c>
      <c r="D637" s="160" t="s">
        <v>592</v>
      </c>
      <c r="E637" s="161">
        <f>SUMIF(Lanç!$C$3:$C$114,C637,Lanç!$F$3:$F$114)</f>
        <v>0</v>
      </c>
      <c r="F637" s="161">
        <f>SUMIF(Lanç!$C$115:$C$6504,C637,Lanç!$F$115:$F$6504)</f>
        <v>0</v>
      </c>
      <c r="G637" s="161">
        <f>SUMIF(Lanç!$C$115:$C$6504,C637,Lanç!$G$115:$G$6504)</f>
        <v>0</v>
      </c>
      <c r="H637" s="162">
        <f t="shared" si="38"/>
        <v>0</v>
      </c>
      <c r="I637" s="162">
        <f t="shared" si="39"/>
        <v>0</v>
      </c>
    </row>
    <row r="638" spans="1:9" hidden="1">
      <c r="A638" s="151">
        <f t="shared" si="37"/>
        <v>1</v>
      </c>
      <c r="B638" s="151" t="s">
        <v>206</v>
      </c>
      <c r="C638" s="159">
        <v>319121053</v>
      </c>
      <c r="D638" s="160" t="s">
        <v>593</v>
      </c>
      <c r="E638" s="161">
        <f>SUMIF(Lanç!$C$3:$C$114,C638,Lanç!$F$3:$F$114)</f>
        <v>0</v>
      </c>
      <c r="F638" s="161">
        <f>SUMIF(Lanç!$C$115:$C$6504,C638,Lanç!$F$115:$F$6504)</f>
        <v>0</v>
      </c>
      <c r="G638" s="161">
        <f>SUMIF(Lanç!$C$115:$C$6504,C638,Lanç!$G$115:$G$6504)</f>
        <v>0</v>
      </c>
      <c r="H638" s="162">
        <f t="shared" si="38"/>
        <v>0</v>
      </c>
      <c r="I638" s="162">
        <f t="shared" si="39"/>
        <v>0</v>
      </c>
    </row>
    <row r="639" spans="1:9" hidden="1">
      <c r="A639" s="151">
        <f t="shared" si="37"/>
        <v>1</v>
      </c>
      <c r="B639" s="151" t="s">
        <v>206</v>
      </c>
      <c r="C639" s="159">
        <v>319121054</v>
      </c>
      <c r="D639" s="160" t="s">
        <v>484</v>
      </c>
      <c r="E639" s="161">
        <f>SUMIF(Lanç!$C$3:$C$114,C639,Lanç!$F$3:$F$114)</f>
        <v>0</v>
      </c>
      <c r="F639" s="161">
        <f>SUMIF(Lanç!$C$115:$C$6504,C639,Lanç!$F$115:$F$6504)</f>
        <v>0</v>
      </c>
      <c r="G639" s="161">
        <f>SUMIF(Lanç!$C$115:$C$6504,C639,Lanç!$G$115:$G$6504)</f>
        <v>0</v>
      </c>
      <c r="H639" s="162">
        <f t="shared" si="38"/>
        <v>0</v>
      </c>
      <c r="I639" s="162">
        <f t="shared" si="39"/>
        <v>0</v>
      </c>
    </row>
    <row r="640" spans="1:9" hidden="1">
      <c r="A640" s="151">
        <f t="shared" si="37"/>
        <v>1</v>
      </c>
      <c r="B640" s="151" t="s">
        <v>206</v>
      </c>
      <c r="C640" s="159">
        <v>319121055</v>
      </c>
      <c r="D640" s="160" t="s">
        <v>594</v>
      </c>
      <c r="E640" s="161">
        <f>SUMIF(Lanç!$C$3:$C$114,C640,Lanç!$F$3:$F$114)</f>
        <v>0</v>
      </c>
      <c r="F640" s="161">
        <f>SUMIF(Lanç!$C$115:$C$6504,C640,Lanç!$F$115:$F$6504)</f>
        <v>0</v>
      </c>
      <c r="G640" s="161">
        <f>SUMIF(Lanç!$C$115:$C$6504,C640,Lanç!$G$115:$G$6504)</f>
        <v>0</v>
      </c>
      <c r="H640" s="162">
        <f t="shared" si="38"/>
        <v>0</v>
      </c>
      <c r="I640" s="162">
        <f t="shared" si="39"/>
        <v>0</v>
      </c>
    </row>
    <row r="641" spans="1:9" hidden="1">
      <c r="A641" s="151">
        <f t="shared" si="37"/>
        <v>1</v>
      </c>
      <c r="B641" s="151" t="s">
        <v>206</v>
      </c>
      <c r="C641" s="159">
        <v>319121056</v>
      </c>
      <c r="D641" s="160" t="s">
        <v>595</v>
      </c>
      <c r="E641" s="161">
        <f>SUMIF(Lanç!$C$3:$C$114,C641,Lanç!$F$3:$F$114)</f>
        <v>0</v>
      </c>
      <c r="F641" s="161">
        <f>SUMIF(Lanç!$C$115:$C$6504,C641,Lanç!$F$115:$F$6504)</f>
        <v>0</v>
      </c>
      <c r="G641" s="161">
        <f>SUMIF(Lanç!$C$115:$C$6504,C641,Lanç!$G$115:$G$6504)</f>
        <v>0</v>
      </c>
      <c r="H641" s="162">
        <f t="shared" si="38"/>
        <v>0</v>
      </c>
      <c r="I641" s="162">
        <f t="shared" si="39"/>
        <v>0</v>
      </c>
    </row>
    <row r="642" spans="1:9" hidden="1">
      <c r="A642" s="151">
        <f t="shared" si="37"/>
        <v>1</v>
      </c>
      <c r="B642" s="151" t="s">
        <v>206</v>
      </c>
      <c r="C642" s="159">
        <v>319121058</v>
      </c>
      <c r="D642" s="160" t="s">
        <v>487</v>
      </c>
      <c r="E642" s="161">
        <f>SUMIF(Lanç!$C$3:$C$114,C642,Lanç!$F$3:$F$114)</f>
        <v>0</v>
      </c>
      <c r="F642" s="161">
        <f>SUMIF(Lanç!$C$115:$C$6504,C642,Lanç!$F$115:$F$6504)</f>
        <v>0</v>
      </c>
      <c r="G642" s="161">
        <f>SUMIF(Lanç!$C$115:$C$6504,C642,Lanç!$G$115:$G$6504)</f>
        <v>0</v>
      </c>
      <c r="H642" s="162">
        <f t="shared" si="38"/>
        <v>0</v>
      </c>
      <c r="I642" s="162">
        <f t="shared" si="39"/>
        <v>0</v>
      </c>
    </row>
    <row r="643" spans="1:9" hidden="1">
      <c r="A643" s="151">
        <f t="shared" si="37"/>
        <v>1</v>
      </c>
      <c r="B643" s="151" t="s">
        <v>206</v>
      </c>
      <c r="C643" s="159">
        <v>319121059</v>
      </c>
      <c r="D643" s="160" t="s">
        <v>488</v>
      </c>
      <c r="E643" s="161">
        <f>SUMIF(Lanç!$C$3:$C$114,C643,Lanç!$F$3:$F$114)</f>
        <v>0</v>
      </c>
      <c r="F643" s="161">
        <f>SUMIF(Lanç!$C$115:$C$6504,C643,Lanç!$F$115:$F$6504)</f>
        <v>0</v>
      </c>
      <c r="G643" s="161">
        <f>SUMIF(Lanç!$C$115:$C$6504,C643,Lanç!$G$115:$G$6504)</f>
        <v>0</v>
      </c>
      <c r="H643" s="162">
        <f t="shared" si="38"/>
        <v>0</v>
      </c>
      <c r="I643" s="162">
        <f t="shared" si="39"/>
        <v>0</v>
      </c>
    </row>
    <row r="644" spans="1:9" hidden="1">
      <c r="A644" s="151">
        <f t="shared" si="37"/>
        <v>1</v>
      </c>
      <c r="B644" s="151" t="s">
        <v>206</v>
      </c>
      <c r="C644" s="159">
        <v>319121060</v>
      </c>
      <c r="D644" s="160" t="s">
        <v>489</v>
      </c>
      <c r="E644" s="161">
        <f>SUMIF(Lanç!$C$3:$C$114,C644,Lanç!$F$3:$F$114)</f>
        <v>0</v>
      </c>
      <c r="F644" s="161">
        <f>SUMIF(Lanç!$C$115:$C$6504,C644,Lanç!$F$115:$F$6504)</f>
        <v>0</v>
      </c>
      <c r="G644" s="161">
        <f>SUMIF(Lanç!$C$115:$C$6504,C644,Lanç!$G$115:$G$6504)</f>
        <v>0</v>
      </c>
      <c r="H644" s="162">
        <f t="shared" si="38"/>
        <v>0</v>
      </c>
      <c r="I644" s="162">
        <f t="shared" si="39"/>
        <v>0</v>
      </c>
    </row>
    <row r="645" spans="1:9" hidden="1">
      <c r="A645" s="151">
        <f t="shared" si="37"/>
        <v>1</v>
      </c>
      <c r="B645" s="151" t="s">
        <v>206</v>
      </c>
      <c r="C645" s="159">
        <v>319121061</v>
      </c>
      <c r="D645" s="160" t="s">
        <v>490</v>
      </c>
      <c r="E645" s="161">
        <f>SUMIF(Lanç!$C$3:$C$114,C645,Lanç!$F$3:$F$114)</f>
        <v>0</v>
      </c>
      <c r="F645" s="161">
        <f>SUMIF(Lanç!$C$115:$C$6504,C645,Lanç!$F$115:$F$6504)</f>
        <v>0</v>
      </c>
      <c r="G645" s="161">
        <f>SUMIF(Lanç!$C$115:$C$6504,C645,Lanç!$G$115:$G$6504)</f>
        <v>0</v>
      </c>
      <c r="H645" s="162">
        <f t="shared" si="38"/>
        <v>0</v>
      </c>
      <c r="I645" s="162">
        <f t="shared" si="39"/>
        <v>0</v>
      </c>
    </row>
    <row r="646" spans="1:9" hidden="1">
      <c r="A646" s="151">
        <f t="shared" si="37"/>
        <v>1</v>
      </c>
      <c r="B646" s="151" t="s">
        <v>206</v>
      </c>
      <c r="C646" s="159">
        <v>319121062</v>
      </c>
      <c r="D646" s="160" t="s">
        <v>491</v>
      </c>
      <c r="E646" s="161">
        <f>SUMIF(Lanç!$C$3:$C$114,C646,Lanç!$F$3:$F$114)</f>
        <v>0</v>
      </c>
      <c r="F646" s="161">
        <f>SUMIF(Lanç!$C$115:$C$6504,C646,Lanç!$F$115:$F$6504)</f>
        <v>0</v>
      </c>
      <c r="G646" s="161">
        <f>SUMIF(Lanç!$C$115:$C$6504,C646,Lanç!$G$115:$G$6504)</f>
        <v>0</v>
      </c>
      <c r="H646" s="162">
        <f t="shared" si="38"/>
        <v>0</v>
      </c>
      <c r="I646" s="162">
        <f t="shared" si="39"/>
        <v>0</v>
      </c>
    </row>
    <row r="647" spans="1:9" hidden="1">
      <c r="A647" s="151">
        <f t="shared" si="37"/>
        <v>1</v>
      </c>
      <c r="B647" s="151" t="s">
        <v>206</v>
      </c>
      <c r="C647" s="159">
        <v>319121063</v>
      </c>
      <c r="D647" s="160" t="s">
        <v>492</v>
      </c>
      <c r="E647" s="161">
        <f>SUMIF(Lanç!$C$3:$C$114,C647,Lanç!$F$3:$F$114)</f>
        <v>0</v>
      </c>
      <c r="F647" s="161">
        <f>SUMIF(Lanç!$C$115:$C$6504,C647,Lanç!$F$115:$F$6504)</f>
        <v>0</v>
      </c>
      <c r="G647" s="161">
        <f>SUMIF(Lanç!$C$115:$C$6504,C647,Lanç!$G$115:$G$6504)</f>
        <v>0</v>
      </c>
      <c r="H647" s="162">
        <f t="shared" si="38"/>
        <v>0</v>
      </c>
      <c r="I647" s="162">
        <f t="shared" si="39"/>
        <v>0</v>
      </c>
    </row>
    <row r="648" spans="1:9" hidden="1">
      <c r="A648" s="151">
        <f t="shared" si="37"/>
        <v>1</v>
      </c>
      <c r="B648" s="151" t="s">
        <v>206</v>
      </c>
      <c r="C648" s="159">
        <v>319121064</v>
      </c>
      <c r="D648" s="160" t="s">
        <v>493</v>
      </c>
      <c r="E648" s="161">
        <f>SUMIF(Lanç!$C$3:$C$114,C648,Lanç!$F$3:$F$114)</f>
        <v>0</v>
      </c>
      <c r="F648" s="161">
        <f>SUMIF(Lanç!$C$115:$C$6504,C648,Lanç!$F$115:$F$6504)</f>
        <v>0</v>
      </c>
      <c r="G648" s="161">
        <f>SUMIF(Lanç!$C$115:$C$6504,C648,Lanç!$G$115:$G$6504)</f>
        <v>0</v>
      </c>
      <c r="H648" s="162">
        <f t="shared" si="38"/>
        <v>0</v>
      </c>
      <c r="I648" s="162">
        <f t="shared" si="39"/>
        <v>0</v>
      </c>
    </row>
    <row r="649" spans="1:9" hidden="1">
      <c r="A649" s="151">
        <f t="shared" si="37"/>
        <v>1</v>
      </c>
      <c r="B649" s="151" t="s">
        <v>206</v>
      </c>
      <c r="C649" s="159">
        <v>319121065</v>
      </c>
      <c r="D649" s="160" t="s">
        <v>494</v>
      </c>
      <c r="E649" s="161">
        <f>SUMIF(Lanç!$C$3:$C$114,C649,Lanç!$F$3:$F$114)</f>
        <v>0</v>
      </c>
      <c r="F649" s="161">
        <f>SUMIF(Lanç!$C$115:$C$6504,C649,Lanç!$F$115:$F$6504)</f>
        <v>0</v>
      </c>
      <c r="G649" s="161">
        <f>SUMIF(Lanç!$C$115:$C$6504,C649,Lanç!$G$115:$G$6504)</f>
        <v>0</v>
      </c>
      <c r="H649" s="162">
        <f t="shared" si="38"/>
        <v>0</v>
      </c>
      <c r="I649" s="162">
        <f t="shared" si="39"/>
        <v>0</v>
      </c>
    </row>
    <row r="650" spans="1:9" hidden="1">
      <c r="A650" s="151">
        <f t="shared" si="37"/>
        <v>1</v>
      </c>
      <c r="B650" s="151" t="s">
        <v>206</v>
      </c>
      <c r="C650" s="159">
        <v>319121066</v>
      </c>
      <c r="D650" s="160" t="s">
        <v>495</v>
      </c>
      <c r="E650" s="161">
        <f>SUMIF(Lanç!$C$3:$C$114,C650,Lanç!$F$3:$F$114)</f>
        <v>0</v>
      </c>
      <c r="F650" s="161">
        <f>SUMIF(Lanç!$C$115:$C$6504,C650,Lanç!$F$115:$F$6504)</f>
        <v>0</v>
      </c>
      <c r="G650" s="161">
        <f>SUMIF(Lanç!$C$115:$C$6504,C650,Lanç!$G$115:$G$6504)</f>
        <v>0</v>
      </c>
      <c r="H650" s="162">
        <f t="shared" si="38"/>
        <v>0</v>
      </c>
      <c r="I650" s="162">
        <f t="shared" si="39"/>
        <v>0</v>
      </c>
    </row>
    <row r="651" spans="1:9" hidden="1">
      <c r="A651" s="151">
        <f t="shared" si="37"/>
        <v>1</v>
      </c>
      <c r="B651" s="151" t="s">
        <v>206</v>
      </c>
      <c r="C651" s="159">
        <v>319121067</v>
      </c>
      <c r="D651" s="160" t="s">
        <v>496</v>
      </c>
      <c r="E651" s="161">
        <f>SUMIF(Lanç!$C$3:$C$114,C651,Lanç!$F$3:$F$114)</f>
        <v>0</v>
      </c>
      <c r="F651" s="161">
        <f>SUMIF(Lanç!$C$115:$C$6504,C651,Lanç!$F$115:$F$6504)</f>
        <v>0</v>
      </c>
      <c r="G651" s="161">
        <f>SUMIF(Lanç!$C$115:$C$6504,C651,Lanç!$G$115:$G$6504)</f>
        <v>0</v>
      </c>
      <c r="H651" s="162">
        <f t="shared" si="38"/>
        <v>0</v>
      </c>
      <c r="I651" s="162">
        <f t="shared" si="39"/>
        <v>0</v>
      </c>
    </row>
    <row r="652" spans="1:9" hidden="1">
      <c r="A652" s="151">
        <f t="shared" si="37"/>
        <v>1</v>
      </c>
      <c r="B652" s="151" t="s">
        <v>206</v>
      </c>
      <c r="C652" s="159">
        <v>319121068</v>
      </c>
      <c r="D652" s="160" t="s">
        <v>497</v>
      </c>
      <c r="E652" s="161">
        <f>SUMIF(Lanç!$C$3:$C$114,C652,Lanç!$F$3:$F$114)</f>
        <v>0</v>
      </c>
      <c r="F652" s="161">
        <f>SUMIF(Lanç!$C$115:$C$6504,C652,Lanç!$F$115:$F$6504)</f>
        <v>0</v>
      </c>
      <c r="G652" s="161">
        <f>SUMIF(Lanç!$C$115:$C$6504,C652,Lanç!$G$115:$G$6504)</f>
        <v>0</v>
      </c>
      <c r="H652" s="162">
        <f t="shared" si="38"/>
        <v>0</v>
      </c>
      <c r="I652" s="162">
        <f t="shared" si="39"/>
        <v>0</v>
      </c>
    </row>
    <row r="653" spans="1:9" hidden="1">
      <c r="A653" s="151">
        <f t="shared" si="37"/>
        <v>1</v>
      </c>
      <c r="B653" s="151" t="s">
        <v>206</v>
      </c>
      <c r="C653" s="159">
        <v>319121069</v>
      </c>
      <c r="D653" s="160" t="s">
        <v>498</v>
      </c>
      <c r="E653" s="161">
        <f>SUMIF(Lanç!$C$3:$C$114,C653,Lanç!$F$3:$F$114)</f>
        <v>0</v>
      </c>
      <c r="F653" s="161">
        <f>SUMIF(Lanç!$C$115:$C$6504,C653,Lanç!$F$115:$F$6504)</f>
        <v>0</v>
      </c>
      <c r="G653" s="161">
        <f>SUMIF(Lanç!$C$115:$C$6504,C653,Lanç!$G$115:$G$6504)</f>
        <v>0</v>
      </c>
      <c r="H653" s="162">
        <f t="shared" si="38"/>
        <v>0</v>
      </c>
      <c r="I653" s="162">
        <f t="shared" si="39"/>
        <v>0</v>
      </c>
    </row>
    <row r="654" spans="1:9" hidden="1">
      <c r="A654" s="151">
        <f t="shared" si="37"/>
        <v>1</v>
      </c>
      <c r="B654" s="151" t="s">
        <v>206</v>
      </c>
      <c r="C654" s="159">
        <v>319121070</v>
      </c>
      <c r="D654" s="160" t="s">
        <v>499</v>
      </c>
      <c r="E654" s="161">
        <f>SUMIF(Lanç!$C$3:$C$114,C654,Lanç!$F$3:$F$114)</f>
        <v>0</v>
      </c>
      <c r="F654" s="161">
        <f>SUMIF(Lanç!$C$115:$C$6504,C654,Lanç!$F$115:$F$6504)</f>
        <v>0</v>
      </c>
      <c r="G654" s="161">
        <f>SUMIF(Lanç!$C$115:$C$6504,C654,Lanç!$G$115:$G$6504)</f>
        <v>0</v>
      </c>
      <c r="H654" s="162">
        <f t="shared" si="38"/>
        <v>0</v>
      </c>
      <c r="I654" s="162">
        <f t="shared" si="39"/>
        <v>0</v>
      </c>
    </row>
    <row r="655" spans="1:9" hidden="1">
      <c r="A655" s="151">
        <f t="shared" si="37"/>
        <v>1</v>
      </c>
      <c r="B655" s="151" t="s">
        <v>206</v>
      </c>
      <c r="C655" s="159">
        <v>319121071</v>
      </c>
      <c r="D655" s="160" t="s">
        <v>500</v>
      </c>
      <c r="E655" s="161">
        <f>SUMIF(Lanç!$C$3:$C$114,C655,Lanç!$F$3:$F$114)</f>
        <v>0</v>
      </c>
      <c r="F655" s="161">
        <f>SUMIF(Lanç!$C$115:$C$6504,C655,Lanç!$F$115:$F$6504)</f>
        <v>0</v>
      </c>
      <c r="G655" s="161">
        <f>SUMIF(Lanç!$C$115:$C$6504,C655,Lanç!$G$115:$G$6504)</f>
        <v>0</v>
      </c>
      <c r="H655" s="162">
        <f t="shared" si="38"/>
        <v>0</v>
      </c>
      <c r="I655" s="162">
        <f t="shared" si="39"/>
        <v>0</v>
      </c>
    </row>
    <row r="656" spans="1:9" hidden="1">
      <c r="A656" s="151">
        <f t="shared" si="37"/>
        <v>1</v>
      </c>
      <c r="B656" s="151" t="s">
        <v>206</v>
      </c>
      <c r="C656" s="159">
        <v>319121072</v>
      </c>
      <c r="D656" s="160" t="s">
        <v>501</v>
      </c>
      <c r="E656" s="161">
        <f>SUMIF(Lanç!$C$3:$C$114,C656,Lanç!$F$3:$F$114)</f>
        <v>0</v>
      </c>
      <c r="F656" s="161">
        <f>SUMIF(Lanç!$C$115:$C$6504,C656,Lanç!$F$115:$F$6504)</f>
        <v>0</v>
      </c>
      <c r="G656" s="161">
        <f>SUMIF(Lanç!$C$115:$C$6504,C656,Lanç!$G$115:$G$6504)</f>
        <v>0</v>
      </c>
      <c r="H656" s="162">
        <f t="shared" si="38"/>
        <v>0</v>
      </c>
      <c r="I656" s="162">
        <f t="shared" si="39"/>
        <v>0</v>
      </c>
    </row>
    <row r="657" spans="1:9" hidden="1">
      <c r="A657" s="151">
        <f t="shared" si="37"/>
        <v>1</v>
      </c>
      <c r="B657" s="151" t="s">
        <v>206</v>
      </c>
      <c r="C657" s="159">
        <v>319121073</v>
      </c>
      <c r="D657" s="160" t="s">
        <v>502</v>
      </c>
      <c r="E657" s="161">
        <f>SUMIF(Lanç!$C$3:$C$114,C657,Lanç!$F$3:$F$114)</f>
        <v>0</v>
      </c>
      <c r="F657" s="161">
        <f>SUMIF(Lanç!$C$115:$C$6504,C657,Lanç!$F$115:$F$6504)</f>
        <v>0</v>
      </c>
      <c r="G657" s="161">
        <f>SUMIF(Lanç!$C$115:$C$6504,C657,Lanç!$G$115:$G$6504)</f>
        <v>0</v>
      </c>
      <c r="H657" s="162">
        <f t="shared" si="38"/>
        <v>0</v>
      </c>
      <c r="I657" s="162">
        <f t="shared" si="39"/>
        <v>0</v>
      </c>
    </row>
    <row r="658" spans="1:9" hidden="1">
      <c r="A658" s="151">
        <f t="shared" si="37"/>
        <v>1</v>
      </c>
      <c r="B658" s="151" t="s">
        <v>206</v>
      </c>
      <c r="C658" s="159">
        <v>319121074</v>
      </c>
      <c r="D658" s="160" t="s">
        <v>503</v>
      </c>
      <c r="E658" s="161">
        <f>SUMIF(Lanç!$C$3:$C$114,C658,Lanç!$F$3:$F$114)</f>
        <v>0</v>
      </c>
      <c r="F658" s="161">
        <f>SUMIF(Lanç!$C$115:$C$6504,C658,Lanç!$F$115:$F$6504)</f>
        <v>0</v>
      </c>
      <c r="G658" s="161">
        <f>SUMIF(Lanç!$C$115:$C$6504,C658,Lanç!$G$115:$G$6504)</f>
        <v>0</v>
      </c>
      <c r="H658" s="162">
        <f t="shared" si="38"/>
        <v>0</v>
      </c>
      <c r="I658" s="162">
        <f t="shared" si="39"/>
        <v>0</v>
      </c>
    </row>
    <row r="659" spans="1:9" hidden="1">
      <c r="A659" s="151">
        <f t="shared" ref="A659:A722" si="40">IF(E659+F659+G659+H659+I659=0,1,0)</f>
        <v>1</v>
      </c>
      <c r="B659" s="151" t="s">
        <v>206</v>
      </c>
      <c r="C659" s="159">
        <v>319121075</v>
      </c>
      <c r="D659" s="160" t="s">
        <v>504</v>
      </c>
      <c r="E659" s="161">
        <f>SUMIF(Lanç!$C$3:$C$114,C659,Lanç!$F$3:$F$114)</f>
        <v>0</v>
      </c>
      <c r="F659" s="161">
        <f>SUMIF(Lanç!$C$115:$C$6504,C659,Lanç!$F$115:$F$6504)</f>
        <v>0</v>
      </c>
      <c r="G659" s="161">
        <f>SUMIF(Lanç!$C$115:$C$6504,C659,Lanç!$G$115:$G$6504)</f>
        <v>0</v>
      </c>
      <c r="H659" s="162">
        <f t="shared" ref="H659:H722" si="41">(F659)-(G659)</f>
        <v>0</v>
      </c>
      <c r="I659" s="162">
        <f t="shared" ref="I659:I722" si="42">(E659)+(H659)</f>
        <v>0</v>
      </c>
    </row>
    <row r="660" spans="1:9" hidden="1">
      <c r="A660" s="151">
        <f t="shared" si="40"/>
        <v>1</v>
      </c>
      <c r="B660" s="151" t="s">
        <v>206</v>
      </c>
      <c r="C660" s="159">
        <v>319121076</v>
      </c>
      <c r="D660" s="160" t="s">
        <v>505</v>
      </c>
      <c r="E660" s="161">
        <f>SUMIF(Lanç!$C$3:$C$114,C660,Lanç!$F$3:$F$114)</f>
        <v>0</v>
      </c>
      <c r="F660" s="161">
        <f>SUMIF(Lanç!$C$115:$C$6504,C660,Lanç!$F$115:$F$6504)</f>
        <v>0</v>
      </c>
      <c r="G660" s="161">
        <f>SUMIF(Lanç!$C$115:$C$6504,C660,Lanç!$G$115:$G$6504)</f>
        <v>0</v>
      </c>
      <c r="H660" s="162">
        <f t="shared" si="41"/>
        <v>0</v>
      </c>
      <c r="I660" s="162">
        <f t="shared" si="42"/>
        <v>0</v>
      </c>
    </row>
    <row r="661" spans="1:9" hidden="1">
      <c r="A661" s="151">
        <f t="shared" si="40"/>
        <v>1</v>
      </c>
      <c r="B661" s="151" t="s">
        <v>206</v>
      </c>
      <c r="C661" s="159">
        <v>319121077</v>
      </c>
      <c r="D661" s="160" t="s">
        <v>506</v>
      </c>
      <c r="E661" s="161">
        <f>SUMIF(Lanç!$C$3:$C$114,C661,Lanç!$F$3:$F$114)</f>
        <v>0</v>
      </c>
      <c r="F661" s="161">
        <f>SUMIF(Lanç!$C$115:$C$6504,C661,Lanç!$F$115:$F$6504)</f>
        <v>0</v>
      </c>
      <c r="G661" s="161">
        <f>SUMIF(Lanç!$C$115:$C$6504,C661,Lanç!$G$115:$G$6504)</f>
        <v>0</v>
      </c>
      <c r="H661" s="162">
        <f t="shared" si="41"/>
        <v>0</v>
      </c>
      <c r="I661" s="162">
        <f t="shared" si="42"/>
        <v>0</v>
      </c>
    </row>
    <row r="662" spans="1:9" hidden="1">
      <c r="A662" s="151">
        <f t="shared" si="40"/>
        <v>1</v>
      </c>
      <c r="B662" s="151" t="s">
        <v>206</v>
      </c>
      <c r="C662" s="159">
        <v>319121078</v>
      </c>
      <c r="D662" s="160" t="s">
        <v>507</v>
      </c>
      <c r="E662" s="161">
        <f>SUMIF(Lanç!$C$3:$C$114,C662,Lanç!$F$3:$F$114)</f>
        <v>0</v>
      </c>
      <c r="F662" s="161">
        <f>SUMIF(Lanç!$C$115:$C$6504,C662,Lanç!$F$115:$F$6504)</f>
        <v>0</v>
      </c>
      <c r="G662" s="161">
        <f>SUMIF(Lanç!$C$115:$C$6504,C662,Lanç!$G$115:$G$6504)</f>
        <v>0</v>
      </c>
      <c r="H662" s="162">
        <f t="shared" si="41"/>
        <v>0</v>
      </c>
      <c r="I662" s="162">
        <f t="shared" si="42"/>
        <v>0</v>
      </c>
    </row>
    <row r="663" spans="1:9" hidden="1">
      <c r="A663" s="151">
        <f t="shared" si="40"/>
        <v>1</v>
      </c>
      <c r="B663" s="151" t="s">
        <v>206</v>
      </c>
      <c r="C663" s="159">
        <v>319121079</v>
      </c>
      <c r="D663" s="160" t="s">
        <v>508</v>
      </c>
      <c r="E663" s="161">
        <f>SUMIF(Lanç!$C$3:$C$114,C663,Lanç!$F$3:$F$114)</f>
        <v>0</v>
      </c>
      <c r="F663" s="161">
        <f>SUMIF(Lanç!$C$115:$C$6504,C663,Lanç!$F$115:$F$6504)</f>
        <v>0</v>
      </c>
      <c r="G663" s="161">
        <f>SUMIF(Lanç!$C$115:$C$6504,C663,Lanç!$G$115:$G$6504)</f>
        <v>0</v>
      </c>
      <c r="H663" s="162">
        <f t="shared" si="41"/>
        <v>0</v>
      </c>
      <c r="I663" s="162">
        <f t="shared" si="42"/>
        <v>0</v>
      </c>
    </row>
    <row r="664" spans="1:9" hidden="1">
      <c r="A664" s="151">
        <f t="shared" si="40"/>
        <v>1</v>
      </c>
      <c r="B664" s="151" t="s">
        <v>206</v>
      </c>
      <c r="C664" s="159">
        <v>319121080</v>
      </c>
      <c r="D664" s="160" t="s">
        <v>509</v>
      </c>
      <c r="E664" s="161">
        <f>SUMIF(Lanç!$C$3:$C$114,C664,Lanç!$F$3:$F$114)</f>
        <v>0</v>
      </c>
      <c r="F664" s="161">
        <f>SUMIF(Lanç!$C$115:$C$6504,C664,Lanç!$F$115:$F$6504)</f>
        <v>0</v>
      </c>
      <c r="G664" s="161">
        <f>SUMIF(Lanç!$C$115:$C$6504,C664,Lanç!$G$115:$G$6504)</f>
        <v>0</v>
      </c>
      <c r="H664" s="162">
        <f t="shared" si="41"/>
        <v>0</v>
      </c>
      <c r="I664" s="162">
        <f t="shared" si="42"/>
        <v>0</v>
      </c>
    </row>
    <row r="665" spans="1:9" hidden="1">
      <c r="A665" s="151">
        <f t="shared" si="40"/>
        <v>1</v>
      </c>
      <c r="B665" s="151" t="s">
        <v>206</v>
      </c>
      <c r="C665" s="159">
        <v>319121081</v>
      </c>
      <c r="D665" s="160" t="s">
        <v>510</v>
      </c>
      <c r="E665" s="161">
        <f>SUMIF(Lanç!$C$3:$C$114,C665,Lanç!$F$3:$F$114)</f>
        <v>0</v>
      </c>
      <c r="F665" s="161">
        <f>SUMIF(Lanç!$C$115:$C$6504,C665,Lanç!$F$115:$F$6504)</f>
        <v>0</v>
      </c>
      <c r="G665" s="161">
        <f>SUMIF(Lanç!$C$115:$C$6504,C665,Lanç!$G$115:$G$6504)</f>
        <v>0</v>
      </c>
      <c r="H665" s="162">
        <f t="shared" si="41"/>
        <v>0</v>
      </c>
      <c r="I665" s="162">
        <f t="shared" si="42"/>
        <v>0</v>
      </c>
    </row>
    <row r="666" spans="1:9" hidden="1">
      <c r="A666" s="151">
        <f t="shared" si="40"/>
        <v>1</v>
      </c>
      <c r="B666" s="151" t="s">
        <v>206</v>
      </c>
      <c r="C666" s="159">
        <v>319121082</v>
      </c>
      <c r="D666" s="160" t="s">
        <v>511</v>
      </c>
      <c r="E666" s="161">
        <f>SUMIF(Lanç!$C$3:$C$114,C666,Lanç!$F$3:$F$114)</f>
        <v>0</v>
      </c>
      <c r="F666" s="161">
        <f>SUMIF(Lanç!$C$115:$C$6504,C666,Lanç!$F$115:$F$6504)</f>
        <v>0</v>
      </c>
      <c r="G666" s="161">
        <f>SUMIF(Lanç!$C$115:$C$6504,C666,Lanç!$G$115:$G$6504)</f>
        <v>0</v>
      </c>
      <c r="H666" s="162">
        <f t="shared" si="41"/>
        <v>0</v>
      </c>
      <c r="I666" s="162">
        <f t="shared" si="42"/>
        <v>0</v>
      </c>
    </row>
    <row r="667" spans="1:9" hidden="1">
      <c r="A667" s="151">
        <f t="shared" si="40"/>
        <v>1</v>
      </c>
      <c r="B667" s="151" t="s">
        <v>206</v>
      </c>
      <c r="C667" s="159">
        <v>319121083</v>
      </c>
      <c r="D667" s="160" t="s">
        <v>512</v>
      </c>
      <c r="E667" s="161">
        <f>SUMIF(Lanç!$C$3:$C$114,C667,Lanç!$F$3:$F$114)</f>
        <v>0</v>
      </c>
      <c r="F667" s="161">
        <f>SUMIF(Lanç!$C$115:$C$6504,C667,Lanç!$F$115:$F$6504)</f>
        <v>0</v>
      </c>
      <c r="G667" s="161">
        <f>SUMIF(Lanç!$C$115:$C$6504,C667,Lanç!$G$115:$G$6504)</f>
        <v>0</v>
      </c>
      <c r="H667" s="162">
        <f t="shared" si="41"/>
        <v>0</v>
      </c>
      <c r="I667" s="162">
        <f t="shared" si="42"/>
        <v>0</v>
      </c>
    </row>
    <row r="668" spans="1:9" hidden="1">
      <c r="A668" s="151">
        <f t="shared" si="40"/>
        <v>1</v>
      </c>
      <c r="B668" s="151" t="s">
        <v>206</v>
      </c>
      <c r="C668" s="159">
        <v>319121084</v>
      </c>
      <c r="D668" s="160" t="s">
        <v>513</v>
      </c>
      <c r="E668" s="161">
        <f>SUMIF(Lanç!$C$3:$C$114,C668,Lanç!$F$3:$F$114)</f>
        <v>0</v>
      </c>
      <c r="F668" s="161">
        <f>SUMIF(Lanç!$C$115:$C$6504,C668,Lanç!$F$115:$F$6504)</f>
        <v>0</v>
      </c>
      <c r="G668" s="161">
        <f>SUMIF(Lanç!$C$115:$C$6504,C668,Lanç!$G$115:$G$6504)</f>
        <v>0</v>
      </c>
      <c r="H668" s="162">
        <f t="shared" si="41"/>
        <v>0</v>
      </c>
      <c r="I668" s="162">
        <f t="shared" si="42"/>
        <v>0</v>
      </c>
    </row>
    <row r="669" spans="1:9" hidden="1">
      <c r="A669" s="151">
        <f t="shared" si="40"/>
        <v>1</v>
      </c>
      <c r="B669" s="151" t="s">
        <v>206</v>
      </c>
      <c r="C669" s="159">
        <v>319121085</v>
      </c>
      <c r="D669" s="160" t="s">
        <v>514</v>
      </c>
      <c r="E669" s="161">
        <f>SUMIF(Lanç!$C$3:$C$114,C669,Lanç!$F$3:$F$114)</f>
        <v>0</v>
      </c>
      <c r="F669" s="161">
        <f>SUMIF(Lanç!$C$115:$C$6504,C669,Lanç!$F$115:$F$6504)</f>
        <v>0</v>
      </c>
      <c r="G669" s="161">
        <f>SUMIF(Lanç!$C$115:$C$6504,C669,Lanç!$G$115:$G$6504)</f>
        <v>0</v>
      </c>
      <c r="H669" s="162">
        <f t="shared" si="41"/>
        <v>0</v>
      </c>
      <c r="I669" s="162">
        <f t="shared" si="42"/>
        <v>0</v>
      </c>
    </row>
    <row r="670" spans="1:9" hidden="1">
      <c r="A670" s="151">
        <f t="shared" si="40"/>
        <v>1</v>
      </c>
      <c r="B670" s="151" t="s">
        <v>206</v>
      </c>
      <c r="C670" s="159">
        <v>319121086</v>
      </c>
      <c r="D670" s="160" t="s">
        <v>515</v>
      </c>
      <c r="E670" s="161">
        <f>SUMIF(Lanç!$C$3:$C$114,C670,Lanç!$F$3:$F$114)</f>
        <v>0</v>
      </c>
      <c r="F670" s="161">
        <f>SUMIF(Lanç!$C$115:$C$6504,C670,Lanç!$F$115:$F$6504)</f>
        <v>0</v>
      </c>
      <c r="G670" s="161">
        <f>SUMIF(Lanç!$C$115:$C$6504,C670,Lanç!$G$115:$G$6504)</f>
        <v>0</v>
      </c>
      <c r="H670" s="162">
        <f t="shared" si="41"/>
        <v>0</v>
      </c>
      <c r="I670" s="162">
        <f t="shared" si="42"/>
        <v>0</v>
      </c>
    </row>
    <row r="671" spans="1:9" hidden="1">
      <c r="A671" s="151">
        <f t="shared" si="40"/>
        <v>1</v>
      </c>
      <c r="B671" s="151" t="s">
        <v>206</v>
      </c>
      <c r="C671" s="159">
        <v>319121087</v>
      </c>
      <c r="D671" s="160" t="s">
        <v>516</v>
      </c>
      <c r="E671" s="161">
        <f>SUMIF(Lanç!$C$3:$C$114,C671,Lanç!$F$3:$F$114)</f>
        <v>0</v>
      </c>
      <c r="F671" s="161">
        <f>SUMIF(Lanç!$C$115:$C$6504,C671,Lanç!$F$115:$F$6504)</f>
        <v>0</v>
      </c>
      <c r="G671" s="161">
        <f>SUMIF(Lanç!$C$115:$C$6504,C671,Lanç!$G$115:$G$6504)</f>
        <v>0</v>
      </c>
      <c r="H671" s="162">
        <f t="shared" si="41"/>
        <v>0</v>
      </c>
      <c r="I671" s="162">
        <f t="shared" si="42"/>
        <v>0</v>
      </c>
    </row>
    <row r="672" spans="1:9" hidden="1">
      <c r="A672" s="151">
        <f t="shared" si="40"/>
        <v>1</v>
      </c>
      <c r="B672" s="151" t="s">
        <v>206</v>
      </c>
      <c r="C672" s="159">
        <v>319121088</v>
      </c>
      <c r="D672" s="160" t="s">
        <v>517</v>
      </c>
      <c r="E672" s="161">
        <f>SUMIF(Lanç!$C$3:$C$114,C672,Lanç!$F$3:$F$114)</f>
        <v>0</v>
      </c>
      <c r="F672" s="161">
        <f>SUMIF(Lanç!$C$115:$C$6504,C672,Lanç!$F$115:$F$6504)</f>
        <v>0</v>
      </c>
      <c r="G672" s="161">
        <f>SUMIF(Lanç!$C$115:$C$6504,C672,Lanç!$G$115:$G$6504)</f>
        <v>0</v>
      </c>
      <c r="H672" s="162">
        <f t="shared" si="41"/>
        <v>0</v>
      </c>
      <c r="I672" s="162">
        <f t="shared" si="42"/>
        <v>0</v>
      </c>
    </row>
    <row r="673" spans="1:14" hidden="1">
      <c r="A673" s="151">
        <f t="shared" si="40"/>
        <v>1</v>
      </c>
      <c r="B673" s="151" t="s">
        <v>206</v>
      </c>
      <c r="C673" s="159">
        <v>318121089</v>
      </c>
      <c r="D673" s="160" t="s">
        <v>518</v>
      </c>
      <c r="E673" s="161">
        <f>SUMIF(Lanç!$C$3:$C$114,C673,Lanç!$F$3:$F$114)</f>
        <v>0</v>
      </c>
      <c r="F673" s="161">
        <f>SUMIF(Lanç!$C$115:$C$6504,C673,Lanç!$F$115:$F$6504)</f>
        <v>0</v>
      </c>
      <c r="G673" s="161">
        <f>SUMIF(Lanç!$C$115:$C$6504,C673,Lanç!$G$115:$G$6504)</f>
        <v>0</v>
      </c>
      <c r="H673" s="162">
        <f t="shared" si="41"/>
        <v>0</v>
      </c>
      <c r="I673" s="162">
        <f t="shared" si="42"/>
        <v>0</v>
      </c>
    </row>
    <row r="674" spans="1:14" hidden="1">
      <c r="A674" s="151">
        <f t="shared" si="40"/>
        <v>1</v>
      </c>
      <c r="B674" s="151" t="s">
        <v>206</v>
      </c>
      <c r="C674" s="159">
        <v>319121090</v>
      </c>
      <c r="D674" s="160" t="s">
        <v>519</v>
      </c>
      <c r="E674" s="161">
        <f>SUMIF(Lanç!$C$3:$C$114,C674,Lanç!$F$3:$F$114)</f>
        <v>0</v>
      </c>
      <c r="F674" s="161">
        <f>SUMIF(Lanç!$C$115:$C$6504,C674,Lanç!$F$115:$F$6504)</f>
        <v>0</v>
      </c>
      <c r="G674" s="161">
        <f>SUMIF(Lanç!$C$115:$C$6504,C674,Lanç!$G$115:$G$6504)</f>
        <v>0</v>
      </c>
      <c r="H674" s="162">
        <f t="shared" si="41"/>
        <v>0</v>
      </c>
      <c r="I674" s="162">
        <f t="shared" si="42"/>
        <v>0</v>
      </c>
    </row>
    <row r="675" spans="1:14" hidden="1">
      <c r="A675" s="151">
        <f t="shared" si="40"/>
        <v>1</v>
      </c>
      <c r="B675" s="151" t="s">
        <v>206</v>
      </c>
      <c r="C675" s="159">
        <v>319121091</v>
      </c>
      <c r="D675" s="160" t="s">
        <v>520</v>
      </c>
      <c r="E675" s="161">
        <f>SUMIF(Lanç!$C$3:$C$114,C675,Lanç!$F$3:$F$114)</f>
        <v>0</v>
      </c>
      <c r="F675" s="161">
        <f>SUMIF(Lanç!$C$115:$C$6504,C675,Lanç!$F$115:$F$6504)</f>
        <v>0</v>
      </c>
      <c r="G675" s="161">
        <f>SUMIF(Lanç!$C$115:$C$6504,C675,Lanç!$G$115:$G$6504)</f>
        <v>0</v>
      </c>
      <c r="H675" s="162">
        <f t="shared" si="41"/>
        <v>0</v>
      </c>
      <c r="I675" s="162">
        <f t="shared" si="42"/>
        <v>0</v>
      </c>
    </row>
    <row r="676" spans="1:14" hidden="1">
      <c r="A676" s="151">
        <f t="shared" si="40"/>
        <v>1</v>
      </c>
      <c r="B676" s="151" t="s">
        <v>206</v>
      </c>
      <c r="C676" s="159">
        <v>319121092</v>
      </c>
      <c r="D676" s="160" t="s">
        <v>521</v>
      </c>
      <c r="E676" s="161">
        <f>SUMIF(Lanç!$C$3:$C$114,C676,Lanç!$F$3:$F$114)</f>
        <v>0</v>
      </c>
      <c r="F676" s="161">
        <f>SUMIF(Lanç!$C$115:$C$6504,C676,Lanç!$F$115:$F$6504)</f>
        <v>0</v>
      </c>
      <c r="G676" s="161">
        <f>SUMIF(Lanç!$C$115:$C$6504,C676,Lanç!$G$115:$G$6504)</f>
        <v>0</v>
      </c>
      <c r="H676" s="162">
        <f t="shared" si="41"/>
        <v>0</v>
      </c>
      <c r="I676" s="162">
        <f t="shared" si="42"/>
        <v>0</v>
      </c>
    </row>
    <row r="677" spans="1:14" hidden="1">
      <c r="A677" s="151">
        <f t="shared" si="40"/>
        <v>1</v>
      </c>
      <c r="B677" s="151" t="s">
        <v>206</v>
      </c>
      <c r="C677" s="159">
        <v>319121093</v>
      </c>
      <c r="D677" s="160" t="s">
        <v>522</v>
      </c>
      <c r="E677" s="161">
        <f>SUMIF(Lanç!$C$3:$C$114,C677,Lanç!$F$3:$F$114)</f>
        <v>0</v>
      </c>
      <c r="F677" s="161">
        <f>SUMIF(Lanç!$C$115:$C$6504,C677,Lanç!$F$115:$F$6504)</f>
        <v>0</v>
      </c>
      <c r="G677" s="161">
        <f>SUMIF(Lanç!$C$115:$C$6504,C677,Lanç!$G$115:$G$6504)</f>
        <v>0</v>
      </c>
      <c r="H677" s="162">
        <f t="shared" si="41"/>
        <v>0</v>
      </c>
      <c r="I677" s="162">
        <f t="shared" si="42"/>
        <v>0</v>
      </c>
    </row>
    <row r="678" spans="1:14" hidden="1">
      <c r="A678" s="151">
        <f t="shared" si="40"/>
        <v>1</v>
      </c>
      <c r="B678" s="151" t="s">
        <v>206</v>
      </c>
      <c r="C678" s="159">
        <v>319121094</v>
      </c>
      <c r="D678" s="160" t="s">
        <v>523</v>
      </c>
      <c r="E678" s="161">
        <f>SUMIF(Lanç!$C$3:$C$114,C678,Lanç!$F$3:$F$114)</f>
        <v>0</v>
      </c>
      <c r="F678" s="161">
        <f>SUMIF(Lanç!$C$115:$C$6504,C678,Lanç!$F$115:$F$6504)</f>
        <v>0</v>
      </c>
      <c r="G678" s="161">
        <f>SUMIF(Lanç!$C$115:$C$6504,C678,Lanç!$G$115:$G$6504)</f>
        <v>0</v>
      </c>
      <c r="H678" s="162">
        <f t="shared" si="41"/>
        <v>0</v>
      </c>
      <c r="I678" s="162">
        <f t="shared" si="42"/>
        <v>0</v>
      </c>
    </row>
    <row r="679" spans="1:14" hidden="1">
      <c r="A679" s="151">
        <f t="shared" si="40"/>
        <v>1</v>
      </c>
      <c r="B679" s="151" t="s">
        <v>206</v>
      </c>
      <c r="C679" s="159">
        <v>319121095</v>
      </c>
      <c r="D679" s="160" t="s">
        <v>524</v>
      </c>
      <c r="E679" s="161">
        <f>SUMIF(Lanç!$C$3:$C$114,C679,Lanç!$F$3:$F$114)</f>
        <v>0</v>
      </c>
      <c r="F679" s="161">
        <f>SUMIF(Lanç!$C$115:$C$6504,C679,Lanç!$F$115:$F$6504)</f>
        <v>0</v>
      </c>
      <c r="G679" s="161">
        <f>SUMIF(Lanç!$C$115:$C$6504,C679,Lanç!$G$115:$G$6504)</f>
        <v>0</v>
      </c>
      <c r="H679" s="162">
        <f t="shared" si="41"/>
        <v>0</v>
      </c>
      <c r="I679" s="162">
        <f t="shared" si="42"/>
        <v>0</v>
      </c>
    </row>
    <row r="680" spans="1:14" hidden="1">
      <c r="A680" s="151">
        <f t="shared" si="40"/>
        <v>1</v>
      </c>
      <c r="B680" s="151" t="s">
        <v>206</v>
      </c>
      <c r="C680" s="159">
        <v>319121096</v>
      </c>
      <c r="D680" s="160" t="s">
        <v>525</v>
      </c>
      <c r="E680" s="161">
        <f>SUMIF(Lanç!$C$3:$C$114,C680,Lanç!$F$3:$F$114)</f>
        <v>0</v>
      </c>
      <c r="F680" s="161">
        <f>SUMIF(Lanç!$C$115:$C$6504,C680,Lanç!$F$115:$F$6504)</f>
        <v>0</v>
      </c>
      <c r="G680" s="161">
        <f>SUMIF(Lanç!$C$115:$C$6504,C680,Lanç!$G$115:$G$6504)</f>
        <v>0</v>
      </c>
      <c r="H680" s="162">
        <f t="shared" si="41"/>
        <v>0</v>
      </c>
      <c r="I680" s="162">
        <f t="shared" si="42"/>
        <v>0</v>
      </c>
    </row>
    <row r="681" spans="1:14">
      <c r="A681" s="151">
        <f t="shared" si="40"/>
        <v>0</v>
      </c>
      <c r="B681" s="151" t="s">
        <v>206</v>
      </c>
      <c r="C681" s="159">
        <v>319121109</v>
      </c>
      <c r="D681" s="160" t="s">
        <v>2079</v>
      </c>
      <c r="E681" s="161">
        <f>SUMIF(Lanç!$C$3:$C$114,C681,Lanç!$F$3:$F$114)</f>
        <v>0</v>
      </c>
      <c r="F681" s="161">
        <f>SUMIF(Lanç!$C$115:$C$6504,C681,Lanç!$F$115:$F$6504)</f>
        <v>0</v>
      </c>
      <c r="G681" s="161">
        <f>SUMIF(Lanç!$C$115:$C$6504,C681,Lanç!$G$115:$G$6504)</f>
        <v>22582269.530000001</v>
      </c>
      <c r="H681" s="162">
        <f t="shared" si="41"/>
        <v>-22582269.530000001</v>
      </c>
      <c r="I681" s="162">
        <f t="shared" si="42"/>
        <v>-22582269.530000001</v>
      </c>
    </row>
    <row r="682" spans="1:14" hidden="1">
      <c r="A682" s="151">
        <f t="shared" si="40"/>
        <v>1</v>
      </c>
      <c r="B682" s="151" t="s">
        <v>206</v>
      </c>
      <c r="C682" s="159">
        <v>3191219</v>
      </c>
      <c r="D682" s="160" t="s">
        <v>535</v>
      </c>
      <c r="E682" s="161">
        <f>SUMIF(Lanç!$C$3:$C$114,C682,Lanç!$F$3:$F$114)</f>
        <v>0</v>
      </c>
      <c r="F682" s="161">
        <f>SUMIF(Lanç!$C$115:$C$6504,C682,Lanç!$F$115:$F$6504)</f>
        <v>0</v>
      </c>
      <c r="G682" s="161">
        <f>SUMIF(Lanç!$C$115:$C$6504,C682,Lanç!$G$115:$G$6504)</f>
        <v>0</v>
      </c>
      <c r="H682" s="162">
        <f t="shared" si="41"/>
        <v>0</v>
      </c>
      <c r="I682" s="162">
        <f t="shared" si="42"/>
        <v>0</v>
      </c>
    </row>
    <row r="683" spans="1:14" hidden="1">
      <c r="A683" s="151">
        <f t="shared" si="40"/>
        <v>1</v>
      </c>
      <c r="B683" s="155" t="s">
        <v>204</v>
      </c>
      <c r="C683" s="156">
        <v>319122</v>
      </c>
      <c r="D683" s="157" t="s">
        <v>427</v>
      </c>
      <c r="E683" s="158">
        <f>SUM(E684:E685)</f>
        <v>0</v>
      </c>
      <c r="F683" s="158">
        <f>SUM(F684:F685)</f>
        <v>0</v>
      </c>
      <c r="G683" s="158">
        <f>SUM(G684:G685)</f>
        <v>0</v>
      </c>
      <c r="H683" s="154">
        <f t="shared" si="41"/>
        <v>0</v>
      </c>
      <c r="I683" s="154">
        <f t="shared" si="42"/>
        <v>0</v>
      </c>
      <c r="J683" s="1"/>
      <c r="K683" s="1"/>
      <c r="L683" s="1"/>
      <c r="M683" s="1"/>
      <c r="N683" s="1"/>
    </row>
    <row r="684" spans="1:14" hidden="1">
      <c r="A684" s="151">
        <f t="shared" si="40"/>
        <v>1</v>
      </c>
      <c r="B684" s="151" t="s">
        <v>206</v>
      </c>
      <c r="C684" s="159">
        <v>319122001</v>
      </c>
      <c r="D684" s="160" t="s">
        <v>426</v>
      </c>
      <c r="E684" s="161">
        <f>SUMIF(Lanç!$C$3:$C$114,C684,Lanç!$F$3:$F$114)</f>
        <v>0</v>
      </c>
      <c r="F684" s="161">
        <f>SUMIF(Lanç!$C$115:$C$6504,C684,Lanç!$F$115:$F$6504)</f>
        <v>0</v>
      </c>
      <c r="G684" s="161">
        <f>SUMIF(Lanç!$C$115:$C$6504,C684,Lanç!$G$115:$G$6504)</f>
        <v>0</v>
      </c>
      <c r="H684" s="162">
        <f t="shared" si="41"/>
        <v>0</v>
      </c>
      <c r="I684" s="162">
        <f t="shared" si="42"/>
        <v>0</v>
      </c>
    </row>
    <row r="685" spans="1:14" hidden="1">
      <c r="A685" s="151">
        <f t="shared" si="40"/>
        <v>1</v>
      </c>
      <c r="B685" s="151" t="s">
        <v>206</v>
      </c>
      <c r="C685" s="159">
        <v>319122002</v>
      </c>
      <c r="D685" s="160" t="s">
        <v>426</v>
      </c>
      <c r="E685" s="161">
        <f>SUMIF(Lanç!$C$3:$C$114,C685,Lanç!$F$3:$F$114)</f>
        <v>0</v>
      </c>
      <c r="F685" s="161">
        <f>SUMIF(Lanç!$C$115:$C$6504,C685,Lanç!$F$115:$F$6504)</f>
        <v>0</v>
      </c>
      <c r="G685" s="161">
        <f>SUMIF(Lanç!$C$115:$C$6504,C685,Lanç!$G$115:$G$6504)</f>
        <v>0</v>
      </c>
      <c r="H685" s="162">
        <f t="shared" si="41"/>
        <v>0</v>
      </c>
      <c r="I685" s="162">
        <f t="shared" si="42"/>
        <v>0</v>
      </c>
    </row>
    <row r="686" spans="1:14" hidden="1">
      <c r="A686" s="151">
        <f t="shared" si="40"/>
        <v>1</v>
      </c>
      <c r="B686" s="155" t="s">
        <v>204</v>
      </c>
      <c r="C686" s="156">
        <v>3192</v>
      </c>
      <c r="D686" s="157" t="s">
        <v>596</v>
      </c>
      <c r="E686" s="158">
        <f>SUM(E687)</f>
        <v>0</v>
      </c>
      <c r="F686" s="158">
        <f>SUM(F687)</f>
        <v>0</v>
      </c>
      <c r="G686" s="158">
        <f>SUM(G687)</f>
        <v>0</v>
      </c>
      <c r="H686" s="154">
        <f t="shared" si="41"/>
        <v>0</v>
      </c>
      <c r="I686" s="154">
        <f t="shared" si="42"/>
        <v>0</v>
      </c>
      <c r="J686" s="1"/>
      <c r="K686" s="1"/>
      <c r="L686" s="1"/>
      <c r="M686" s="1"/>
      <c r="N686" s="1"/>
    </row>
    <row r="687" spans="1:14" hidden="1">
      <c r="A687" s="151">
        <f t="shared" si="40"/>
        <v>1</v>
      </c>
      <c r="B687" s="155" t="s">
        <v>204</v>
      </c>
      <c r="C687" s="156">
        <v>31922</v>
      </c>
      <c r="D687" s="157" t="s">
        <v>429</v>
      </c>
      <c r="E687" s="158">
        <f>SUM(E688:E689)</f>
        <v>0</v>
      </c>
      <c r="F687" s="158">
        <f>SUM(F688:F689)</f>
        <v>0</v>
      </c>
      <c r="G687" s="158">
        <f>SUM(G688:G689)</f>
        <v>0</v>
      </c>
      <c r="H687" s="154">
        <f t="shared" si="41"/>
        <v>0</v>
      </c>
      <c r="I687" s="154">
        <f t="shared" si="42"/>
        <v>0</v>
      </c>
      <c r="J687" s="1"/>
      <c r="K687" s="1"/>
      <c r="L687" s="1"/>
      <c r="M687" s="1"/>
      <c r="N687" s="1"/>
    </row>
    <row r="688" spans="1:14" hidden="1">
      <c r="A688" s="151">
        <f t="shared" si="40"/>
        <v>1</v>
      </c>
      <c r="B688" s="151" t="s">
        <v>206</v>
      </c>
      <c r="C688" s="159">
        <v>319221</v>
      </c>
      <c r="D688" s="160" t="s">
        <v>425</v>
      </c>
      <c r="E688" s="161">
        <f>SUMIF(Lanç!$C$3:$C$114,C688,Lanç!$F$3:$F$114)</f>
        <v>0</v>
      </c>
      <c r="F688" s="161">
        <f>SUMIF(Lanç!$C$115:$C$6504,C688,Lanç!$F$115:$F$6504)</f>
        <v>0</v>
      </c>
      <c r="G688" s="161">
        <f>SUMIF(Lanç!$C$115:$C$6504,C688,Lanç!$G$115:$G$6504)</f>
        <v>0</v>
      </c>
      <c r="H688" s="162">
        <f t="shared" si="41"/>
        <v>0</v>
      </c>
      <c r="I688" s="162">
        <f t="shared" si="42"/>
        <v>0</v>
      </c>
    </row>
    <row r="689" spans="1:14" hidden="1">
      <c r="A689" s="151">
        <f t="shared" si="40"/>
        <v>1</v>
      </c>
      <c r="B689" s="151" t="s">
        <v>206</v>
      </c>
      <c r="C689" s="159">
        <v>319222</v>
      </c>
      <c r="D689" s="160" t="s">
        <v>427</v>
      </c>
      <c r="E689" s="161">
        <f>SUMIF(Lanç!$C$3:$C$114,C689,Lanç!$F$3:$F$114)</f>
        <v>0</v>
      </c>
      <c r="F689" s="161">
        <f>SUMIF(Lanç!$C$115:$C$6504,C689,Lanç!$F$115:$F$6504)</f>
        <v>0</v>
      </c>
      <c r="G689" s="161">
        <f>SUMIF(Lanç!$C$115:$C$6504,C689,Lanç!$G$115:$G$6504)</f>
        <v>0</v>
      </c>
      <c r="H689" s="162">
        <f t="shared" si="41"/>
        <v>0</v>
      </c>
      <c r="I689" s="162">
        <f t="shared" si="42"/>
        <v>0</v>
      </c>
    </row>
    <row r="690" spans="1:14" hidden="1">
      <c r="A690" s="151">
        <f t="shared" si="40"/>
        <v>1</v>
      </c>
      <c r="B690" s="155" t="s">
        <v>204</v>
      </c>
      <c r="C690" s="156">
        <v>3193</v>
      </c>
      <c r="D690" s="157" t="s">
        <v>597</v>
      </c>
      <c r="E690" s="158">
        <f>SUM(E691)</f>
        <v>0</v>
      </c>
      <c r="F690" s="158">
        <f>SUM(F691)</f>
        <v>0</v>
      </c>
      <c r="G690" s="158">
        <f>SUM(G691)</f>
        <v>0</v>
      </c>
      <c r="H690" s="154">
        <f t="shared" si="41"/>
        <v>0</v>
      </c>
      <c r="I690" s="154">
        <f t="shared" si="42"/>
        <v>0</v>
      </c>
      <c r="J690" s="1"/>
      <c r="K690" s="1"/>
      <c r="L690" s="1"/>
      <c r="M690" s="1"/>
      <c r="N690" s="1"/>
    </row>
    <row r="691" spans="1:14" hidden="1">
      <c r="A691" s="151">
        <f t="shared" si="40"/>
        <v>1</v>
      </c>
      <c r="B691" s="155" t="s">
        <v>204</v>
      </c>
      <c r="C691" s="156">
        <v>31932</v>
      </c>
      <c r="D691" s="157" t="s">
        <v>429</v>
      </c>
      <c r="E691" s="158">
        <f>SUM(E692:E693)</f>
        <v>0</v>
      </c>
      <c r="F691" s="158">
        <f>SUM(F692:F693)</f>
        <v>0</v>
      </c>
      <c r="G691" s="158">
        <f>SUM(G692:G693)</f>
        <v>0</v>
      </c>
      <c r="H691" s="154">
        <f t="shared" si="41"/>
        <v>0</v>
      </c>
      <c r="I691" s="154">
        <f t="shared" si="42"/>
        <v>0</v>
      </c>
    </row>
    <row r="692" spans="1:14" hidden="1">
      <c r="A692" s="151">
        <f t="shared" si="40"/>
        <v>1</v>
      </c>
      <c r="B692" s="151" t="s">
        <v>206</v>
      </c>
      <c r="C692" s="159">
        <v>319321</v>
      </c>
      <c r="D692" s="160" t="s">
        <v>425</v>
      </c>
      <c r="E692" s="161">
        <f>SUMIF(Lanç!$C$3:$C$114,C692,Lanç!$F$3:$F$114)</f>
        <v>0</v>
      </c>
      <c r="F692" s="161">
        <f>SUMIF(Lanç!$C$115:$C$6504,C692,Lanç!$F$115:$F$6504)</f>
        <v>0</v>
      </c>
      <c r="G692" s="161">
        <f>SUMIF(Lanç!$C$115:$C$6504,C692,Lanç!$G$115:$G$6504)</f>
        <v>0</v>
      </c>
      <c r="H692" s="162">
        <f t="shared" si="41"/>
        <v>0</v>
      </c>
      <c r="I692" s="162">
        <f t="shared" si="42"/>
        <v>0</v>
      </c>
    </row>
    <row r="693" spans="1:14" hidden="1">
      <c r="A693" s="151">
        <f t="shared" si="40"/>
        <v>1</v>
      </c>
      <c r="B693" s="151" t="s">
        <v>206</v>
      </c>
      <c r="C693" s="159">
        <v>319322</v>
      </c>
      <c r="D693" s="160" t="s">
        <v>427</v>
      </c>
      <c r="E693" s="161">
        <f>SUMIF(Lanç!$C$3:$C$114,C693,Lanç!$F$3:$F$114)</f>
        <v>0</v>
      </c>
      <c r="F693" s="161">
        <f>SUMIF(Lanç!$C$115:$C$6504,C693,Lanç!$F$115:$F$6504)</f>
        <v>0</v>
      </c>
      <c r="G693" s="161">
        <f>SUMIF(Lanç!$C$115:$C$6504,C693,Lanç!$G$115:$G$6504)</f>
        <v>0</v>
      </c>
      <c r="H693" s="162">
        <f t="shared" si="41"/>
        <v>0</v>
      </c>
      <c r="I693" s="162">
        <f t="shared" si="42"/>
        <v>0</v>
      </c>
    </row>
    <row r="694" spans="1:14">
      <c r="A694" s="151">
        <f t="shared" si="40"/>
        <v>0</v>
      </c>
      <c r="B694" s="155" t="s">
        <v>202</v>
      </c>
      <c r="C694" s="156">
        <v>32</v>
      </c>
      <c r="D694" s="157" t="s">
        <v>598</v>
      </c>
      <c r="E694" s="158">
        <f>SUM(E695,E924,E946,E952)</f>
        <v>-259013698.79635</v>
      </c>
      <c r="F694" s="158">
        <f>SUM(F695,F924,F946,F952)</f>
        <v>11300000</v>
      </c>
      <c r="G694" s="158">
        <f>SUM(G695,G924,G946,G952)</f>
        <v>102583683.5</v>
      </c>
      <c r="H694" s="154">
        <f t="shared" si="41"/>
        <v>-91283683.5</v>
      </c>
      <c r="I694" s="154">
        <f t="shared" si="42"/>
        <v>-350297382.29635</v>
      </c>
      <c r="J694" s="1"/>
      <c r="K694" s="1"/>
      <c r="L694" s="1"/>
      <c r="M694" s="1"/>
      <c r="N694" s="1"/>
    </row>
    <row r="695" spans="1:14">
      <c r="A695" s="151">
        <f t="shared" si="40"/>
        <v>0</v>
      </c>
      <c r="B695" s="155" t="s">
        <v>204</v>
      </c>
      <c r="C695" s="156">
        <v>321</v>
      </c>
      <c r="D695" s="157" t="s">
        <v>599</v>
      </c>
      <c r="E695" s="158">
        <f>SUM(E696,E715)</f>
        <v>-261030480.04635</v>
      </c>
      <c r="F695" s="158">
        <f>SUM(F696,F715)</f>
        <v>11300000</v>
      </c>
      <c r="G695" s="158">
        <f>SUM(G696,G715)</f>
        <v>102583683.5</v>
      </c>
      <c r="H695" s="154">
        <f t="shared" si="41"/>
        <v>-91283683.5</v>
      </c>
      <c r="I695" s="154">
        <f t="shared" si="42"/>
        <v>-352314163.54635</v>
      </c>
    </row>
    <row r="696" spans="1:14" hidden="1">
      <c r="A696" s="151">
        <f t="shared" si="40"/>
        <v>1</v>
      </c>
      <c r="B696" s="155" t="s">
        <v>204</v>
      </c>
      <c r="C696" s="156">
        <v>3211</v>
      </c>
      <c r="D696" s="157" t="s">
        <v>423</v>
      </c>
      <c r="E696" s="158">
        <f>SUM(E697,E706)</f>
        <v>0</v>
      </c>
      <c r="F696" s="158">
        <f>SUM(F697,F706)</f>
        <v>0</v>
      </c>
      <c r="G696" s="158">
        <f>SUM(G697,G706)</f>
        <v>0</v>
      </c>
      <c r="H696" s="154">
        <f t="shared" si="41"/>
        <v>0</v>
      </c>
      <c r="I696" s="154">
        <f t="shared" si="42"/>
        <v>0</v>
      </c>
    </row>
    <row r="697" spans="1:14" hidden="1">
      <c r="A697" s="151">
        <f t="shared" si="40"/>
        <v>1</v>
      </c>
      <c r="B697" s="155" t="s">
        <v>204</v>
      </c>
      <c r="C697" s="156">
        <v>32111</v>
      </c>
      <c r="D697" s="157" t="s">
        <v>424</v>
      </c>
      <c r="E697" s="158">
        <f>SUM(E698,E704)</f>
        <v>0</v>
      </c>
      <c r="F697" s="158">
        <f>SUM(F698,F704)</f>
        <v>0</v>
      </c>
      <c r="G697" s="158">
        <f>SUM(G698,G704)</f>
        <v>0</v>
      </c>
      <c r="H697" s="154">
        <f t="shared" si="41"/>
        <v>0</v>
      </c>
      <c r="I697" s="154">
        <f t="shared" si="42"/>
        <v>0</v>
      </c>
    </row>
    <row r="698" spans="1:14" hidden="1">
      <c r="A698" s="151">
        <f t="shared" si="40"/>
        <v>1</v>
      </c>
      <c r="B698" s="155" t="s">
        <v>204</v>
      </c>
      <c r="C698" s="156">
        <v>321111</v>
      </c>
      <c r="D698" s="157" t="s">
        <v>425</v>
      </c>
      <c r="E698" s="158">
        <f>SUM(E699:E703)</f>
        <v>0</v>
      </c>
      <c r="F698" s="158">
        <f>SUM(F699:F703)</f>
        <v>0</v>
      </c>
      <c r="G698" s="158">
        <f>SUM(G699:G703)</f>
        <v>0</v>
      </c>
      <c r="H698" s="154">
        <f t="shared" si="41"/>
        <v>0</v>
      </c>
      <c r="I698" s="154">
        <f t="shared" si="42"/>
        <v>0</v>
      </c>
    </row>
    <row r="699" spans="1:14" hidden="1">
      <c r="A699" s="151">
        <f t="shared" si="40"/>
        <v>1</v>
      </c>
      <c r="B699" s="151" t="s">
        <v>206</v>
      </c>
      <c r="C699" s="159">
        <v>321111001</v>
      </c>
      <c r="D699" s="160" t="s">
        <v>535</v>
      </c>
      <c r="E699" s="161">
        <f>SUMIF(Lanç!$C$3:$C$114,C699,Lanç!$F$3:$F$114)</f>
        <v>0</v>
      </c>
      <c r="F699" s="161">
        <f>SUMIF(Lanç!$C$115:$C$6504,C699,Lanç!$F$115:$F$6504)</f>
        <v>0</v>
      </c>
      <c r="G699" s="161">
        <f>SUMIF(Lanç!$C$115:$C$6504,C699,Lanç!$G$115:$G$6504)</f>
        <v>0</v>
      </c>
      <c r="H699" s="162">
        <f t="shared" si="41"/>
        <v>0</v>
      </c>
      <c r="I699" s="162">
        <f t="shared" si="42"/>
        <v>0</v>
      </c>
    </row>
    <row r="700" spans="1:14" hidden="1">
      <c r="A700" s="151">
        <f t="shared" si="40"/>
        <v>1</v>
      </c>
      <c r="B700" s="151" t="s">
        <v>206</v>
      </c>
      <c r="C700" s="159">
        <v>321111002</v>
      </c>
      <c r="D700" s="160" t="s">
        <v>426</v>
      </c>
      <c r="E700" s="161">
        <f>SUMIF(Lanç!$C$3:$C$114,C700,Lanç!$F$3:$F$114)</f>
        <v>0</v>
      </c>
      <c r="F700" s="161">
        <f>SUMIF(Lanç!$C$115:$C$6504,C700,Lanç!$F$115:$F$6504)</f>
        <v>0</v>
      </c>
      <c r="G700" s="161">
        <f>SUMIF(Lanç!$C$115:$C$6504,C700,Lanç!$G$115:$G$6504)</f>
        <v>0</v>
      </c>
      <c r="H700" s="162">
        <f t="shared" si="41"/>
        <v>0</v>
      </c>
      <c r="I700" s="162">
        <f t="shared" si="42"/>
        <v>0</v>
      </c>
    </row>
    <row r="701" spans="1:14" hidden="1">
      <c r="A701" s="151">
        <f t="shared" si="40"/>
        <v>1</v>
      </c>
      <c r="B701" s="151" t="s">
        <v>206</v>
      </c>
      <c r="C701" s="159">
        <v>321111003</v>
      </c>
      <c r="D701" s="160" t="s">
        <v>426</v>
      </c>
      <c r="E701" s="161">
        <f>SUMIF(Lanç!$C$3:$C$114,C701,Lanç!$F$3:$F$114)</f>
        <v>0</v>
      </c>
      <c r="F701" s="161">
        <f>SUMIF(Lanç!$C$115:$C$6504,C701,Lanç!$F$115:$F$6504)</f>
        <v>0</v>
      </c>
      <c r="G701" s="161">
        <f>SUMIF(Lanç!$C$115:$C$6504,C701,Lanç!$G$115:$G$6504)</f>
        <v>0</v>
      </c>
      <c r="H701" s="162">
        <f t="shared" si="41"/>
        <v>0</v>
      </c>
      <c r="I701" s="162">
        <f t="shared" si="42"/>
        <v>0</v>
      </c>
    </row>
    <row r="702" spans="1:14" hidden="1">
      <c r="A702" s="151">
        <f t="shared" si="40"/>
        <v>1</v>
      </c>
      <c r="B702" s="151" t="s">
        <v>206</v>
      </c>
      <c r="C702" s="159">
        <v>321111004</v>
      </c>
      <c r="D702" s="160" t="s">
        <v>426</v>
      </c>
      <c r="E702" s="161">
        <f>SUMIF(Lanç!$C$3:$C$114,C702,Lanç!$F$3:$F$114)</f>
        <v>0</v>
      </c>
      <c r="F702" s="161">
        <f>SUMIF(Lanç!$C$115:$C$6504,C702,Lanç!$F$115:$F$6504)</f>
        <v>0</v>
      </c>
      <c r="G702" s="161">
        <f>SUMIF(Lanç!$C$115:$C$6504,C702,Lanç!$G$115:$G$6504)</f>
        <v>0</v>
      </c>
      <c r="H702" s="162">
        <f t="shared" si="41"/>
        <v>0</v>
      </c>
      <c r="I702" s="162">
        <f t="shared" si="42"/>
        <v>0</v>
      </c>
    </row>
    <row r="703" spans="1:14" hidden="1">
      <c r="A703" s="151">
        <f t="shared" si="40"/>
        <v>1</v>
      </c>
      <c r="B703" s="151" t="s">
        <v>206</v>
      </c>
      <c r="C703" s="159">
        <v>321111005</v>
      </c>
      <c r="D703" s="160" t="s">
        <v>426</v>
      </c>
      <c r="E703" s="161">
        <f>SUMIF(Lanç!$C$3:$C$114,C703,Lanç!$F$3:$F$114)</f>
        <v>0</v>
      </c>
      <c r="F703" s="161">
        <f>SUMIF(Lanç!$C$115:$C$6504,C703,Lanç!$F$115:$F$6504)</f>
        <v>0</v>
      </c>
      <c r="G703" s="161">
        <f>SUMIF(Lanç!$C$115:$C$6504,C703,Lanç!$G$115:$G$6504)</f>
        <v>0</v>
      </c>
      <c r="H703" s="162">
        <f t="shared" si="41"/>
        <v>0</v>
      </c>
      <c r="I703" s="162">
        <f t="shared" si="42"/>
        <v>0</v>
      </c>
    </row>
    <row r="704" spans="1:14" hidden="1">
      <c r="A704" s="151">
        <f t="shared" si="40"/>
        <v>1</v>
      </c>
      <c r="B704" s="155" t="s">
        <v>204</v>
      </c>
      <c r="C704" s="156">
        <v>321112</v>
      </c>
      <c r="D704" s="157" t="s">
        <v>427</v>
      </c>
      <c r="E704" s="158">
        <f>SUM(E705)</f>
        <v>0</v>
      </c>
      <c r="F704" s="158">
        <f>SUM(F705)</f>
        <v>0</v>
      </c>
      <c r="G704" s="158">
        <f>SUM(G705)</f>
        <v>0</v>
      </c>
      <c r="H704" s="154">
        <f t="shared" si="41"/>
        <v>0</v>
      </c>
      <c r="I704" s="154">
        <f t="shared" si="42"/>
        <v>0</v>
      </c>
      <c r="J704" s="1"/>
      <c r="K704" s="1"/>
      <c r="L704" s="1"/>
      <c r="M704" s="1"/>
      <c r="N704" s="1"/>
    </row>
    <row r="705" spans="1:14" hidden="1">
      <c r="A705" s="151">
        <f t="shared" si="40"/>
        <v>1</v>
      </c>
      <c r="B705" s="151" t="s">
        <v>206</v>
      </c>
      <c r="C705" s="159">
        <v>321112001</v>
      </c>
      <c r="D705" s="160" t="s">
        <v>426</v>
      </c>
      <c r="E705" s="161">
        <f>SUMIF(Lanç!$C$3:$C$114,C705,Lanç!$F$3:$F$114)</f>
        <v>0</v>
      </c>
      <c r="F705" s="161">
        <f>SUMIF(Lanç!$C$115:$C$6504,C705,Lanç!$F$115:$F$6504)</f>
        <v>0</v>
      </c>
      <c r="G705" s="161">
        <f>SUMIF(Lanç!$C$115:$C$6504,C705,Lanç!$G$115:$G$6504)</f>
        <v>0</v>
      </c>
      <c r="H705" s="162">
        <f t="shared" si="41"/>
        <v>0</v>
      </c>
      <c r="I705" s="162">
        <f t="shared" si="42"/>
        <v>0</v>
      </c>
    </row>
    <row r="706" spans="1:14" hidden="1">
      <c r="A706" s="151">
        <f t="shared" si="40"/>
        <v>1</v>
      </c>
      <c r="B706" s="155" t="s">
        <v>204</v>
      </c>
      <c r="C706" s="156">
        <v>32112</v>
      </c>
      <c r="D706" s="157" t="s">
        <v>428</v>
      </c>
      <c r="E706" s="158">
        <f>SUM(E707,E713)</f>
        <v>0</v>
      </c>
      <c r="F706" s="158">
        <f>SUM(F707,F713)</f>
        <v>0</v>
      </c>
      <c r="G706" s="158">
        <f>SUM(G707,G713)</f>
        <v>0</v>
      </c>
      <c r="H706" s="154">
        <f t="shared" si="41"/>
        <v>0</v>
      </c>
      <c r="I706" s="154">
        <f t="shared" si="42"/>
        <v>0</v>
      </c>
      <c r="J706" s="1"/>
      <c r="K706" s="1"/>
      <c r="L706" s="1"/>
      <c r="M706" s="1"/>
      <c r="N706" s="1"/>
    </row>
    <row r="707" spans="1:14" hidden="1">
      <c r="A707" s="151">
        <f t="shared" si="40"/>
        <v>1</v>
      </c>
      <c r="B707" s="155" t="s">
        <v>204</v>
      </c>
      <c r="C707" s="156">
        <v>321121</v>
      </c>
      <c r="D707" s="157" t="s">
        <v>425</v>
      </c>
      <c r="E707" s="158">
        <f>SUM(E708:E712)</f>
        <v>0</v>
      </c>
      <c r="F707" s="158">
        <f>SUM(F708:F712)</f>
        <v>0</v>
      </c>
      <c r="G707" s="158">
        <f>SUM(G708:G712)</f>
        <v>0</v>
      </c>
      <c r="H707" s="154">
        <f t="shared" si="41"/>
        <v>0</v>
      </c>
      <c r="I707" s="154">
        <f t="shared" si="42"/>
        <v>0</v>
      </c>
      <c r="J707" s="1"/>
      <c r="K707" s="1"/>
      <c r="L707" s="1"/>
      <c r="M707" s="1"/>
      <c r="N707" s="1"/>
    </row>
    <row r="708" spans="1:14" hidden="1">
      <c r="A708" s="151">
        <f t="shared" si="40"/>
        <v>1</v>
      </c>
      <c r="B708" s="151" t="s">
        <v>206</v>
      </c>
      <c r="C708" s="159">
        <v>321121001</v>
      </c>
      <c r="D708" s="160" t="s">
        <v>426</v>
      </c>
      <c r="E708" s="161">
        <f>SUMIF(Lanç!$C$3:$C$114,C708,Lanç!$F$3:$F$114)</f>
        <v>0</v>
      </c>
      <c r="F708" s="161">
        <f>SUMIF(Lanç!$C$115:$C$6504,C708,Lanç!$F$115:$F$6504)</f>
        <v>0</v>
      </c>
      <c r="G708" s="161">
        <f>SUMIF(Lanç!$C$115:$C$6504,C708,Lanç!$G$115:$G$6504)</f>
        <v>0</v>
      </c>
      <c r="H708" s="162">
        <f t="shared" si="41"/>
        <v>0</v>
      </c>
      <c r="I708" s="162">
        <f t="shared" si="42"/>
        <v>0</v>
      </c>
    </row>
    <row r="709" spans="1:14" hidden="1">
      <c r="A709" s="151">
        <f t="shared" si="40"/>
        <v>1</v>
      </c>
      <c r="B709" s="151" t="s">
        <v>206</v>
      </c>
      <c r="C709" s="159">
        <v>321121002</v>
      </c>
      <c r="D709" s="160" t="s">
        <v>426</v>
      </c>
      <c r="E709" s="161">
        <f>SUMIF(Lanç!$C$3:$C$114,C709,Lanç!$F$3:$F$114)</f>
        <v>0</v>
      </c>
      <c r="F709" s="161">
        <f>SUMIF(Lanç!$C$115:$C$6504,C709,Lanç!$F$115:$F$6504)</f>
        <v>0</v>
      </c>
      <c r="G709" s="161">
        <f>SUMIF(Lanç!$C$115:$C$6504,C709,Lanç!$G$115:$G$6504)</f>
        <v>0</v>
      </c>
      <c r="H709" s="162">
        <f t="shared" si="41"/>
        <v>0</v>
      </c>
      <c r="I709" s="162">
        <f t="shared" si="42"/>
        <v>0</v>
      </c>
    </row>
    <row r="710" spans="1:14" hidden="1">
      <c r="A710" s="151">
        <f t="shared" si="40"/>
        <v>1</v>
      </c>
      <c r="B710" s="151" t="s">
        <v>206</v>
      </c>
      <c r="C710" s="159">
        <v>321121003</v>
      </c>
      <c r="D710" s="160" t="s">
        <v>426</v>
      </c>
      <c r="E710" s="161">
        <f>SUMIF(Lanç!$C$3:$C$114,C710,Lanç!$F$3:$F$114)</f>
        <v>0</v>
      </c>
      <c r="F710" s="161">
        <f>SUMIF(Lanç!$C$115:$C$6504,C710,Lanç!$F$115:$F$6504)</f>
        <v>0</v>
      </c>
      <c r="G710" s="161">
        <f>SUMIF(Lanç!$C$115:$C$6504,C710,Lanç!$G$115:$G$6504)</f>
        <v>0</v>
      </c>
      <c r="H710" s="162">
        <f t="shared" si="41"/>
        <v>0</v>
      </c>
      <c r="I710" s="162">
        <f t="shared" si="42"/>
        <v>0</v>
      </c>
    </row>
    <row r="711" spans="1:14" hidden="1">
      <c r="A711" s="151">
        <f t="shared" si="40"/>
        <v>1</v>
      </c>
      <c r="B711" s="151" t="s">
        <v>206</v>
      </c>
      <c r="C711" s="159">
        <v>321121004</v>
      </c>
      <c r="D711" s="160" t="s">
        <v>426</v>
      </c>
      <c r="E711" s="161">
        <f>SUMIF(Lanç!$C$3:$C$114,C711,Lanç!$F$3:$F$114)</f>
        <v>0</v>
      </c>
      <c r="F711" s="161">
        <f>SUMIF(Lanç!$C$115:$C$6504,C711,Lanç!$F$115:$F$6504)</f>
        <v>0</v>
      </c>
      <c r="G711" s="161">
        <f>SUMIF(Lanç!$C$115:$C$6504,C711,Lanç!$G$115:$G$6504)</f>
        <v>0</v>
      </c>
      <c r="H711" s="162">
        <f t="shared" si="41"/>
        <v>0</v>
      </c>
      <c r="I711" s="162">
        <f t="shared" si="42"/>
        <v>0</v>
      </c>
    </row>
    <row r="712" spans="1:14" hidden="1">
      <c r="A712" s="151">
        <f t="shared" si="40"/>
        <v>1</v>
      </c>
      <c r="B712" s="151" t="s">
        <v>206</v>
      </c>
      <c r="C712" s="159">
        <v>321121005</v>
      </c>
      <c r="D712" s="160" t="s">
        <v>426</v>
      </c>
      <c r="E712" s="161">
        <f>SUMIF(Lanç!$C$3:$C$114,C712,Lanç!$F$3:$F$114)</f>
        <v>0</v>
      </c>
      <c r="F712" s="161">
        <f>SUMIF(Lanç!$C$115:$C$6504,C712,Lanç!$F$115:$F$6504)</f>
        <v>0</v>
      </c>
      <c r="G712" s="161">
        <f>SUMIF(Lanç!$C$115:$C$6504,C712,Lanç!$G$115:$G$6504)</f>
        <v>0</v>
      </c>
      <c r="H712" s="162">
        <f t="shared" si="41"/>
        <v>0</v>
      </c>
      <c r="I712" s="162">
        <f t="shared" si="42"/>
        <v>0</v>
      </c>
    </row>
    <row r="713" spans="1:14" hidden="1">
      <c r="A713" s="151">
        <f t="shared" si="40"/>
        <v>1</v>
      </c>
      <c r="B713" s="155" t="s">
        <v>204</v>
      </c>
      <c r="C713" s="156">
        <v>321122</v>
      </c>
      <c r="D713" s="157" t="s">
        <v>427</v>
      </c>
      <c r="E713" s="158">
        <f>SUM(E714)</f>
        <v>0</v>
      </c>
      <c r="F713" s="158">
        <f>SUM(F714)</f>
        <v>0</v>
      </c>
      <c r="G713" s="158">
        <f>SUM(G714)</f>
        <v>0</v>
      </c>
      <c r="H713" s="154">
        <f t="shared" si="41"/>
        <v>0</v>
      </c>
      <c r="I713" s="154">
        <f t="shared" si="42"/>
        <v>0</v>
      </c>
      <c r="J713" s="1"/>
      <c r="K713" s="1"/>
      <c r="L713" s="1"/>
      <c r="M713" s="1"/>
      <c r="N713" s="1"/>
    </row>
    <row r="714" spans="1:14" hidden="1">
      <c r="A714" s="151">
        <f t="shared" si="40"/>
        <v>1</v>
      </c>
      <c r="B714" s="151" t="s">
        <v>206</v>
      </c>
      <c r="C714" s="159">
        <v>321122001</v>
      </c>
      <c r="D714" s="160" t="s">
        <v>426</v>
      </c>
      <c r="E714" s="161">
        <f>SUMIF(Lanç!$C$3:$C$114,C714,Lanç!$F$3:$F$114)</f>
        <v>0</v>
      </c>
      <c r="F714" s="161">
        <f>SUMIF(Lanç!$C$115:$C$6504,C714,Lanç!$F$115:$F$6504)</f>
        <v>0</v>
      </c>
      <c r="G714" s="161">
        <f>SUMIF(Lanç!$C$115:$C$6504,C714,Lanç!$G$115:$G$6504)</f>
        <v>0</v>
      </c>
      <c r="H714" s="162">
        <f t="shared" si="41"/>
        <v>0</v>
      </c>
      <c r="I714" s="162">
        <f t="shared" si="42"/>
        <v>0</v>
      </c>
    </row>
    <row r="715" spans="1:14">
      <c r="A715" s="151">
        <f t="shared" si="40"/>
        <v>0</v>
      </c>
      <c r="B715" s="155" t="s">
        <v>204</v>
      </c>
      <c r="C715" s="156">
        <v>3212</v>
      </c>
      <c r="D715" s="157" t="s">
        <v>429</v>
      </c>
      <c r="E715" s="158">
        <f>SUM(E716,E906)</f>
        <v>-261030480.04635</v>
      </c>
      <c r="F715" s="158">
        <f>SUM(F716,F906)</f>
        <v>11300000</v>
      </c>
      <c r="G715" s="158">
        <f>SUM(G716,G906)</f>
        <v>102583683.5</v>
      </c>
      <c r="H715" s="154">
        <f t="shared" si="41"/>
        <v>-91283683.5</v>
      </c>
      <c r="I715" s="154">
        <f t="shared" si="42"/>
        <v>-352314163.54635</v>
      </c>
      <c r="J715" s="1"/>
      <c r="K715" s="1"/>
      <c r="L715" s="1"/>
      <c r="M715" s="1"/>
      <c r="N715" s="1"/>
    </row>
    <row r="716" spans="1:14">
      <c r="A716" s="151">
        <f t="shared" si="40"/>
        <v>0</v>
      </c>
      <c r="B716" s="155" t="s">
        <v>204</v>
      </c>
      <c r="C716" s="156">
        <v>32121</v>
      </c>
      <c r="D716" s="157" t="s">
        <v>425</v>
      </c>
      <c r="E716" s="158">
        <f>SUM(E717:E905)</f>
        <v>-16832663.559999999</v>
      </c>
      <c r="F716" s="158">
        <f>SUM(F717:F905)</f>
        <v>11300000</v>
      </c>
      <c r="G716" s="158">
        <f>SUM(G717:G905)</f>
        <v>11300000</v>
      </c>
      <c r="H716" s="154">
        <f t="shared" si="41"/>
        <v>0</v>
      </c>
      <c r="I716" s="154">
        <f t="shared" si="42"/>
        <v>-16832663.559999999</v>
      </c>
      <c r="J716" s="1"/>
      <c r="K716" s="1"/>
      <c r="L716" s="1"/>
      <c r="M716" s="1"/>
      <c r="N716" s="1"/>
    </row>
    <row r="717" spans="1:14" hidden="1">
      <c r="A717" s="151">
        <f t="shared" si="40"/>
        <v>1</v>
      </c>
      <c r="B717" s="151" t="s">
        <v>206</v>
      </c>
      <c r="C717" s="159">
        <v>3212100004</v>
      </c>
      <c r="D717" s="160" t="s">
        <v>600</v>
      </c>
      <c r="E717" s="161">
        <f>SUMIF(Lanç!$C$3:$C$114,C717,Lanç!$F$3:$F$114)</f>
        <v>0</v>
      </c>
      <c r="F717" s="161">
        <f>SUMIF(Lanç!$C$115:$C$6504,C717,Lanç!$F$115:$F$6504)</f>
        <v>0</v>
      </c>
      <c r="G717" s="161">
        <f>SUMIF(Lanç!$C$115:$C$6504,C717,Lanç!$G$115:$G$6504)</f>
        <v>0</v>
      </c>
      <c r="H717" s="162">
        <f t="shared" si="41"/>
        <v>0</v>
      </c>
      <c r="I717" s="162">
        <f t="shared" si="42"/>
        <v>0</v>
      </c>
    </row>
    <row r="718" spans="1:14" hidden="1">
      <c r="A718" s="151">
        <f t="shared" si="40"/>
        <v>1</v>
      </c>
      <c r="B718" s="151" t="s">
        <v>206</v>
      </c>
      <c r="C718" s="159">
        <v>3212100005</v>
      </c>
      <c r="D718" s="160" t="s">
        <v>601</v>
      </c>
      <c r="E718" s="161">
        <f>SUMIF(Lanç!$C$3:$C$114,C718,Lanç!$F$3:$F$114)</f>
        <v>0</v>
      </c>
      <c r="F718" s="161">
        <f>SUMIF(Lanç!$C$115:$C$6504,C718,Lanç!$F$115:$F$6504)</f>
        <v>0</v>
      </c>
      <c r="G718" s="161">
        <f>SUMIF(Lanç!$C$115:$C$6504,C718,Lanç!$G$115:$G$6504)</f>
        <v>0</v>
      </c>
      <c r="H718" s="162">
        <f t="shared" si="41"/>
        <v>0</v>
      </c>
      <c r="I718" s="162">
        <f t="shared" si="42"/>
        <v>0</v>
      </c>
    </row>
    <row r="719" spans="1:14" hidden="1">
      <c r="A719" s="151">
        <f t="shared" si="40"/>
        <v>1</v>
      </c>
      <c r="B719" s="151" t="s">
        <v>206</v>
      </c>
      <c r="C719" s="159">
        <v>3212100007</v>
      </c>
      <c r="D719" s="160" t="s">
        <v>602</v>
      </c>
      <c r="E719" s="161">
        <f>SUMIF(Lanç!$C$3:$C$114,C719,Lanç!$F$3:$F$114)</f>
        <v>0</v>
      </c>
      <c r="F719" s="161">
        <f>SUMIF(Lanç!$C$115:$C$6504,C719,Lanç!$F$115:$F$6504)</f>
        <v>0</v>
      </c>
      <c r="G719" s="161">
        <f>SUMIF(Lanç!$C$115:$C$6504,C719,Lanç!$G$115:$G$6504)</f>
        <v>0</v>
      </c>
      <c r="H719" s="162">
        <f t="shared" si="41"/>
        <v>0</v>
      </c>
      <c r="I719" s="162">
        <f t="shared" si="42"/>
        <v>0</v>
      </c>
    </row>
    <row r="720" spans="1:14" hidden="1">
      <c r="A720" s="151">
        <f t="shared" si="40"/>
        <v>1</v>
      </c>
      <c r="B720" s="151" t="s">
        <v>206</v>
      </c>
      <c r="C720" s="159">
        <v>3212100008</v>
      </c>
      <c r="D720" s="160" t="s">
        <v>603</v>
      </c>
      <c r="E720" s="161">
        <f>SUMIF(Lanç!$C$3:$C$114,C720,Lanç!$F$3:$F$114)</f>
        <v>0</v>
      </c>
      <c r="F720" s="161">
        <f>SUMIF(Lanç!$C$115:$C$6504,C720,Lanç!$F$115:$F$6504)</f>
        <v>0</v>
      </c>
      <c r="G720" s="161">
        <f>SUMIF(Lanç!$C$115:$C$6504,C720,Lanç!$G$115:$G$6504)</f>
        <v>0</v>
      </c>
      <c r="H720" s="162">
        <f t="shared" si="41"/>
        <v>0</v>
      </c>
      <c r="I720" s="162">
        <f t="shared" si="42"/>
        <v>0</v>
      </c>
    </row>
    <row r="721" spans="1:9" hidden="1">
      <c r="A721" s="151">
        <f t="shared" si="40"/>
        <v>1</v>
      </c>
      <c r="B721" s="151" t="s">
        <v>206</v>
      </c>
      <c r="C721" s="159">
        <v>3212100009</v>
      </c>
      <c r="D721" s="160" t="s">
        <v>604</v>
      </c>
      <c r="E721" s="161">
        <f>SUMIF(Lanç!$C$3:$C$114,C721,Lanç!$F$3:$F$114)</f>
        <v>0</v>
      </c>
      <c r="F721" s="161">
        <f>SUMIF(Lanç!$C$115:$C$6504,C721,Lanç!$F$115:$F$6504)</f>
        <v>0</v>
      </c>
      <c r="G721" s="161">
        <f>SUMIF(Lanç!$C$115:$C$6504,C721,Lanç!$G$115:$G$6504)</f>
        <v>0</v>
      </c>
      <c r="H721" s="162">
        <f t="shared" si="41"/>
        <v>0</v>
      </c>
      <c r="I721" s="162">
        <f t="shared" si="42"/>
        <v>0</v>
      </c>
    </row>
    <row r="722" spans="1:9">
      <c r="A722" s="151">
        <f t="shared" si="40"/>
        <v>0</v>
      </c>
      <c r="B722" s="151" t="s">
        <v>206</v>
      </c>
      <c r="C722" s="159">
        <v>32121001</v>
      </c>
      <c r="D722" s="160" t="s">
        <v>605</v>
      </c>
      <c r="E722" s="161">
        <f>SUMIF(Lanç!C3:C114,C722,Lanç!F3:F114)</f>
        <v>-4917159.82</v>
      </c>
      <c r="F722" s="161">
        <f>SUMIF(Lanç!C115:C6504,C722,Lanç!F115:F6504)</f>
        <v>0</v>
      </c>
      <c r="G722" s="161">
        <f>SUMIF(Lanç!C115:C6504,C722,Lanç!G115:G6504)</f>
        <v>0</v>
      </c>
      <c r="H722" s="162">
        <f t="shared" si="41"/>
        <v>0</v>
      </c>
      <c r="I722" s="162">
        <f t="shared" si="42"/>
        <v>-4917159.82</v>
      </c>
    </row>
    <row r="723" spans="1:9" hidden="1">
      <c r="A723" s="151">
        <f t="shared" ref="A723:A786" si="43">IF(E723+F723+G723+H723+I723=0,1,0)</f>
        <v>1</v>
      </c>
      <c r="B723" s="151" t="s">
        <v>206</v>
      </c>
      <c r="C723" s="159">
        <v>32121002</v>
      </c>
      <c r="D723" s="160" t="s">
        <v>606</v>
      </c>
      <c r="E723" s="161">
        <f>SUMIF(Lanç!$C$3:$C$114,C723,Lanç!$F$3:$F$114)</f>
        <v>0</v>
      </c>
      <c r="F723" s="161">
        <f>SUMIF(Lanç!$C$115:$C$6504,C723,Lanç!$F$115:$F$6504)</f>
        <v>0</v>
      </c>
      <c r="G723" s="161">
        <f>SUMIF(Lanç!$C$115:$C$6504,C723,Lanç!$G$115:$G$6504)</f>
        <v>0</v>
      </c>
      <c r="H723" s="162">
        <f t="shared" ref="H723:H786" si="44">(F723)-(G723)</f>
        <v>0</v>
      </c>
      <c r="I723" s="162">
        <f t="shared" ref="I723:I786" si="45">(E723)+(H723)</f>
        <v>0</v>
      </c>
    </row>
    <row r="724" spans="1:9" hidden="1">
      <c r="A724" s="151">
        <f t="shared" si="43"/>
        <v>1</v>
      </c>
      <c r="B724" s="151" t="s">
        <v>206</v>
      </c>
      <c r="C724" s="159">
        <v>32121003</v>
      </c>
      <c r="D724" s="160" t="s">
        <v>607</v>
      </c>
      <c r="E724" s="161">
        <f>SUMIF(Lanç!$C$3:$C$114,C724,Lanç!$F$3:$F$114)</f>
        <v>0</v>
      </c>
      <c r="F724" s="161">
        <f>SUMIF(Lanç!$C$115:$C$6504,C724,Lanç!$F$115:$F$6504)</f>
        <v>0</v>
      </c>
      <c r="G724" s="161">
        <f>SUMIF(Lanç!$C$115:$C$6504,C724,Lanç!$G$115:$G$6504)</f>
        <v>0</v>
      </c>
      <c r="H724" s="162">
        <f t="shared" si="44"/>
        <v>0</v>
      </c>
      <c r="I724" s="162">
        <f t="shared" si="45"/>
        <v>0</v>
      </c>
    </row>
    <row r="725" spans="1:9" hidden="1">
      <c r="A725" s="151">
        <f t="shared" si="43"/>
        <v>1</v>
      </c>
      <c r="B725" s="151" t="s">
        <v>206</v>
      </c>
      <c r="C725" s="159">
        <v>32121004</v>
      </c>
      <c r="D725" s="160" t="s">
        <v>608</v>
      </c>
      <c r="E725" s="161">
        <f>SUMIF(Lanç!$C$3:$C$114,C725,Lanç!$F$3:$F$114)</f>
        <v>0</v>
      </c>
      <c r="F725" s="161">
        <f>SUMIF(Lanç!$C$115:$C$6504,C725,Lanç!$F$115:$F$6504)</f>
        <v>0</v>
      </c>
      <c r="G725" s="161">
        <f>SUMIF(Lanç!$C$115:$C$6504,C725,Lanç!$G$115:$G$6504)</f>
        <v>0</v>
      </c>
      <c r="H725" s="162">
        <f t="shared" si="44"/>
        <v>0</v>
      </c>
      <c r="I725" s="162">
        <f t="shared" si="45"/>
        <v>0</v>
      </c>
    </row>
    <row r="726" spans="1:9" hidden="1">
      <c r="A726" s="151">
        <f t="shared" si="43"/>
        <v>1</v>
      </c>
      <c r="B726" s="151" t="s">
        <v>206</v>
      </c>
      <c r="C726" s="159">
        <v>32121006</v>
      </c>
      <c r="D726" s="160" t="s">
        <v>609</v>
      </c>
      <c r="E726" s="161">
        <f>SUMIF(Lanç!$C$3:$C$114,C726,Lanç!$F$3:$F$114)</f>
        <v>0</v>
      </c>
      <c r="F726" s="161">
        <f>SUMIF(Lanç!$C$115:$C$6504,C726,Lanç!$F$115:$F$6504)</f>
        <v>0</v>
      </c>
      <c r="G726" s="161">
        <f>SUMIF(Lanç!$C$115:$C$6504,C726,Lanç!$G$115:$G$6504)</f>
        <v>0</v>
      </c>
      <c r="H726" s="162">
        <f t="shared" si="44"/>
        <v>0</v>
      </c>
      <c r="I726" s="162">
        <f t="shared" si="45"/>
        <v>0</v>
      </c>
    </row>
    <row r="727" spans="1:9">
      <c r="A727" s="151">
        <f t="shared" si="43"/>
        <v>0</v>
      </c>
      <c r="B727" s="151" t="s">
        <v>206</v>
      </c>
      <c r="C727" s="159">
        <v>32121007</v>
      </c>
      <c r="D727" s="160" t="s">
        <v>472</v>
      </c>
      <c r="E727" s="161">
        <f>SUMIF(Lanç!$C$3:$C$114,C727,Lanç!$F$3:$F$114)</f>
        <v>-3500000</v>
      </c>
      <c r="F727" s="161">
        <f>SUMIF(Lanç!$C$115:$C$6504,C727,Lanç!$F$115:$F$6504)</f>
        <v>0</v>
      </c>
      <c r="G727" s="161">
        <f>SUMIF(Lanç!$C$115:$C$6504,C727,Lanç!$G$115:$G$6504)</f>
        <v>0</v>
      </c>
      <c r="H727" s="162">
        <f t="shared" si="44"/>
        <v>0</v>
      </c>
      <c r="I727" s="162">
        <f t="shared" si="45"/>
        <v>-3500000</v>
      </c>
    </row>
    <row r="728" spans="1:9" hidden="1">
      <c r="A728" s="151">
        <f t="shared" si="43"/>
        <v>1</v>
      </c>
      <c r="B728" s="151" t="s">
        <v>206</v>
      </c>
      <c r="C728" s="159">
        <v>32121008</v>
      </c>
      <c r="D728" s="160" t="s">
        <v>610</v>
      </c>
      <c r="E728" s="161">
        <f>SUMIF(Lanç!$C$3:$C$114,C728,Lanç!$F$3:$F$114)</f>
        <v>0</v>
      </c>
      <c r="F728" s="161">
        <f>SUMIF(Lanç!$C$115:$C$6504,C728,Lanç!$F$115:$F$6504)</f>
        <v>0</v>
      </c>
      <c r="G728" s="161">
        <f>SUMIF(Lanç!$C$115:$C$6504,C728,Lanç!$G$115:$G$6504)</f>
        <v>0</v>
      </c>
      <c r="H728" s="162">
        <f t="shared" si="44"/>
        <v>0</v>
      </c>
      <c r="I728" s="162">
        <f t="shared" si="45"/>
        <v>0</v>
      </c>
    </row>
    <row r="729" spans="1:9" hidden="1">
      <c r="A729" s="151">
        <f t="shared" si="43"/>
        <v>1</v>
      </c>
      <c r="B729" s="151" t="s">
        <v>206</v>
      </c>
      <c r="C729" s="159">
        <v>32121009</v>
      </c>
      <c r="D729" s="160" t="s">
        <v>611</v>
      </c>
      <c r="E729" s="161">
        <f>SUMIF(Lanç!$C$3:$C$114,C729,Lanç!$F$3:$F$114)</f>
        <v>0</v>
      </c>
      <c r="F729" s="161">
        <f>SUMIF(Lanç!$C$115:$C$6504,C729,Lanç!$F$115:$F$6504)</f>
        <v>0</v>
      </c>
      <c r="G729" s="161">
        <f>SUMIF(Lanç!$C$115:$C$6504,C729,Lanç!$G$115:$G$6504)</f>
        <v>0</v>
      </c>
      <c r="H729" s="162">
        <f t="shared" si="44"/>
        <v>0</v>
      </c>
      <c r="I729" s="162">
        <f t="shared" si="45"/>
        <v>0</v>
      </c>
    </row>
    <row r="730" spans="1:9" hidden="1">
      <c r="A730" s="151">
        <f t="shared" si="43"/>
        <v>1</v>
      </c>
      <c r="B730" s="151" t="s">
        <v>206</v>
      </c>
      <c r="C730" s="159">
        <v>32121010</v>
      </c>
      <c r="D730" s="160" t="s">
        <v>612</v>
      </c>
      <c r="E730" s="161">
        <f>SUMIF(Lanç!$C$3:$C$114,C730,Lanç!$F$3:$F$114)</f>
        <v>0</v>
      </c>
      <c r="F730" s="161">
        <f>SUMIF(Lanç!$C$115:$C$6504,C730,Lanç!$F$115:$F$6504)</f>
        <v>0</v>
      </c>
      <c r="G730" s="161">
        <f>SUMIF(Lanç!$C$115:$C$6504,C730,Lanç!$G$115:$G$6504)</f>
        <v>0</v>
      </c>
      <c r="H730" s="162">
        <f t="shared" si="44"/>
        <v>0</v>
      </c>
      <c r="I730" s="162">
        <f t="shared" si="45"/>
        <v>0</v>
      </c>
    </row>
    <row r="731" spans="1:9" hidden="1">
      <c r="A731" s="151">
        <f t="shared" si="43"/>
        <v>1</v>
      </c>
      <c r="B731" s="151" t="s">
        <v>206</v>
      </c>
      <c r="C731" s="159">
        <v>32121011</v>
      </c>
      <c r="D731" s="160" t="s">
        <v>613</v>
      </c>
      <c r="E731" s="161">
        <f>SUMIF(Lanç!$C$3:$C$114,C731,Lanç!$F$3:$F$114)</f>
        <v>0</v>
      </c>
      <c r="F731" s="161">
        <f>SUMIF(Lanç!$C$115:$C$6504,C731,Lanç!$F$115:$F$6504)</f>
        <v>0</v>
      </c>
      <c r="G731" s="161">
        <f>SUMIF(Lanç!$C$115:$C$6504,C731,Lanç!$G$115:$G$6504)</f>
        <v>0</v>
      </c>
      <c r="H731" s="162">
        <f t="shared" si="44"/>
        <v>0</v>
      </c>
      <c r="I731" s="162">
        <f t="shared" si="45"/>
        <v>0</v>
      </c>
    </row>
    <row r="732" spans="1:9" hidden="1">
      <c r="A732" s="151">
        <f t="shared" si="43"/>
        <v>1</v>
      </c>
      <c r="B732" s="151" t="s">
        <v>206</v>
      </c>
      <c r="C732" s="159">
        <v>32121012</v>
      </c>
      <c r="D732" s="160" t="s">
        <v>614</v>
      </c>
      <c r="E732" s="161">
        <f>SUMIF(Lanç!C3:C114,C732,Lanç!F3:F114)</f>
        <v>0</v>
      </c>
      <c r="F732" s="161">
        <f>SUMIF(Lanç!C115:C6504,C732,Lanç!F115:F6504)</f>
        <v>0</v>
      </c>
      <c r="G732" s="161">
        <f>SUMIF(Lanç!C115:C6504,C732,Lanç!G115:G6504)</f>
        <v>0</v>
      </c>
      <c r="H732" s="162">
        <f t="shared" si="44"/>
        <v>0</v>
      </c>
      <c r="I732" s="162">
        <f t="shared" si="45"/>
        <v>0</v>
      </c>
    </row>
    <row r="733" spans="1:9" hidden="1">
      <c r="A733" s="151">
        <f t="shared" si="43"/>
        <v>1</v>
      </c>
      <c r="B733" s="151" t="s">
        <v>206</v>
      </c>
      <c r="C733" s="159">
        <v>32121013</v>
      </c>
      <c r="D733" s="160" t="s">
        <v>615</v>
      </c>
      <c r="E733" s="161">
        <f>SUMIF(Lanç!$C$3:$C$114,C733,Lanç!$F$3:$F$114)</f>
        <v>0</v>
      </c>
      <c r="F733" s="161">
        <f>SUMIF(Lanç!$C$115:$C$6504,C733,Lanç!$F$115:$F$6504)</f>
        <v>0</v>
      </c>
      <c r="G733" s="161">
        <f>SUMIF(Lanç!$C$115:$C$6504,C733,Lanç!$G$115:$G$6504)</f>
        <v>0</v>
      </c>
      <c r="H733" s="162">
        <f t="shared" si="44"/>
        <v>0</v>
      </c>
      <c r="I733" s="162">
        <f t="shared" si="45"/>
        <v>0</v>
      </c>
    </row>
    <row r="734" spans="1:9" hidden="1">
      <c r="A734" s="151">
        <f t="shared" si="43"/>
        <v>1</v>
      </c>
      <c r="B734" s="151" t="s">
        <v>206</v>
      </c>
      <c r="C734" s="159">
        <v>32121014</v>
      </c>
      <c r="D734" s="160" t="s">
        <v>616</v>
      </c>
      <c r="E734" s="161">
        <f>SUMIF(Lanç!$C$3:$C$114,C734,Lanç!$F$3:$F$114)</f>
        <v>0</v>
      </c>
      <c r="F734" s="161">
        <f>SUMIF(Lanç!$C$115:$C$6504,C734,Lanç!$F$115:$F$6504)</f>
        <v>0</v>
      </c>
      <c r="G734" s="161">
        <f>SUMIF(Lanç!$C$115:$C$6504,C734,Lanç!$G$115:$G$6504)</f>
        <v>0</v>
      </c>
      <c r="H734" s="162">
        <f t="shared" si="44"/>
        <v>0</v>
      </c>
      <c r="I734" s="162">
        <f t="shared" si="45"/>
        <v>0</v>
      </c>
    </row>
    <row r="735" spans="1:9" hidden="1">
      <c r="A735" s="151">
        <f t="shared" si="43"/>
        <v>1</v>
      </c>
      <c r="B735" s="151" t="s">
        <v>206</v>
      </c>
      <c r="C735" s="159">
        <v>32121015</v>
      </c>
      <c r="D735" s="160" t="s">
        <v>617</v>
      </c>
      <c r="E735" s="161">
        <f>SUMIF(Lanç!$C$3:$C$114,C735,Lanç!$F$3:$F$114)</f>
        <v>0</v>
      </c>
      <c r="F735" s="161">
        <f>SUMIF(Lanç!$C$115:$C$6504,C735,Lanç!$F$115:$F$6504)</f>
        <v>0</v>
      </c>
      <c r="G735" s="161">
        <f>SUMIF(Lanç!$C$115:$C$6504,C735,Lanç!$G$115:$G$6504)</f>
        <v>0</v>
      </c>
      <c r="H735" s="162">
        <f t="shared" si="44"/>
        <v>0</v>
      </c>
      <c r="I735" s="162">
        <f t="shared" si="45"/>
        <v>0</v>
      </c>
    </row>
    <row r="736" spans="1:9" hidden="1">
      <c r="A736" s="151">
        <f t="shared" si="43"/>
        <v>1</v>
      </c>
      <c r="B736" s="151" t="s">
        <v>206</v>
      </c>
      <c r="C736" s="159">
        <v>32121016</v>
      </c>
      <c r="D736" s="160" t="s">
        <v>618</v>
      </c>
      <c r="E736" s="161">
        <f>SUMIF(Lanç!$C$3:$C$114,C736,Lanç!$F$3:$F$114)</f>
        <v>0</v>
      </c>
      <c r="F736" s="161">
        <f>SUMIF(Lanç!$C$115:$C$6504,C736,Lanç!$F$115:$F$6504)</f>
        <v>0</v>
      </c>
      <c r="G736" s="161">
        <f>SUMIF(Lanç!$C$115:$C$6504,C736,Lanç!$G$115:$G$6504)</f>
        <v>0</v>
      </c>
      <c r="H736" s="162">
        <f t="shared" si="44"/>
        <v>0</v>
      </c>
      <c r="I736" s="162">
        <f t="shared" si="45"/>
        <v>0</v>
      </c>
    </row>
    <row r="737" spans="1:9" hidden="1">
      <c r="A737" s="151">
        <f t="shared" si="43"/>
        <v>1</v>
      </c>
      <c r="B737" s="151" t="s">
        <v>206</v>
      </c>
      <c r="C737" s="159">
        <v>32121017</v>
      </c>
      <c r="D737" s="160" t="s">
        <v>619</v>
      </c>
      <c r="E737" s="161">
        <f>SUMIF(Lanç!$C$3:$C$114,C737,Lanç!$F$3:$F$114)</f>
        <v>0</v>
      </c>
      <c r="F737" s="161">
        <f>SUMIF(Lanç!$C$115:$C$6504,C737,Lanç!$F$115:$F$6504)</f>
        <v>0</v>
      </c>
      <c r="G737" s="161">
        <f>SUMIF(Lanç!$C$115:$C$6504,C737,Lanç!$G$115:$G$6504)</f>
        <v>0</v>
      </c>
      <c r="H737" s="162">
        <f t="shared" si="44"/>
        <v>0</v>
      </c>
      <c r="I737" s="162">
        <f t="shared" si="45"/>
        <v>0</v>
      </c>
    </row>
    <row r="738" spans="1:9" hidden="1">
      <c r="A738" s="151">
        <f t="shared" si="43"/>
        <v>1</v>
      </c>
      <c r="B738" s="151" t="s">
        <v>206</v>
      </c>
      <c r="C738" s="159">
        <v>32121018</v>
      </c>
      <c r="D738" s="160" t="s">
        <v>620</v>
      </c>
      <c r="E738" s="161">
        <f>SUMIF(Lanç!$C$3:$C$114,C738,Lanç!$F$3:$F$114)</f>
        <v>0</v>
      </c>
      <c r="F738" s="161">
        <f>SUMIF(Lanç!$C$115:$C$6504,C738,Lanç!$F$115:$F$6504)</f>
        <v>0</v>
      </c>
      <c r="G738" s="161">
        <f>SUMIF(Lanç!$C$115:$C$6504,C738,Lanç!$G$115:$G$6504)</f>
        <v>0</v>
      </c>
      <c r="H738" s="162">
        <f t="shared" si="44"/>
        <v>0</v>
      </c>
      <c r="I738" s="162">
        <f t="shared" si="45"/>
        <v>0</v>
      </c>
    </row>
    <row r="739" spans="1:9" hidden="1">
      <c r="A739" s="151">
        <f t="shared" si="43"/>
        <v>1</v>
      </c>
      <c r="B739" s="151" t="s">
        <v>206</v>
      </c>
      <c r="C739" s="159">
        <v>32121019</v>
      </c>
      <c r="D739" s="160" t="s">
        <v>621</v>
      </c>
      <c r="E739" s="161">
        <f>SUMIF(Lanç!$C$3:$C$114,C739,Lanç!$F$3:$F$114)</f>
        <v>0</v>
      </c>
      <c r="F739" s="161">
        <f>SUMIF(Lanç!$C$115:$C$6504,C739,Lanç!$F$115:$F$6504)</f>
        <v>0</v>
      </c>
      <c r="G739" s="161">
        <f>SUMIF(Lanç!$C$115:$C$6504,C739,Lanç!$G$115:$G$6504)</f>
        <v>0</v>
      </c>
      <c r="H739" s="162">
        <f t="shared" si="44"/>
        <v>0</v>
      </c>
      <c r="I739" s="162">
        <f t="shared" si="45"/>
        <v>0</v>
      </c>
    </row>
    <row r="740" spans="1:9" hidden="1">
      <c r="A740" s="151">
        <f t="shared" si="43"/>
        <v>1</v>
      </c>
      <c r="B740" s="151" t="s">
        <v>206</v>
      </c>
      <c r="C740" s="159">
        <v>32121020</v>
      </c>
      <c r="D740" s="160" t="s">
        <v>622</v>
      </c>
      <c r="E740" s="161">
        <f>SUMIF(Lanç!$C$3:$C$114,C740,Lanç!$F$3:$F$114)</f>
        <v>0</v>
      </c>
      <c r="F740" s="161">
        <f>SUMIF(Lanç!$C$115:$C$6504,C740,Lanç!$F$115:$F$6504)</f>
        <v>0</v>
      </c>
      <c r="G740" s="161">
        <f>SUMIF(Lanç!$C$115:$C$6504,C740,Lanç!$G$115:$G$6504)</f>
        <v>0</v>
      </c>
      <c r="H740" s="162">
        <f t="shared" si="44"/>
        <v>0</v>
      </c>
      <c r="I740" s="162">
        <f t="shared" si="45"/>
        <v>0</v>
      </c>
    </row>
    <row r="741" spans="1:9" hidden="1">
      <c r="A741" s="151">
        <f t="shared" si="43"/>
        <v>1</v>
      </c>
      <c r="B741" s="151" t="s">
        <v>206</v>
      </c>
      <c r="C741" s="159">
        <v>32121021</v>
      </c>
      <c r="D741" s="160" t="s">
        <v>623</v>
      </c>
      <c r="E741" s="161">
        <f>SUMIF(Lanç!$C$3:$C$114,C741,Lanç!$F$3:$F$114)</f>
        <v>0</v>
      </c>
      <c r="F741" s="161">
        <f>SUMIF(Lanç!$C$115:$C$6504,C741,Lanç!$F$115:$F$6504)</f>
        <v>0</v>
      </c>
      <c r="G741" s="161">
        <f>SUMIF(Lanç!$C$115:$C$6504,C741,Lanç!$G$115:$G$6504)</f>
        <v>0</v>
      </c>
      <c r="H741" s="162">
        <f t="shared" si="44"/>
        <v>0</v>
      </c>
      <c r="I741" s="162">
        <f t="shared" si="45"/>
        <v>0</v>
      </c>
    </row>
    <row r="742" spans="1:9" hidden="1">
      <c r="A742" s="151">
        <f t="shared" si="43"/>
        <v>1</v>
      </c>
      <c r="B742" s="151" t="s">
        <v>206</v>
      </c>
      <c r="C742" s="159">
        <v>32121022</v>
      </c>
      <c r="D742" s="160" t="s">
        <v>624</v>
      </c>
      <c r="E742" s="161">
        <f>SUMIF(Lanç!$C$3:$C$114,C742,Lanç!$F$3:$F$114)</f>
        <v>0</v>
      </c>
      <c r="F742" s="161">
        <f>SUMIF(Lanç!$C$115:$C$6504,C742,Lanç!$F$115:$F$6504)</f>
        <v>0</v>
      </c>
      <c r="G742" s="161">
        <f>SUMIF(Lanç!$C$115:$C$6504,C742,Lanç!$G$115:$G$6504)</f>
        <v>0</v>
      </c>
      <c r="H742" s="162">
        <f t="shared" si="44"/>
        <v>0</v>
      </c>
      <c r="I742" s="162">
        <f t="shared" si="45"/>
        <v>0</v>
      </c>
    </row>
    <row r="743" spans="1:9">
      <c r="A743" s="151">
        <f t="shared" si="43"/>
        <v>0</v>
      </c>
      <c r="B743" s="151" t="s">
        <v>206</v>
      </c>
      <c r="C743" s="159">
        <v>32121023</v>
      </c>
      <c r="D743" s="160" t="s">
        <v>625</v>
      </c>
      <c r="E743" s="161">
        <f>SUMIF(Lanç!C3:C114,C743,Lanç!F3:F114)</f>
        <v>-2615056</v>
      </c>
      <c r="F743" s="161">
        <f>SUMIF(Lanç!C115:C6504,C743,Lanç!F115:F6504)</f>
        <v>0</v>
      </c>
      <c r="G743" s="161">
        <f>SUMIF(Lanç!C115:C6504,C743,Lanç!G115:G6504)</f>
        <v>0</v>
      </c>
      <c r="H743" s="162">
        <f t="shared" si="44"/>
        <v>0</v>
      </c>
      <c r="I743" s="162">
        <f t="shared" si="45"/>
        <v>-2615056</v>
      </c>
    </row>
    <row r="744" spans="1:9" hidden="1">
      <c r="A744" s="151">
        <f t="shared" si="43"/>
        <v>1</v>
      </c>
      <c r="B744" s="151" t="s">
        <v>206</v>
      </c>
      <c r="C744" s="159">
        <v>32121024</v>
      </c>
      <c r="D744" s="160" t="s">
        <v>626</v>
      </c>
      <c r="E744" s="161">
        <f>SUMIF(Lanç!$C$3:$C$114,C744,Lanç!$F$3:$F$114)</f>
        <v>0</v>
      </c>
      <c r="F744" s="161">
        <f>SUMIF(Lanç!$C$115:$C$6504,C744,Lanç!$F$115:$F$6504)</f>
        <v>0</v>
      </c>
      <c r="G744" s="161">
        <f>SUMIF(Lanç!$C$115:$C$6504,C744,Lanç!$G$115:$G$6504)</f>
        <v>0</v>
      </c>
      <c r="H744" s="162">
        <f t="shared" si="44"/>
        <v>0</v>
      </c>
      <c r="I744" s="162">
        <f t="shared" si="45"/>
        <v>0</v>
      </c>
    </row>
    <row r="745" spans="1:9" hidden="1">
      <c r="A745" s="151">
        <f t="shared" si="43"/>
        <v>1</v>
      </c>
      <c r="B745" s="151" t="s">
        <v>206</v>
      </c>
      <c r="C745" s="159">
        <v>32121025</v>
      </c>
      <c r="D745" s="160" t="s">
        <v>627</v>
      </c>
      <c r="E745" s="161">
        <f>SUMIF(Lanç!$C$3:$C$114,C745,Lanç!$F$3:$F$114)</f>
        <v>0</v>
      </c>
      <c r="F745" s="161">
        <f>SUMIF(Lanç!$C$115:$C$6504,C745,Lanç!$F$115:$F$6504)</f>
        <v>0</v>
      </c>
      <c r="G745" s="161">
        <f>SUMIF(Lanç!$C$115:$C$6504,C745,Lanç!$G$115:$G$6504)</f>
        <v>0</v>
      </c>
      <c r="H745" s="162">
        <f t="shared" si="44"/>
        <v>0</v>
      </c>
      <c r="I745" s="162">
        <f t="shared" si="45"/>
        <v>0</v>
      </c>
    </row>
    <row r="746" spans="1:9" hidden="1">
      <c r="A746" s="151">
        <f t="shared" si="43"/>
        <v>1</v>
      </c>
      <c r="B746" s="151" t="s">
        <v>206</v>
      </c>
      <c r="C746" s="159">
        <v>32121026</v>
      </c>
      <c r="D746" s="160" t="s">
        <v>628</v>
      </c>
      <c r="E746" s="161">
        <f>SUMIF(Lanç!C3:C114,C746,Lanç!F3:F114)</f>
        <v>0</v>
      </c>
      <c r="F746" s="161">
        <f>SUMIF(Lanç!C115:C6504,C746,Lanç!F115:F6504)</f>
        <v>0</v>
      </c>
      <c r="G746" s="161">
        <f>SUMIF(Lanç!C115:C6504,C746,Lanç!G115:G6504)</f>
        <v>0</v>
      </c>
      <c r="H746" s="162">
        <f t="shared" si="44"/>
        <v>0</v>
      </c>
      <c r="I746" s="162">
        <f t="shared" si="45"/>
        <v>0</v>
      </c>
    </row>
    <row r="747" spans="1:9" hidden="1">
      <c r="A747" s="151">
        <f t="shared" si="43"/>
        <v>1</v>
      </c>
      <c r="B747" s="151" t="s">
        <v>206</v>
      </c>
      <c r="C747" s="159">
        <v>32121027</v>
      </c>
      <c r="D747" s="160" t="s">
        <v>629</v>
      </c>
      <c r="E747" s="161">
        <f>SUMIF(Lanç!$C$3:$C$114,C747,Lanç!$F$3:$F$114)</f>
        <v>0</v>
      </c>
      <c r="F747" s="161">
        <f>SUMIF(Lanç!$C$115:$C$6504,C747,Lanç!$F$115:$F$6504)</f>
        <v>0</v>
      </c>
      <c r="G747" s="161">
        <f>SUMIF(Lanç!$C$115:$C$6504,C747,Lanç!$G$115:$G$6504)</f>
        <v>0</v>
      </c>
      <c r="H747" s="162">
        <f t="shared" si="44"/>
        <v>0</v>
      </c>
      <c r="I747" s="162">
        <f t="shared" si="45"/>
        <v>0</v>
      </c>
    </row>
    <row r="748" spans="1:9" hidden="1">
      <c r="A748" s="151">
        <f t="shared" si="43"/>
        <v>1</v>
      </c>
      <c r="B748" s="151" t="s">
        <v>206</v>
      </c>
      <c r="C748" s="159">
        <v>32121028</v>
      </c>
      <c r="D748" s="160" t="s">
        <v>630</v>
      </c>
      <c r="E748" s="161">
        <f>SUMIF(Lanç!$C$3:$C$114,C748,Lanç!$F$3:$F$114)</f>
        <v>0</v>
      </c>
      <c r="F748" s="161">
        <f>SUMIF(Lanç!$C$115:$C$6504,C748,Lanç!$F$115:$F$6504)</f>
        <v>0</v>
      </c>
      <c r="G748" s="161">
        <f>SUMIF(Lanç!$C$115:$C$6504,C748,Lanç!$G$115:$G$6504)</f>
        <v>0</v>
      </c>
      <c r="H748" s="162">
        <f t="shared" si="44"/>
        <v>0</v>
      </c>
      <c r="I748" s="162">
        <f t="shared" si="45"/>
        <v>0</v>
      </c>
    </row>
    <row r="749" spans="1:9" hidden="1">
      <c r="A749" s="151">
        <f t="shared" si="43"/>
        <v>1</v>
      </c>
      <c r="B749" s="151" t="s">
        <v>206</v>
      </c>
      <c r="C749" s="159">
        <v>32121029</v>
      </c>
      <c r="D749" s="160" t="s">
        <v>631</v>
      </c>
      <c r="E749" s="161">
        <f>SUMIF(Lanç!C3:C114,C749,Lanç!F3:F114)</f>
        <v>0</v>
      </c>
      <c r="F749" s="161">
        <f>SUMIF(Lanç!C115:C6504,C749,Lanç!F115:F6504)</f>
        <v>0</v>
      </c>
      <c r="G749" s="161">
        <f>SUMIF(Lanç!C115:C6504,C749,Lanç!G115:G6504)</f>
        <v>0</v>
      </c>
      <c r="H749" s="162">
        <f t="shared" si="44"/>
        <v>0</v>
      </c>
      <c r="I749" s="162">
        <f t="shared" si="45"/>
        <v>0</v>
      </c>
    </row>
    <row r="750" spans="1:9" hidden="1">
      <c r="A750" s="151">
        <f t="shared" si="43"/>
        <v>1</v>
      </c>
      <c r="B750" s="151" t="s">
        <v>206</v>
      </c>
      <c r="C750" s="159">
        <v>32121030</v>
      </c>
      <c r="D750" s="160" t="s">
        <v>632</v>
      </c>
      <c r="E750" s="161">
        <f>SUMIF(Lanç!$C$3:$C$114,C750,Lanç!$F$3:$F$114)</f>
        <v>0</v>
      </c>
      <c r="F750" s="161">
        <f>SUMIF(Lanç!$C$115:$C$6504,C750,Lanç!$F$115:$F$6504)</f>
        <v>0</v>
      </c>
      <c r="G750" s="161">
        <f>SUMIF(Lanç!$C$115:$C$6504,C750,Lanç!$G$115:$G$6504)</f>
        <v>0</v>
      </c>
      <c r="H750" s="162">
        <f t="shared" si="44"/>
        <v>0</v>
      </c>
      <c r="I750" s="162">
        <f t="shared" si="45"/>
        <v>0</v>
      </c>
    </row>
    <row r="751" spans="1:9" hidden="1">
      <c r="A751" s="151">
        <f t="shared" si="43"/>
        <v>1</v>
      </c>
      <c r="B751" s="151" t="s">
        <v>206</v>
      </c>
      <c r="C751" s="159">
        <v>32121031</v>
      </c>
      <c r="D751" s="160" t="s">
        <v>633</v>
      </c>
      <c r="E751" s="161">
        <f>SUMIF(Lanç!$C$3:$C$114,C751,Lanç!$F$3:$F$114)</f>
        <v>0</v>
      </c>
      <c r="F751" s="161">
        <f>SUMIF(Lanç!$C$115:$C$6504,C751,Lanç!$F$115:$F$6504)</f>
        <v>0</v>
      </c>
      <c r="G751" s="161">
        <f>SUMIF(Lanç!$C$115:$C$6504,C751,Lanç!$G$115:$G$6504)</f>
        <v>0</v>
      </c>
      <c r="H751" s="162">
        <f t="shared" si="44"/>
        <v>0</v>
      </c>
      <c r="I751" s="162">
        <f t="shared" si="45"/>
        <v>0</v>
      </c>
    </row>
    <row r="752" spans="1:9" hidden="1">
      <c r="A752" s="151">
        <f t="shared" si="43"/>
        <v>1</v>
      </c>
      <c r="B752" s="151" t="s">
        <v>206</v>
      </c>
      <c r="C752" s="159">
        <v>32121032</v>
      </c>
      <c r="D752" s="160" t="s">
        <v>634</v>
      </c>
      <c r="E752" s="161">
        <f>SUMIF(Lanç!$C$3:$C$114,C752,Lanç!$F$3:$F$114)</f>
        <v>0</v>
      </c>
      <c r="F752" s="161">
        <f>SUMIF(Lanç!$C$115:$C$6504,C752,Lanç!$F$115:$F$6504)</f>
        <v>0</v>
      </c>
      <c r="G752" s="161">
        <f>SUMIF(Lanç!$C$115:$C$6504,C752,Lanç!$G$115:$G$6504)</f>
        <v>0</v>
      </c>
      <c r="H752" s="162">
        <f t="shared" si="44"/>
        <v>0</v>
      </c>
      <c r="I752" s="162">
        <f t="shared" si="45"/>
        <v>0</v>
      </c>
    </row>
    <row r="753" spans="1:9" hidden="1">
      <c r="A753" s="151">
        <f t="shared" si="43"/>
        <v>1</v>
      </c>
      <c r="B753" s="151" t="s">
        <v>206</v>
      </c>
      <c r="C753" s="159">
        <v>32121033</v>
      </c>
      <c r="D753" s="160" t="s">
        <v>635</v>
      </c>
      <c r="E753" s="161">
        <f>SUMIF(Lanç!$C$3:$C$114,C753,Lanç!$F$3:$F$114)</f>
        <v>0</v>
      </c>
      <c r="F753" s="161">
        <f>SUMIF(Lanç!$C$115:$C$6504,C753,Lanç!$F$115:$F$6504)</f>
        <v>0</v>
      </c>
      <c r="G753" s="161">
        <f>SUMIF(Lanç!$C$115:$C$6504,C753,Lanç!$G$115:$G$6504)</f>
        <v>0</v>
      </c>
      <c r="H753" s="162">
        <f t="shared" si="44"/>
        <v>0</v>
      </c>
      <c r="I753" s="162">
        <f t="shared" si="45"/>
        <v>0</v>
      </c>
    </row>
    <row r="754" spans="1:9" hidden="1">
      <c r="A754" s="151">
        <f t="shared" si="43"/>
        <v>1</v>
      </c>
      <c r="B754" s="151" t="s">
        <v>206</v>
      </c>
      <c r="C754" s="159">
        <v>32121034</v>
      </c>
      <c r="D754" s="160" t="s">
        <v>636</v>
      </c>
      <c r="E754" s="161">
        <f>SUMIF(Lanç!$C$3:$C$114,C754,Lanç!$F$3:$F$114)</f>
        <v>0</v>
      </c>
      <c r="F754" s="161">
        <f>SUMIF(Lanç!$C$115:$C$6504,C754,Lanç!$F$115:$F$6504)</f>
        <v>0</v>
      </c>
      <c r="G754" s="161">
        <f>SUMIF(Lanç!$C$115:$C$6504,C754,Lanç!$G$115:$G$6504)</f>
        <v>0</v>
      </c>
      <c r="H754" s="162">
        <f t="shared" si="44"/>
        <v>0</v>
      </c>
      <c r="I754" s="162">
        <f t="shared" si="45"/>
        <v>0</v>
      </c>
    </row>
    <row r="755" spans="1:9" hidden="1">
      <c r="A755" s="151">
        <f t="shared" si="43"/>
        <v>1</v>
      </c>
      <c r="B755" s="151" t="s">
        <v>206</v>
      </c>
      <c r="C755" s="159">
        <v>32121035</v>
      </c>
      <c r="D755" s="160" t="s">
        <v>637</v>
      </c>
      <c r="E755" s="161">
        <f>SUMIF(Lanç!$C$3:$C$114,C755,Lanç!$F$3:$F$114)</f>
        <v>0</v>
      </c>
      <c r="F755" s="161">
        <f>SUMIF(Lanç!$C$115:$C$6504,C755,Lanç!$F$115:$F$6504)</f>
        <v>0</v>
      </c>
      <c r="G755" s="161">
        <f>SUMIF(Lanç!$C$115:$C$6504,C755,Lanç!$G$115:$G$6504)</f>
        <v>0</v>
      </c>
      <c r="H755" s="162">
        <f t="shared" si="44"/>
        <v>0</v>
      </c>
      <c r="I755" s="162">
        <f t="shared" si="45"/>
        <v>0</v>
      </c>
    </row>
    <row r="756" spans="1:9" hidden="1">
      <c r="A756" s="151">
        <f t="shared" si="43"/>
        <v>1</v>
      </c>
      <c r="B756" s="151" t="s">
        <v>206</v>
      </c>
      <c r="C756" s="159">
        <v>32121036</v>
      </c>
      <c r="D756" s="160" t="s">
        <v>638</v>
      </c>
      <c r="E756" s="161">
        <f>SUMIF(Lanç!$C$3:$C$114,C756,Lanç!$F$3:$F$114)</f>
        <v>0</v>
      </c>
      <c r="F756" s="161">
        <f>SUMIF(Lanç!$C$115:$C$6504,C756,Lanç!$F$115:$F$6504)</f>
        <v>0</v>
      </c>
      <c r="G756" s="161">
        <f>SUMIF(Lanç!$C$115:$C$6504,C756,Lanç!$G$115:$G$6504)</f>
        <v>0</v>
      </c>
      <c r="H756" s="162">
        <f t="shared" si="44"/>
        <v>0</v>
      </c>
      <c r="I756" s="162">
        <f t="shared" si="45"/>
        <v>0</v>
      </c>
    </row>
    <row r="757" spans="1:9" hidden="1">
      <c r="A757" s="151">
        <f t="shared" si="43"/>
        <v>1</v>
      </c>
      <c r="B757" s="151" t="s">
        <v>206</v>
      </c>
      <c r="C757" s="159">
        <v>32121037</v>
      </c>
      <c r="D757" s="160" t="s">
        <v>639</v>
      </c>
      <c r="E757" s="161">
        <f>SUMIF(Lanç!$C$3:$C$114,C757,Lanç!$F$3:$F$114)</f>
        <v>0</v>
      </c>
      <c r="F757" s="161">
        <f>SUMIF(Lanç!$C$115:$C$6504,C757,Lanç!$F$115:$F$6504)</f>
        <v>0</v>
      </c>
      <c r="G757" s="161">
        <f>SUMIF(Lanç!$C$115:$C$6504,C757,Lanç!$G$115:$G$6504)</f>
        <v>0</v>
      </c>
      <c r="H757" s="162">
        <f t="shared" si="44"/>
        <v>0</v>
      </c>
      <c r="I757" s="162">
        <f t="shared" si="45"/>
        <v>0</v>
      </c>
    </row>
    <row r="758" spans="1:9" hidden="1">
      <c r="A758" s="151">
        <f t="shared" si="43"/>
        <v>1</v>
      </c>
      <c r="B758" s="151" t="s">
        <v>206</v>
      </c>
      <c r="C758" s="159">
        <v>32121038</v>
      </c>
      <c r="D758" s="160" t="s">
        <v>640</v>
      </c>
      <c r="E758" s="161">
        <f>SUMIF(Lanç!$C$3:$C$114,C758,Lanç!$F$3:$F$114)</f>
        <v>0</v>
      </c>
      <c r="F758" s="161">
        <f>SUMIF(Lanç!$C$115:$C$6504,C758,Lanç!$F$115:$F$6504)</f>
        <v>0</v>
      </c>
      <c r="G758" s="161">
        <f>SUMIF(Lanç!$C$115:$C$6504,C758,Lanç!$G$115:$G$6504)</f>
        <v>0</v>
      </c>
      <c r="H758" s="162">
        <f t="shared" si="44"/>
        <v>0</v>
      </c>
      <c r="I758" s="162">
        <f t="shared" si="45"/>
        <v>0</v>
      </c>
    </row>
    <row r="759" spans="1:9" hidden="1">
      <c r="A759" s="151">
        <f t="shared" si="43"/>
        <v>1</v>
      </c>
      <c r="B759" s="151" t="s">
        <v>206</v>
      </c>
      <c r="C759" s="159">
        <v>32121039</v>
      </c>
      <c r="D759" s="160" t="s">
        <v>641</v>
      </c>
      <c r="E759" s="161">
        <f>SUMIF(Lanç!$C$3:$C$114,C759,Lanç!$F$3:$F$114)</f>
        <v>0</v>
      </c>
      <c r="F759" s="161">
        <f>SUMIF(Lanç!$C$115:$C$6504,C759,Lanç!$F$115:$F$6504)</f>
        <v>0</v>
      </c>
      <c r="G759" s="161">
        <f>SUMIF(Lanç!$C$115:$C$6504,C759,Lanç!$G$115:$G$6504)</f>
        <v>0</v>
      </c>
      <c r="H759" s="162">
        <f t="shared" si="44"/>
        <v>0</v>
      </c>
      <c r="I759" s="162">
        <f t="shared" si="45"/>
        <v>0</v>
      </c>
    </row>
    <row r="760" spans="1:9" hidden="1">
      <c r="A760" s="151">
        <f t="shared" si="43"/>
        <v>1</v>
      </c>
      <c r="B760" s="151" t="s">
        <v>206</v>
      </c>
      <c r="C760" s="159">
        <v>32121040</v>
      </c>
      <c r="D760" s="160" t="s">
        <v>642</v>
      </c>
      <c r="E760" s="161">
        <f>SUMIF(Lanç!$C$3:$C$114,C760,Lanç!$F$3:$F$114)</f>
        <v>0</v>
      </c>
      <c r="F760" s="161">
        <f>SUMIF(Lanç!$C$115:$C$6504,C760,Lanç!$F$115:$F$6504)</f>
        <v>0</v>
      </c>
      <c r="G760" s="161">
        <f>SUMIF(Lanç!$C$115:$C$6504,C760,Lanç!$G$115:$G$6504)</f>
        <v>0</v>
      </c>
      <c r="H760" s="162">
        <f t="shared" si="44"/>
        <v>0</v>
      </c>
      <c r="I760" s="162">
        <f t="shared" si="45"/>
        <v>0</v>
      </c>
    </row>
    <row r="761" spans="1:9" hidden="1">
      <c r="A761" s="151">
        <f t="shared" si="43"/>
        <v>1</v>
      </c>
      <c r="B761" s="151" t="s">
        <v>206</v>
      </c>
      <c r="C761" s="159">
        <v>32121041</v>
      </c>
      <c r="D761" s="160" t="s">
        <v>643</v>
      </c>
      <c r="E761" s="161">
        <f>SUMIF(Lanç!$C$3:$C$114,C761,Lanç!$F$3:$F$114)</f>
        <v>0</v>
      </c>
      <c r="F761" s="161">
        <f>SUMIF(Lanç!$C$115:$C$6504,C761,Lanç!$F$115:$F$6504)</f>
        <v>0</v>
      </c>
      <c r="G761" s="161">
        <f>SUMIF(Lanç!$C$115:$C$6504,C761,Lanç!$G$115:$G$6504)</f>
        <v>0</v>
      </c>
      <c r="H761" s="162">
        <f t="shared" si="44"/>
        <v>0</v>
      </c>
      <c r="I761" s="162">
        <f t="shared" si="45"/>
        <v>0</v>
      </c>
    </row>
    <row r="762" spans="1:9" hidden="1">
      <c r="A762" s="151">
        <f t="shared" si="43"/>
        <v>1</v>
      </c>
      <c r="B762" s="151" t="s">
        <v>206</v>
      </c>
      <c r="C762" s="159">
        <v>32121042</v>
      </c>
      <c r="D762" s="160" t="s">
        <v>644</v>
      </c>
      <c r="E762" s="161">
        <f>SUMIF(Lanç!$C$3:$C$114,C762,Lanç!$F$3:$F$114)</f>
        <v>0</v>
      </c>
      <c r="F762" s="161">
        <f>SUMIF(Lanç!$C$115:$C$6504,C762,Lanç!$F$115:$F$6504)</f>
        <v>0</v>
      </c>
      <c r="G762" s="161">
        <f>SUMIF(Lanç!$C$115:$C$6504,C762,Lanç!$G$115:$G$6504)</f>
        <v>0</v>
      </c>
      <c r="H762" s="162">
        <f t="shared" si="44"/>
        <v>0</v>
      </c>
      <c r="I762" s="162">
        <f t="shared" si="45"/>
        <v>0</v>
      </c>
    </row>
    <row r="763" spans="1:9" hidden="1">
      <c r="A763" s="151">
        <f t="shared" si="43"/>
        <v>1</v>
      </c>
      <c r="B763" s="151" t="s">
        <v>206</v>
      </c>
      <c r="C763" s="159">
        <v>32121043</v>
      </c>
      <c r="D763" s="160" t="s">
        <v>645</v>
      </c>
      <c r="E763" s="161">
        <f>SUMIF(Lanç!$C$3:$C$114,C763,Lanç!$F$3:$F$114)</f>
        <v>0</v>
      </c>
      <c r="F763" s="161">
        <f>SUMIF(Lanç!$C$115:$C$6504,C763,Lanç!$F$115:$F$6504)</f>
        <v>0</v>
      </c>
      <c r="G763" s="161">
        <f>SUMIF(Lanç!$C$115:$C$6504,C763,Lanç!$G$115:$G$6504)</f>
        <v>0</v>
      </c>
      <c r="H763" s="162">
        <f t="shared" si="44"/>
        <v>0</v>
      </c>
      <c r="I763" s="162">
        <f t="shared" si="45"/>
        <v>0</v>
      </c>
    </row>
    <row r="764" spans="1:9" hidden="1">
      <c r="A764" s="151">
        <f t="shared" si="43"/>
        <v>1</v>
      </c>
      <c r="B764" s="151" t="s">
        <v>206</v>
      </c>
      <c r="C764" s="159">
        <v>32121044</v>
      </c>
      <c r="D764" s="160" t="s">
        <v>646</v>
      </c>
      <c r="E764" s="161">
        <f>SUMIF(Lanç!$C$3:$C$114,C764,Lanç!$F$3:$F$114)</f>
        <v>0</v>
      </c>
      <c r="F764" s="161">
        <f>SUMIF(Lanç!$C$115:$C$6504,C764,Lanç!$F$115:$F$6504)</f>
        <v>0</v>
      </c>
      <c r="G764" s="161">
        <f>SUMIF(Lanç!$C$115:$C$6504,C764,Lanç!$G$115:$G$6504)</f>
        <v>0</v>
      </c>
      <c r="H764" s="162">
        <f t="shared" si="44"/>
        <v>0</v>
      </c>
      <c r="I764" s="162">
        <f t="shared" si="45"/>
        <v>0</v>
      </c>
    </row>
    <row r="765" spans="1:9" hidden="1">
      <c r="A765" s="151">
        <f t="shared" si="43"/>
        <v>1</v>
      </c>
      <c r="B765" s="151" t="s">
        <v>206</v>
      </c>
      <c r="C765" s="159">
        <v>32121045</v>
      </c>
      <c r="D765" s="160" t="s">
        <v>647</v>
      </c>
      <c r="E765" s="161">
        <f>SUMIF(Lanç!$C$3:$C$114,C765,Lanç!$F$3:$F$114)</f>
        <v>0</v>
      </c>
      <c r="F765" s="161">
        <f>SUMIF(Lanç!$C$115:$C$6504,C765,Lanç!$F$115:$F$6504)</f>
        <v>0</v>
      </c>
      <c r="G765" s="161">
        <f>SUMIF(Lanç!$C$115:$C$6504,C765,Lanç!$G$115:$G$6504)</f>
        <v>0</v>
      </c>
      <c r="H765" s="162">
        <f t="shared" si="44"/>
        <v>0</v>
      </c>
      <c r="I765" s="162">
        <f t="shared" si="45"/>
        <v>0</v>
      </c>
    </row>
    <row r="766" spans="1:9" hidden="1">
      <c r="A766" s="151">
        <f t="shared" si="43"/>
        <v>1</v>
      </c>
      <c r="B766" s="151" t="s">
        <v>206</v>
      </c>
      <c r="C766" s="159">
        <v>32121047</v>
      </c>
      <c r="D766" s="160" t="s">
        <v>648</v>
      </c>
      <c r="E766" s="161">
        <f>SUMIF(Lanç!$C$3:$C$114,C766,Lanç!$F$3:$F$114)</f>
        <v>0</v>
      </c>
      <c r="F766" s="161">
        <f>SUMIF(Lanç!$C$115:$C$6504,C766,Lanç!$F$115:$F$6504)</f>
        <v>0</v>
      </c>
      <c r="G766" s="161">
        <f>SUMIF(Lanç!$C$115:$C$6504,C766,Lanç!$G$115:$G$6504)</f>
        <v>0</v>
      </c>
      <c r="H766" s="162">
        <f t="shared" si="44"/>
        <v>0</v>
      </c>
      <c r="I766" s="162">
        <f t="shared" si="45"/>
        <v>0</v>
      </c>
    </row>
    <row r="767" spans="1:9" hidden="1">
      <c r="A767" s="151">
        <f t="shared" si="43"/>
        <v>1</v>
      </c>
      <c r="B767" s="151" t="s">
        <v>206</v>
      </c>
      <c r="C767" s="159">
        <v>32121048</v>
      </c>
      <c r="D767" s="160" t="s">
        <v>649</v>
      </c>
      <c r="E767" s="161">
        <f>SUMIF(Lanç!C3:C114,C767,Lanç!F3:F114)</f>
        <v>0</v>
      </c>
      <c r="F767" s="161">
        <f>SUMIF(Lanç!C115:C6504,C767,Lanç!F115:F6504)</f>
        <v>0</v>
      </c>
      <c r="G767" s="161">
        <f>SUMIF(Lanç!C115:C6504,C767,Lanç!G115:G6504)</f>
        <v>0</v>
      </c>
      <c r="H767" s="162">
        <f t="shared" si="44"/>
        <v>0</v>
      </c>
      <c r="I767" s="162">
        <f t="shared" si="45"/>
        <v>0</v>
      </c>
    </row>
    <row r="768" spans="1:9" hidden="1">
      <c r="A768" s="151">
        <f t="shared" si="43"/>
        <v>1</v>
      </c>
      <c r="B768" s="151" t="s">
        <v>206</v>
      </c>
      <c r="C768" s="159">
        <v>32121049</v>
      </c>
      <c r="D768" s="160" t="s">
        <v>650</v>
      </c>
      <c r="E768" s="161">
        <f>SUMIF(Lanç!$C$3:$C$114,C768,Lanç!$F$3:$F$114)</f>
        <v>0</v>
      </c>
      <c r="F768" s="161">
        <f>SUMIF(Lanç!$C$115:$C$6504,C768,Lanç!$F$115:$F$6504)</f>
        <v>0</v>
      </c>
      <c r="G768" s="161">
        <f>SUMIF(Lanç!$C$115:$C$6504,C768,Lanç!$G$115:$G$6504)</f>
        <v>0</v>
      </c>
      <c r="H768" s="162">
        <f t="shared" si="44"/>
        <v>0</v>
      </c>
      <c r="I768" s="162">
        <f t="shared" si="45"/>
        <v>0</v>
      </c>
    </row>
    <row r="769" spans="1:9" hidden="1">
      <c r="A769" s="151">
        <f t="shared" si="43"/>
        <v>1</v>
      </c>
      <c r="B769" s="151" t="s">
        <v>206</v>
      </c>
      <c r="C769" s="159">
        <v>32121050</v>
      </c>
      <c r="D769" s="160" t="s">
        <v>651</v>
      </c>
      <c r="E769" s="161">
        <f>SUMIF(Lanç!$C$3:$C$114,C769,Lanç!$F$3:$F$114)</f>
        <v>0</v>
      </c>
      <c r="F769" s="161">
        <f>SUMIF(Lanç!$C$115:$C$6504,C769,Lanç!$F$115:$F$6504)</f>
        <v>0</v>
      </c>
      <c r="G769" s="161">
        <f>SUMIF(Lanç!$C$115:$C$6504,C769,Lanç!$G$115:$G$6504)</f>
        <v>0</v>
      </c>
      <c r="H769" s="162">
        <f t="shared" si="44"/>
        <v>0</v>
      </c>
      <c r="I769" s="162">
        <f t="shared" si="45"/>
        <v>0</v>
      </c>
    </row>
    <row r="770" spans="1:9" hidden="1">
      <c r="A770" s="151">
        <f t="shared" si="43"/>
        <v>1</v>
      </c>
      <c r="B770" s="151" t="s">
        <v>206</v>
      </c>
      <c r="C770" s="159">
        <v>32121051</v>
      </c>
      <c r="D770" s="160" t="s">
        <v>652</v>
      </c>
      <c r="E770" s="161">
        <f>SUMIF(Lanç!$C$3:$C$114,C770,Lanç!$F$3:$F$114)</f>
        <v>0</v>
      </c>
      <c r="F770" s="161">
        <f>SUMIF(Lanç!$C$115:$C$6504,C770,Lanç!$F$115:$F$6504)</f>
        <v>0</v>
      </c>
      <c r="G770" s="161">
        <f>SUMIF(Lanç!$C$115:$C$6504,C770,Lanç!$G$115:$G$6504)</f>
        <v>0</v>
      </c>
      <c r="H770" s="162">
        <f t="shared" si="44"/>
        <v>0</v>
      </c>
      <c r="I770" s="162">
        <f t="shared" si="45"/>
        <v>0</v>
      </c>
    </row>
    <row r="771" spans="1:9" hidden="1">
      <c r="A771" s="151">
        <f t="shared" si="43"/>
        <v>1</v>
      </c>
      <c r="B771" s="151" t="s">
        <v>206</v>
      </c>
      <c r="C771" s="159">
        <v>32121052</v>
      </c>
      <c r="D771" s="160" t="s">
        <v>653</v>
      </c>
      <c r="E771" s="161">
        <f>SUMIF(Lanç!$C$3:$C$114,C771,Lanç!$F$3:$F$114)</f>
        <v>0</v>
      </c>
      <c r="F771" s="161">
        <f>SUMIF(Lanç!$C$115:$C$6504,C771,Lanç!$F$115:$F$6504)</f>
        <v>0</v>
      </c>
      <c r="G771" s="161">
        <f>SUMIF(Lanç!$C$115:$C$6504,C771,Lanç!$G$115:$G$6504)</f>
        <v>0</v>
      </c>
      <c r="H771" s="162">
        <f t="shared" si="44"/>
        <v>0</v>
      </c>
      <c r="I771" s="162">
        <f t="shared" si="45"/>
        <v>0</v>
      </c>
    </row>
    <row r="772" spans="1:9" hidden="1">
      <c r="A772" s="151">
        <f t="shared" si="43"/>
        <v>1</v>
      </c>
      <c r="B772" s="151" t="s">
        <v>206</v>
      </c>
      <c r="C772" s="159">
        <v>32121054</v>
      </c>
      <c r="D772" s="160" t="s">
        <v>654</v>
      </c>
      <c r="E772" s="161">
        <f>SUMIF(Lanç!C3:C114,C772,Lanç!F3:F114)</f>
        <v>0</v>
      </c>
      <c r="F772" s="161">
        <f>SUMIF(Lanç!C115:C6504,C772,Lanç!F115:F6504)</f>
        <v>0</v>
      </c>
      <c r="G772" s="161">
        <f>SUMIF(Lanç!C115:C6504,C772,Lanç!G115:G6504)</f>
        <v>0</v>
      </c>
      <c r="H772" s="162">
        <f t="shared" si="44"/>
        <v>0</v>
      </c>
      <c r="I772" s="162">
        <f t="shared" si="45"/>
        <v>0</v>
      </c>
    </row>
    <row r="773" spans="1:9" hidden="1">
      <c r="A773" s="151">
        <f t="shared" si="43"/>
        <v>1</v>
      </c>
      <c r="B773" s="151" t="s">
        <v>206</v>
      </c>
      <c r="C773" s="159">
        <v>32121055</v>
      </c>
      <c r="D773" s="160" t="s">
        <v>655</v>
      </c>
      <c r="E773" s="161">
        <f>SUMIF(Lanç!$C$3:$C$114,C773,Lanç!$F$3:$F$114)</f>
        <v>0</v>
      </c>
      <c r="F773" s="161">
        <f>SUMIF(Lanç!$C$115:$C$6504,C773,Lanç!$F$115:$F$6504)</f>
        <v>0</v>
      </c>
      <c r="G773" s="161">
        <f>SUMIF(Lanç!$C$115:$C$6504,C773,Lanç!$G$115:$G$6504)</f>
        <v>0</v>
      </c>
      <c r="H773" s="162">
        <f t="shared" si="44"/>
        <v>0</v>
      </c>
      <c r="I773" s="162">
        <f t="shared" si="45"/>
        <v>0</v>
      </c>
    </row>
    <row r="774" spans="1:9" hidden="1">
      <c r="A774" s="151">
        <f t="shared" si="43"/>
        <v>1</v>
      </c>
      <c r="B774" s="151" t="s">
        <v>206</v>
      </c>
      <c r="C774" s="159">
        <v>32121056</v>
      </c>
      <c r="D774" s="160" t="s">
        <v>656</v>
      </c>
      <c r="E774" s="161">
        <f>SUMIF(Lanç!$C$3:$C$114,C774,Lanç!$F$3:$F$114)</f>
        <v>0</v>
      </c>
      <c r="F774" s="161">
        <f>SUMIF(Lanç!$C$115:$C$6504,C774,Lanç!$F$115:$F$6504)</f>
        <v>0</v>
      </c>
      <c r="G774" s="161">
        <f>SUMIF(Lanç!$C$115:$C$6504,C774,Lanç!$G$115:$G$6504)</f>
        <v>0</v>
      </c>
      <c r="H774" s="162">
        <f t="shared" si="44"/>
        <v>0</v>
      </c>
      <c r="I774" s="162">
        <f t="shared" si="45"/>
        <v>0</v>
      </c>
    </row>
    <row r="775" spans="1:9" hidden="1">
      <c r="A775" s="151">
        <f t="shared" si="43"/>
        <v>1</v>
      </c>
      <c r="B775" s="151" t="s">
        <v>206</v>
      </c>
      <c r="C775" s="159">
        <v>32121057</v>
      </c>
      <c r="D775" s="160" t="s">
        <v>657</v>
      </c>
      <c r="E775" s="161">
        <f>SUMIF(Lanç!$C$3:$C$114,C775,Lanç!$F$3:$F$114)</f>
        <v>0</v>
      </c>
      <c r="F775" s="161">
        <f>SUMIF(Lanç!$C$115:$C$6504,C775,Lanç!$F$115:$F$6504)</f>
        <v>0</v>
      </c>
      <c r="G775" s="161">
        <f>SUMIF(Lanç!$C$115:$C$6504,C775,Lanç!$G$115:$G$6504)</f>
        <v>0</v>
      </c>
      <c r="H775" s="162">
        <f t="shared" si="44"/>
        <v>0</v>
      </c>
      <c r="I775" s="162">
        <f t="shared" si="45"/>
        <v>0</v>
      </c>
    </row>
    <row r="776" spans="1:9" hidden="1">
      <c r="A776" s="151">
        <f t="shared" si="43"/>
        <v>1</v>
      </c>
      <c r="B776" s="151" t="s">
        <v>206</v>
      </c>
      <c r="C776" s="159">
        <v>32121058</v>
      </c>
      <c r="D776" s="160" t="s">
        <v>658</v>
      </c>
      <c r="E776" s="161">
        <f>SUMIF(Lanç!$C$3:$C$114,C776,Lanç!$F$3:$F$114)</f>
        <v>0</v>
      </c>
      <c r="F776" s="161">
        <f>SUMIF(Lanç!$C$115:$C$6504,C776,Lanç!$F$115:$F$6504)</f>
        <v>0</v>
      </c>
      <c r="G776" s="161">
        <f>SUMIF(Lanç!$C$115:$C$6504,C776,Lanç!$G$115:$G$6504)</f>
        <v>0</v>
      </c>
      <c r="H776" s="162">
        <f t="shared" si="44"/>
        <v>0</v>
      </c>
      <c r="I776" s="162">
        <f t="shared" si="45"/>
        <v>0</v>
      </c>
    </row>
    <row r="777" spans="1:9" hidden="1">
      <c r="A777" s="151">
        <f t="shared" si="43"/>
        <v>1</v>
      </c>
      <c r="B777" s="151" t="s">
        <v>206</v>
      </c>
      <c r="C777" s="159">
        <v>32121059</v>
      </c>
      <c r="D777" s="160" t="s">
        <v>659</v>
      </c>
      <c r="E777" s="161">
        <f>SUMIF(Lanç!$C$3:$C$114,C777,Lanç!$F$3:$F$114)</f>
        <v>0</v>
      </c>
      <c r="F777" s="161">
        <f>SUMIF(Lanç!$C$115:$C$6504,C777,Lanç!$F$115:$F$6504)</f>
        <v>0</v>
      </c>
      <c r="G777" s="161">
        <f>SUMIF(Lanç!$C$115:$C$6504,C777,Lanç!$G$115:$G$6504)</f>
        <v>0</v>
      </c>
      <c r="H777" s="162">
        <f t="shared" si="44"/>
        <v>0</v>
      </c>
      <c r="I777" s="162">
        <f t="shared" si="45"/>
        <v>0</v>
      </c>
    </row>
    <row r="778" spans="1:9" hidden="1">
      <c r="A778" s="151">
        <f t="shared" si="43"/>
        <v>1</v>
      </c>
      <c r="B778" s="151" t="s">
        <v>206</v>
      </c>
      <c r="C778" s="159">
        <v>32121060</v>
      </c>
      <c r="D778" s="160" t="s">
        <v>660</v>
      </c>
      <c r="E778" s="161">
        <f>SUMIF(Lanç!$C$3:$C$114,C778,Lanç!$F$3:$F$114)</f>
        <v>0</v>
      </c>
      <c r="F778" s="161">
        <f>SUMIF(Lanç!$C$115:$C$6504,C778,Lanç!$F$115:$F$6504)</f>
        <v>0</v>
      </c>
      <c r="G778" s="161">
        <f>SUMIF(Lanç!$C$115:$C$6504,C778,Lanç!$G$115:$G$6504)</f>
        <v>0</v>
      </c>
      <c r="H778" s="162">
        <f t="shared" si="44"/>
        <v>0</v>
      </c>
      <c r="I778" s="162">
        <f t="shared" si="45"/>
        <v>0</v>
      </c>
    </row>
    <row r="779" spans="1:9" hidden="1">
      <c r="A779" s="151">
        <f t="shared" si="43"/>
        <v>1</v>
      </c>
      <c r="B779" s="151" t="s">
        <v>206</v>
      </c>
      <c r="C779" s="159">
        <v>32121061</v>
      </c>
      <c r="D779" s="160" t="s">
        <v>661</v>
      </c>
      <c r="E779" s="161">
        <f>SUMIF(Lanç!$C$3:$C$114,C779,Lanç!$F$3:$F$114)</f>
        <v>0</v>
      </c>
      <c r="F779" s="161">
        <f>SUMIF(Lanç!$C$115:$C$6504,C779,Lanç!$F$115:$F$6504)</f>
        <v>0</v>
      </c>
      <c r="G779" s="161">
        <f>SUMIF(Lanç!$C$115:$C$6504,C779,Lanç!$G$115:$G$6504)</f>
        <v>0</v>
      </c>
      <c r="H779" s="162">
        <f t="shared" si="44"/>
        <v>0</v>
      </c>
      <c r="I779" s="162">
        <f t="shared" si="45"/>
        <v>0</v>
      </c>
    </row>
    <row r="780" spans="1:9" hidden="1">
      <c r="A780" s="151">
        <f t="shared" si="43"/>
        <v>1</v>
      </c>
      <c r="B780" s="151" t="s">
        <v>206</v>
      </c>
      <c r="C780" s="159">
        <v>32121062</v>
      </c>
      <c r="D780" s="160" t="s">
        <v>662</v>
      </c>
      <c r="E780" s="161">
        <f>SUMIF(Lanç!$C$3:$C$114,C780,Lanç!$F$3:$F$114)</f>
        <v>0</v>
      </c>
      <c r="F780" s="161">
        <f>SUMIF(Lanç!$C$115:$C$6504,C780,Lanç!$F$115:$F$6504)</f>
        <v>0</v>
      </c>
      <c r="G780" s="161">
        <f>SUMIF(Lanç!$C$115:$C$6504,C780,Lanç!$G$115:$G$6504)</f>
        <v>0</v>
      </c>
      <c r="H780" s="162">
        <f t="shared" si="44"/>
        <v>0</v>
      </c>
      <c r="I780" s="162">
        <f t="shared" si="45"/>
        <v>0</v>
      </c>
    </row>
    <row r="781" spans="1:9" hidden="1">
      <c r="A781" s="151">
        <f t="shared" si="43"/>
        <v>1</v>
      </c>
      <c r="B781" s="151" t="s">
        <v>206</v>
      </c>
      <c r="C781" s="159">
        <v>32121063</v>
      </c>
      <c r="D781" s="160" t="s">
        <v>663</v>
      </c>
      <c r="E781" s="161">
        <f>SUMIF(Lanç!$C$3:$C$114,C781,Lanç!$F$3:$F$114)</f>
        <v>0</v>
      </c>
      <c r="F781" s="161">
        <f>SUMIF(Lanç!$C$115:$C$6504,C781,Lanç!$F$115:$F$6504)</f>
        <v>0</v>
      </c>
      <c r="G781" s="161">
        <f>SUMIF(Lanç!$C$115:$C$6504,C781,Lanç!$G$115:$G$6504)</f>
        <v>0</v>
      </c>
      <c r="H781" s="162">
        <f t="shared" si="44"/>
        <v>0</v>
      </c>
      <c r="I781" s="162">
        <f t="shared" si="45"/>
        <v>0</v>
      </c>
    </row>
    <row r="782" spans="1:9" hidden="1">
      <c r="A782" s="151">
        <f t="shared" si="43"/>
        <v>1</v>
      </c>
      <c r="B782" s="151" t="s">
        <v>206</v>
      </c>
      <c r="C782" s="159">
        <v>32121064</v>
      </c>
      <c r="D782" s="160" t="s">
        <v>465</v>
      </c>
      <c r="E782" s="161">
        <f>SUMIF(Lanç!$C$3:$C$114,C782,Lanç!$F$3:$F$114)</f>
        <v>0</v>
      </c>
      <c r="F782" s="161">
        <f>SUMIF(Lanç!$C$115:$C$6504,C782,Lanç!$F$115:$F$6504)</f>
        <v>0</v>
      </c>
      <c r="G782" s="161">
        <f>SUMIF(Lanç!$C$115:$C$6504,C782,Lanç!$G$115:$G$6504)</f>
        <v>0</v>
      </c>
      <c r="H782" s="162">
        <f t="shared" si="44"/>
        <v>0</v>
      </c>
      <c r="I782" s="162">
        <f t="shared" si="45"/>
        <v>0</v>
      </c>
    </row>
    <row r="783" spans="1:9" hidden="1">
      <c r="A783" s="151">
        <f t="shared" si="43"/>
        <v>1</v>
      </c>
      <c r="B783" s="151" t="s">
        <v>206</v>
      </c>
      <c r="C783" s="159">
        <v>32121065</v>
      </c>
      <c r="D783" s="160" t="s">
        <v>664</v>
      </c>
      <c r="E783" s="161">
        <f>SUMIF(Lanç!$C$3:$C$114,C783,Lanç!$F$3:$F$114)</f>
        <v>0</v>
      </c>
      <c r="F783" s="161">
        <f>SUMIF(Lanç!$C$115:$C$6504,C783,Lanç!$F$115:$F$6504)</f>
        <v>0</v>
      </c>
      <c r="G783" s="161">
        <f>SUMIF(Lanç!$C$115:$C$6504,C783,Lanç!$G$115:$G$6504)</f>
        <v>0</v>
      </c>
      <c r="H783" s="162">
        <f t="shared" si="44"/>
        <v>0</v>
      </c>
      <c r="I783" s="162">
        <f t="shared" si="45"/>
        <v>0</v>
      </c>
    </row>
    <row r="784" spans="1:9" hidden="1">
      <c r="A784" s="151">
        <f t="shared" si="43"/>
        <v>1</v>
      </c>
      <c r="B784" s="151" t="s">
        <v>206</v>
      </c>
      <c r="C784" s="159">
        <v>32121066</v>
      </c>
      <c r="D784" s="160" t="s">
        <v>665</v>
      </c>
      <c r="E784" s="161">
        <f>SUMIF(Lanç!$C$3:$C$114,C784,Lanç!$F$3:$F$114)</f>
        <v>0</v>
      </c>
      <c r="F784" s="161">
        <f>SUMIF(Lanç!$C$115:$C$6504,C784,Lanç!$F$115:$F$6504)</f>
        <v>0</v>
      </c>
      <c r="G784" s="161">
        <f>SUMIF(Lanç!$C$115:$C$6504,C784,Lanç!$G$115:$G$6504)</f>
        <v>0</v>
      </c>
      <c r="H784" s="162">
        <f t="shared" si="44"/>
        <v>0</v>
      </c>
      <c r="I784" s="162">
        <f t="shared" si="45"/>
        <v>0</v>
      </c>
    </row>
    <row r="785" spans="1:9" hidden="1">
      <c r="A785" s="151">
        <f t="shared" si="43"/>
        <v>1</v>
      </c>
      <c r="B785" s="151" t="s">
        <v>206</v>
      </c>
      <c r="C785" s="159">
        <v>32121067</v>
      </c>
      <c r="D785" s="160" t="s">
        <v>666</v>
      </c>
      <c r="E785" s="161">
        <f>SUMIF(Lanç!$C$3:$C$114,C785,Lanç!$F$3:$F$114)</f>
        <v>0</v>
      </c>
      <c r="F785" s="161">
        <f>SUMIF(Lanç!$C$115:$C$6504,C785,Lanç!$F$115:$F$6504)</f>
        <v>0</v>
      </c>
      <c r="G785" s="161">
        <f>SUMIF(Lanç!$C$115:$C$6504,C785,Lanç!$G$115:$G$6504)</f>
        <v>0</v>
      </c>
      <c r="H785" s="162">
        <f t="shared" si="44"/>
        <v>0</v>
      </c>
      <c r="I785" s="162">
        <f t="shared" si="45"/>
        <v>0</v>
      </c>
    </row>
    <row r="786" spans="1:9" hidden="1">
      <c r="A786" s="151">
        <f t="shared" si="43"/>
        <v>1</v>
      </c>
      <c r="B786" s="151" t="s">
        <v>206</v>
      </c>
      <c r="C786" s="159">
        <v>32121068</v>
      </c>
      <c r="D786" s="160" t="s">
        <v>667</v>
      </c>
      <c r="E786" s="161">
        <f>SUMIF(Lanç!$C$3:$C$114,C786,Lanç!$F$3:$F$114)</f>
        <v>0</v>
      </c>
      <c r="F786" s="161">
        <f>SUMIF(Lanç!$C$115:$C$6504,C786,Lanç!$F$115:$F$6504)</f>
        <v>0</v>
      </c>
      <c r="G786" s="161">
        <f>SUMIF(Lanç!$C$115:$C$6504,C786,Lanç!$G$115:$G$6504)</f>
        <v>0</v>
      </c>
      <c r="H786" s="162">
        <f t="shared" si="44"/>
        <v>0</v>
      </c>
      <c r="I786" s="162">
        <f t="shared" si="45"/>
        <v>0</v>
      </c>
    </row>
    <row r="787" spans="1:9" hidden="1">
      <c r="A787" s="151">
        <f t="shared" ref="A787:A850" si="46">IF(E787+F787+G787+H787+I787=0,1,0)</f>
        <v>1</v>
      </c>
      <c r="B787" s="151" t="s">
        <v>206</v>
      </c>
      <c r="C787" s="159">
        <v>32121069</v>
      </c>
      <c r="D787" s="160" t="s">
        <v>668</v>
      </c>
      <c r="E787" s="161">
        <f>SUMIF(Lanç!$C$3:$C$114,C787,Lanç!$F$3:$F$114)</f>
        <v>0</v>
      </c>
      <c r="F787" s="161">
        <f>SUMIF(Lanç!$C$115:$C$6504,C787,Lanç!$F$115:$F$6504)</f>
        <v>0</v>
      </c>
      <c r="G787" s="161">
        <f>SUMIF(Lanç!$C$115:$C$6504,C787,Lanç!$G$115:$G$6504)</f>
        <v>0</v>
      </c>
      <c r="H787" s="162">
        <f t="shared" ref="H787:H850" si="47">(F787)-(G787)</f>
        <v>0</v>
      </c>
      <c r="I787" s="162">
        <f t="shared" ref="I787:I850" si="48">(E787)+(H787)</f>
        <v>0</v>
      </c>
    </row>
    <row r="788" spans="1:9" hidden="1">
      <c r="A788" s="151">
        <f t="shared" si="46"/>
        <v>1</v>
      </c>
      <c r="B788" s="151" t="s">
        <v>206</v>
      </c>
      <c r="C788" s="159">
        <v>32121070</v>
      </c>
      <c r="D788" s="160" t="s">
        <v>669</v>
      </c>
      <c r="E788" s="161">
        <f>SUMIF(Lanç!$C$3:$C$114,C788,Lanç!$F$3:$F$114)</f>
        <v>0</v>
      </c>
      <c r="F788" s="161">
        <f>SUMIF(Lanç!$C$115:$C$6504,C788,Lanç!$F$115:$F$6504)</f>
        <v>0</v>
      </c>
      <c r="G788" s="161">
        <f>SUMIF(Lanç!$C$115:$C$6504,C788,Lanç!$G$115:$G$6504)</f>
        <v>0</v>
      </c>
      <c r="H788" s="162">
        <f t="shared" si="47"/>
        <v>0</v>
      </c>
      <c r="I788" s="162">
        <f t="shared" si="48"/>
        <v>0</v>
      </c>
    </row>
    <row r="789" spans="1:9" hidden="1">
      <c r="A789" s="151">
        <f t="shared" si="46"/>
        <v>1</v>
      </c>
      <c r="B789" s="151" t="s">
        <v>206</v>
      </c>
      <c r="C789" s="159">
        <v>32121071</v>
      </c>
      <c r="D789" s="160" t="s">
        <v>571</v>
      </c>
      <c r="E789" s="161">
        <f>SUMIF(Lanç!$C$3:$C$114,C789,Lanç!$F$3:$F$114)</f>
        <v>0</v>
      </c>
      <c r="F789" s="161">
        <f>SUMIF(Lanç!$C$115:$C$6504,C789,Lanç!$F$115:$F$6504)</f>
        <v>0</v>
      </c>
      <c r="G789" s="161">
        <f>SUMIF(Lanç!$C$115:$C$6504,C789,Lanç!$G$115:$G$6504)</f>
        <v>0</v>
      </c>
      <c r="H789" s="162">
        <f t="shared" si="47"/>
        <v>0</v>
      </c>
      <c r="I789" s="162">
        <f t="shared" si="48"/>
        <v>0</v>
      </c>
    </row>
    <row r="790" spans="1:9" hidden="1">
      <c r="A790" s="151">
        <f t="shared" si="46"/>
        <v>1</v>
      </c>
      <c r="B790" s="151" t="s">
        <v>206</v>
      </c>
      <c r="C790" s="159">
        <v>32121072</v>
      </c>
      <c r="D790" s="160" t="s">
        <v>670</v>
      </c>
      <c r="E790" s="161">
        <f>SUMIF(Lanç!$C$3:$C$114,C790,Lanç!$F$3:$F$114)</f>
        <v>0</v>
      </c>
      <c r="F790" s="161">
        <f>SUMIF(Lanç!$C$115:$C$6504,C790,Lanç!$F$115:$F$6504)</f>
        <v>0</v>
      </c>
      <c r="G790" s="161">
        <f>SUMIF(Lanç!$C$115:$C$6504,C790,Lanç!$G$115:$G$6504)</f>
        <v>0</v>
      </c>
      <c r="H790" s="162">
        <f t="shared" si="47"/>
        <v>0</v>
      </c>
      <c r="I790" s="162">
        <f t="shared" si="48"/>
        <v>0</v>
      </c>
    </row>
    <row r="791" spans="1:9" hidden="1">
      <c r="A791" s="151">
        <f t="shared" si="46"/>
        <v>1</v>
      </c>
      <c r="B791" s="151" t="s">
        <v>206</v>
      </c>
      <c r="C791" s="159">
        <v>32121073</v>
      </c>
      <c r="D791" s="160" t="s">
        <v>477</v>
      </c>
      <c r="E791" s="161">
        <f>SUMIF(Lanç!C3:C114,C791,Lanç!F3:F114)</f>
        <v>0</v>
      </c>
      <c r="F791" s="161">
        <f>SUMIF(Lanç!C115:C6504,C791,Lanç!F115:F6504)</f>
        <v>0</v>
      </c>
      <c r="G791" s="161">
        <f>SUMIF(Lanç!C115:C6504,C791,Lanç!G115:G6504)</f>
        <v>0</v>
      </c>
      <c r="H791" s="162">
        <f t="shared" si="47"/>
        <v>0</v>
      </c>
      <c r="I791" s="162">
        <f t="shared" si="48"/>
        <v>0</v>
      </c>
    </row>
    <row r="792" spans="1:9">
      <c r="A792" s="151">
        <f t="shared" si="46"/>
        <v>0</v>
      </c>
      <c r="B792" s="151" t="s">
        <v>206</v>
      </c>
      <c r="C792" s="159">
        <v>32121074</v>
      </c>
      <c r="D792" s="160" t="s">
        <v>671</v>
      </c>
      <c r="E792" s="161">
        <f>SUMIF(Lanç!C3:C114,C792,Lanç!F3:F114)</f>
        <v>-1447175.54</v>
      </c>
      <c r="F792" s="161">
        <f>SUMIF(Lanç!C115:C6504,C792,Lanç!F115:F6504)</f>
        <v>0</v>
      </c>
      <c r="G792" s="161">
        <f>SUMIF(Lanç!C115:C6504,C792,Lanç!G115:G6504)</f>
        <v>0</v>
      </c>
      <c r="H792" s="162">
        <f t="shared" si="47"/>
        <v>0</v>
      </c>
      <c r="I792" s="162">
        <f t="shared" si="48"/>
        <v>-1447175.54</v>
      </c>
    </row>
    <row r="793" spans="1:9" hidden="1">
      <c r="A793" s="151">
        <f t="shared" si="46"/>
        <v>1</v>
      </c>
      <c r="B793" s="151" t="s">
        <v>206</v>
      </c>
      <c r="C793" s="159">
        <v>32121075</v>
      </c>
      <c r="D793" s="160" t="s">
        <v>672</v>
      </c>
      <c r="E793" s="161">
        <f>SUMIF(Lanç!$C$3:$C$114,C793,Lanç!$F$3:$F$114)</f>
        <v>0</v>
      </c>
      <c r="F793" s="161">
        <f>SUMIF(Lanç!$C$115:$C$6504,C793,Lanç!$F$115:$F$6504)</f>
        <v>0</v>
      </c>
      <c r="G793" s="161">
        <f>SUMIF(Lanç!$C$115:$C$6504,C793,Lanç!$G$115:$G$6504)</f>
        <v>0</v>
      </c>
      <c r="H793" s="162">
        <f t="shared" si="47"/>
        <v>0</v>
      </c>
      <c r="I793" s="162">
        <f t="shared" si="48"/>
        <v>0</v>
      </c>
    </row>
    <row r="794" spans="1:9">
      <c r="A794" s="151">
        <f t="shared" si="46"/>
        <v>0</v>
      </c>
      <c r="B794" s="151" t="s">
        <v>206</v>
      </c>
      <c r="C794" s="159">
        <v>32121076</v>
      </c>
      <c r="D794" s="160" t="s">
        <v>673</v>
      </c>
      <c r="E794" s="161">
        <f>SUMIF(Lanç!C3:C114,C794,Lanç!F3:F114)</f>
        <v>-268001</v>
      </c>
      <c r="F794" s="161">
        <f>SUMIF(Lanç!C115:C6504,C794,Lanç!F115:F6504)</f>
        <v>0</v>
      </c>
      <c r="G794" s="161">
        <f>SUMIF(Lanç!C115:C6504,C794,Lanç!G115:G6504)</f>
        <v>0</v>
      </c>
      <c r="H794" s="162">
        <f t="shared" si="47"/>
        <v>0</v>
      </c>
      <c r="I794" s="162">
        <f t="shared" si="48"/>
        <v>-268001</v>
      </c>
    </row>
    <row r="795" spans="1:9">
      <c r="A795" s="151">
        <f t="shared" si="46"/>
        <v>0</v>
      </c>
      <c r="B795" s="151" t="s">
        <v>206</v>
      </c>
      <c r="C795" s="159">
        <v>32121077</v>
      </c>
      <c r="D795" s="160" t="s">
        <v>506</v>
      </c>
      <c r="E795" s="161">
        <f>SUMIF(Lanç!$C$3:$C$114,C795,Lanç!$F$3:$F$114)</f>
        <v>-172215.35</v>
      </c>
      <c r="F795" s="161">
        <f>SUMIF(Lanç!$C$115:$C$6504,C795,Lanç!$F$115:$F$6504)</f>
        <v>0</v>
      </c>
      <c r="G795" s="161">
        <f>SUMIF(Lanç!$C$115:$C$6504,C795,Lanç!$G$115:$G$6504)</f>
        <v>0</v>
      </c>
      <c r="H795" s="162">
        <f t="shared" si="47"/>
        <v>0</v>
      </c>
      <c r="I795" s="162">
        <f t="shared" si="48"/>
        <v>-172215.35</v>
      </c>
    </row>
    <row r="796" spans="1:9" hidden="1">
      <c r="A796" s="151">
        <f t="shared" si="46"/>
        <v>1</v>
      </c>
      <c r="B796" s="151" t="s">
        <v>206</v>
      </c>
      <c r="C796" s="159">
        <v>32121078</v>
      </c>
      <c r="D796" s="160" t="s">
        <v>674</v>
      </c>
      <c r="E796" s="161">
        <f>SUMIF(Lanç!$C$3:$C$114,C796,Lanç!$F$3:$F$114)</f>
        <v>0</v>
      </c>
      <c r="F796" s="161">
        <f>SUMIF(Lanç!$C$115:$C$6504,C796,Lanç!$F$115:$F$6504)</f>
        <v>0</v>
      </c>
      <c r="G796" s="161">
        <f>SUMIF(Lanç!$C$115:$C$6504,C796,Lanç!$G$115:$G$6504)</f>
        <v>0</v>
      </c>
      <c r="H796" s="162">
        <f t="shared" si="47"/>
        <v>0</v>
      </c>
      <c r="I796" s="162">
        <f t="shared" si="48"/>
        <v>0</v>
      </c>
    </row>
    <row r="797" spans="1:9" hidden="1">
      <c r="A797" s="151">
        <f t="shared" si="46"/>
        <v>1</v>
      </c>
      <c r="B797" s="151" t="s">
        <v>206</v>
      </c>
      <c r="C797" s="159">
        <v>32121079</v>
      </c>
      <c r="D797" s="160" t="s">
        <v>675</v>
      </c>
      <c r="E797" s="161">
        <f>SUMIF(Lanç!$C$3:$C$114,C797,Lanç!$F$3:$F$114)</f>
        <v>0</v>
      </c>
      <c r="F797" s="161">
        <f>SUMIF(Lanç!$C$115:$C$6504,C797,Lanç!$F$115:$F$6504)</f>
        <v>0</v>
      </c>
      <c r="G797" s="161">
        <f>SUMIF(Lanç!$C$115:$C$6504,C797,Lanç!$G$115:$G$6504)</f>
        <v>0</v>
      </c>
      <c r="H797" s="162">
        <f t="shared" si="47"/>
        <v>0</v>
      </c>
      <c r="I797" s="162">
        <f t="shared" si="48"/>
        <v>0</v>
      </c>
    </row>
    <row r="798" spans="1:9" hidden="1">
      <c r="A798" s="151">
        <f t="shared" si="46"/>
        <v>1</v>
      </c>
      <c r="B798" s="151" t="s">
        <v>206</v>
      </c>
      <c r="C798" s="159">
        <v>32121080</v>
      </c>
      <c r="D798" s="160" t="s">
        <v>676</v>
      </c>
      <c r="E798" s="161">
        <f>SUMIF(Lanç!$C$3:$C$114,C798,Lanç!$F$3:$F$114)</f>
        <v>0</v>
      </c>
      <c r="F798" s="161">
        <f>SUMIF(Lanç!$C$115:$C$6504,C798,Lanç!$F$115:$F$6504)</f>
        <v>0</v>
      </c>
      <c r="G798" s="161">
        <f>SUMIF(Lanç!$C$115:$C$6504,C798,Lanç!$G$115:$G$6504)</f>
        <v>0</v>
      </c>
      <c r="H798" s="162">
        <f t="shared" si="47"/>
        <v>0</v>
      </c>
      <c r="I798" s="162">
        <f t="shared" si="48"/>
        <v>0</v>
      </c>
    </row>
    <row r="799" spans="1:9" hidden="1">
      <c r="A799" s="151">
        <f t="shared" si="46"/>
        <v>1</v>
      </c>
      <c r="B799" s="151" t="s">
        <v>206</v>
      </c>
      <c r="C799" s="159">
        <v>32121081</v>
      </c>
      <c r="D799" s="160" t="s">
        <v>677</v>
      </c>
      <c r="E799" s="161">
        <f>SUMIF(Lanç!$C$3:$C$114,C799,Lanç!$F$3:$F$114)</f>
        <v>0</v>
      </c>
      <c r="F799" s="161">
        <f>SUMIF(Lanç!$C$115:$C$6504,C799,Lanç!$F$115:$F$6504)</f>
        <v>0</v>
      </c>
      <c r="G799" s="161">
        <f>SUMIF(Lanç!$C$115:$C$6504,C799,Lanç!$G$115:$G$6504)</f>
        <v>0</v>
      </c>
      <c r="H799" s="162">
        <f t="shared" si="47"/>
        <v>0</v>
      </c>
      <c r="I799" s="162">
        <f t="shared" si="48"/>
        <v>0</v>
      </c>
    </row>
    <row r="800" spans="1:9" hidden="1">
      <c r="A800" s="151">
        <f t="shared" si="46"/>
        <v>1</v>
      </c>
      <c r="B800" s="151" t="s">
        <v>206</v>
      </c>
      <c r="C800" s="159">
        <v>32121082</v>
      </c>
      <c r="D800" s="160" t="s">
        <v>678</v>
      </c>
      <c r="E800" s="161">
        <f>SUMIF(Lanç!$C$3:$C$114,C800,Lanç!$F$3:$F$114)</f>
        <v>0</v>
      </c>
      <c r="F800" s="161">
        <f>SUMIF(Lanç!$C$115:$C$6504,C800,Lanç!$F$115:$F$6504)</f>
        <v>0</v>
      </c>
      <c r="G800" s="161">
        <f>SUMIF(Lanç!$C$115:$C$6504,C800,Lanç!$G$115:$G$6504)</f>
        <v>0</v>
      </c>
      <c r="H800" s="162">
        <f t="shared" si="47"/>
        <v>0</v>
      </c>
      <c r="I800" s="162">
        <f t="shared" si="48"/>
        <v>0</v>
      </c>
    </row>
    <row r="801" spans="1:9" hidden="1">
      <c r="A801" s="151">
        <f t="shared" si="46"/>
        <v>1</v>
      </c>
      <c r="B801" s="151" t="s">
        <v>206</v>
      </c>
      <c r="C801" s="159">
        <v>32121083</v>
      </c>
      <c r="D801" s="160" t="s">
        <v>679</v>
      </c>
      <c r="E801" s="161">
        <f>SUMIF(Lanç!$C$3:$C$114,C801,Lanç!$F$3:$F$114)</f>
        <v>0</v>
      </c>
      <c r="F801" s="161">
        <f>SUMIF(Lanç!$C$115:$C$6504,C801,Lanç!$F$115:$F$6504)</f>
        <v>0</v>
      </c>
      <c r="G801" s="161">
        <f>SUMIF(Lanç!$C$115:$C$6504,C801,Lanç!$G$115:$G$6504)</f>
        <v>0</v>
      </c>
      <c r="H801" s="162">
        <f t="shared" si="47"/>
        <v>0</v>
      </c>
      <c r="I801" s="162">
        <f t="shared" si="48"/>
        <v>0</v>
      </c>
    </row>
    <row r="802" spans="1:9" hidden="1">
      <c r="A802" s="151">
        <f t="shared" si="46"/>
        <v>1</v>
      </c>
      <c r="B802" s="151" t="s">
        <v>206</v>
      </c>
      <c r="C802" s="159">
        <v>32121084</v>
      </c>
      <c r="D802" s="160" t="s">
        <v>680</v>
      </c>
      <c r="E802" s="161">
        <f>SUMIF(Lanç!$C$3:$C$114,C802,Lanç!$F$3:$F$114)</f>
        <v>0</v>
      </c>
      <c r="F802" s="161">
        <f>SUMIF(Lanç!$C$115:$C$6504,C802,Lanç!$F$115:$F$6504)</f>
        <v>0</v>
      </c>
      <c r="G802" s="161">
        <f>SUMIF(Lanç!$C$115:$C$6504,C802,Lanç!$G$115:$G$6504)</f>
        <v>0</v>
      </c>
      <c r="H802" s="162">
        <f t="shared" si="47"/>
        <v>0</v>
      </c>
      <c r="I802" s="162">
        <f t="shared" si="48"/>
        <v>0</v>
      </c>
    </row>
    <row r="803" spans="1:9" hidden="1">
      <c r="A803" s="151">
        <f t="shared" si="46"/>
        <v>1</v>
      </c>
      <c r="B803" s="151" t="s">
        <v>206</v>
      </c>
      <c r="C803" s="159">
        <v>32121085</v>
      </c>
      <c r="D803" s="160" t="s">
        <v>681</v>
      </c>
      <c r="E803" s="161">
        <f>SUMIF(Lanç!$C$3:$C$114,C803,Lanç!$F$3:$F$114)</f>
        <v>0</v>
      </c>
      <c r="F803" s="161">
        <f>SUMIF(Lanç!$C$115:$C$6504,C803,Lanç!$F$115:$F$6504)</f>
        <v>0</v>
      </c>
      <c r="G803" s="161">
        <f>SUMIF(Lanç!$C$115:$C$6504,C803,Lanç!$G$115:$G$6504)</f>
        <v>0</v>
      </c>
      <c r="H803" s="162">
        <f t="shared" si="47"/>
        <v>0</v>
      </c>
      <c r="I803" s="162">
        <f t="shared" si="48"/>
        <v>0</v>
      </c>
    </row>
    <row r="804" spans="1:9" hidden="1">
      <c r="A804" s="151">
        <f t="shared" si="46"/>
        <v>1</v>
      </c>
      <c r="B804" s="151" t="s">
        <v>206</v>
      </c>
      <c r="C804" s="159">
        <v>32121086</v>
      </c>
      <c r="D804" s="160" t="s">
        <v>682</v>
      </c>
      <c r="E804" s="161">
        <f>SUMIF(Lanç!$C$3:$C$114,C804,Lanç!$F$3:$F$114)</f>
        <v>0</v>
      </c>
      <c r="F804" s="161">
        <f>SUMIF(Lanç!$C$115:$C$6504,C804,Lanç!$F$115:$F$6504)</f>
        <v>0</v>
      </c>
      <c r="G804" s="161">
        <f>SUMIF(Lanç!$C$115:$C$6504,C804,Lanç!$G$115:$G$6504)</f>
        <v>0</v>
      </c>
      <c r="H804" s="162">
        <f t="shared" si="47"/>
        <v>0</v>
      </c>
      <c r="I804" s="162">
        <f t="shared" si="48"/>
        <v>0</v>
      </c>
    </row>
    <row r="805" spans="1:9" hidden="1">
      <c r="A805" s="151">
        <f t="shared" si="46"/>
        <v>1</v>
      </c>
      <c r="B805" s="151" t="s">
        <v>206</v>
      </c>
      <c r="C805" s="159">
        <v>32121087</v>
      </c>
      <c r="D805" s="160" t="s">
        <v>683</v>
      </c>
      <c r="E805" s="161">
        <f>SUMIF(Lanç!$C$3:$C$114,C805,Lanç!$F$3:$F$114)</f>
        <v>0</v>
      </c>
      <c r="F805" s="161">
        <f>SUMIF(Lanç!$C$115:$C$6504,C805,Lanç!$F$115:$F$6504)</f>
        <v>0</v>
      </c>
      <c r="G805" s="161">
        <f>SUMIF(Lanç!$C$115:$C$6504,C805,Lanç!$G$115:$G$6504)</f>
        <v>0</v>
      </c>
      <c r="H805" s="162">
        <f t="shared" si="47"/>
        <v>0</v>
      </c>
      <c r="I805" s="162">
        <f t="shared" si="48"/>
        <v>0</v>
      </c>
    </row>
    <row r="806" spans="1:9" hidden="1">
      <c r="A806" s="151">
        <f t="shared" si="46"/>
        <v>1</v>
      </c>
      <c r="B806" s="151" t="s">
        <v>206</v>
      </c>
      <c r="C806" s="159">
        <v>32121088</v>
      </c>
      <c r="D806" s="160" t="s">
        <v>684</v>
      </c>
      <c r="E806" s="161">
        <f>SUMIF(Lanç!$C$3:$C$114,C806,Lanç!$F$3:$F$114)</f>
        <v>0</v>
      </c>
      <c r="F806" s="161">
        <f>SUMIF(Lanç!$C$115:$C$6504,C806,Lanç!$F$115:$F$6504)</f>
        <v>0</v>
      </c>
      <c r="G806" s="161">
        <f>SUMIF(Lanç!$C$115:$C$6504,C806,Lanç!$G$115:$G$6504)</f>
        <v>0</v>
      </c>
      <c r="H806" s="162">
        <f t="shared" si="47"/>
        <v>0</v>
      </c>
      <c r="I806" s="162">
        <f t="shared" si="48"/>
        <v>0</v>
      </c>
    </row>
    <row r="807" spans="1:9" hidden="1">
      <c r="A807" s="151">
        <f t="shared" si="46"/>
        <v>1</v>
      </c>
      <c r="B807" s="151" t="s">
        <v>206</v>
      </c>
      <c r="C807" s="159">
        <v>32121089</v>
      </c>
      <c r="D807" s="160" t="s">
        <v>685</v>
      </c>
      <c r="E807" s="161">
        <f>SUMIF(Lanç!$C$3:$C$114,C807,Lanç!$F$3:$F$114)</f>
        <v>0</v>
      </c>
      <c r="F807" s="161">
        <f>SUMIF(Lanç!$C$115:$C$6504,C807,Lanç!$F$115:$F$6504)</f>
        <v>0</v>
      </c>
      <c r="G807" s="161">
        <f>SUMIF(Lanç!$C$115:$C$6504,C807,Lanç!$G$115:$G$6504)</f>
        <v>0</v>
      </c>
      <c r="H807" s="162">
        <f t="shared" si="47"/>
        <v>0</v>
      </c>
      <c r="I807" s="162">
        <f t="shared" si="48"/>
        <v>0</v>
      </c>
    </row>
    <row r="808" spans="1:9" hidden="1">
      <c r="A808" s="151">
        <f t="shared" si="46"/>
        <v>1</v>
      </c>
      <c r="B808" s="151" t="s">
        <v>206</v>
      </c>
      <c r="C808" s="159">
        <v>32121090</v>
      </c>
      <c r="D808" s="160" t="s">
        <v>686</v>
      </c>
      <c r="E808" s="161">
        <f>SUMIF(Lanç!$C$3:$C$114,C808,Lanç!$F$3:$F$114)</f>
        <v>0</v>
      </c>
      <c r="F808" s="161">
        <f>SUMIF(Lanç!$C$115:$C$6504,C808,Lanç!$F$115:$F$6504)</f>
        <v>0</v>
      </c>
      <c r="G808" s="161">
        <f>SUMIF(Lanç!$C$115:$C$6504,C808,Lanç!$G$115:$G$6504)</f>
        <v>0</v>
      </c>
      <c r="H808" s="162">
        <f t="shared" si="47"/>
        <v>0</v>
      </c>
      <c r="I808" s="162">
        <f t="shared" si="48"/>
        <v>0</v>
      </c>
    </row>
    <row r="809" spans="1:9" hidden="1">
      <c r="A809" s="151">
        <f t="shared" si="46"/>
        <v>1</v>
      </c>
      <c r="B809" s="151" t="s">
        <v>206</v>
      </c>
      <c r="C809" s="159">
        <v>32121091</v>
      </c>
      <c r="D809" s="160" t="s">
        <v>687</v>
      </c>
      <c r="E809" s="161">
        <f>SUMIF(Lanç!$C$3:$C$114,C809,Lanç!$F$3:$F$114)</f>
        <v>0</v>
      </c>
      <c r="F809" s="161">
        <f>SUMIF(Lanç!$C$115:$C$6504,C809,Lanç!$F$115:$F$6504)</f>
        <v>0</v>
      </c>
      <c r="G809" s="161">
        <f>SUMIF(Lanç!$C$115:$C$6504,C809,Lanç!$G$115:$G$6504)</f>
        <v>0</v>
      </c>
      <c r="H809" s="162">
        <f t="shared" si="47"/>
        <v>0</v>
      </c>
      <c r="I809" s="162">
        <f t="shared" si="48"/>
        <v>0</v>
      </c>
    </row>
    <row r="810" spans="1:9">
      <c r="A810" s="151">
        <f t="shared" si="46"/>
        <v>0</v>
      </c>
      <c r="B810" s="151" t="s">
        <v>206</v>
      </c>
      <c r="C810" s="159">
        <v>32121092</v>
      </c>
      <c r="D810" s="160" t="s">
        <v>688</v>
      </c>
      <c r="E810" s="161">
        <f>SUMIF(Lanç!$C$3:$C$114,C810,Lanç!$F$3:$F$114)</f>
        <v>-5845.1</v>
      </c>
      <c r="F810" s="161">
        <f>SUMIF(Lanç!$C$115:$C$6504,C810,Lanç!$F$115:$F$6504)</f>
        <v>0</v>
      </c>
      <c r="G810" s="161">
        <f>SUMIF(Lanç!$C$115:$C$6504,C810,Lanç!$G$115:$G$6504)</f>
        <v>0</v>
      </c>
      <c r="H810" s="162">
        <f t="shared" si="47"/>
        <v>0</v>
      </c>
      <c r="I810" s="162">
        <f t="shared" si="48"/>
        <v>-5845.1</v>
      </c>
    </row>
    <row r="811" spans="1:9" hidden="1">
      <c r="A811" s="151">
        <f t="shared" si="46"/>
        <v>1</v>
      </c>
      <c r="B811" s="151" t="s">
        <v>206</v>
      </c>
      <c r="C811" s="159">
        <v>32121093</v>
      </c>
      <c r="D811" s="160" t="s">
        <v>689</v>
      </c>
      <c r="E811" s="161">
        <f>SUMIF(Lanç!$C$3:$C$114,C811,Lanç!$F$3:$F$114)</f>
        <v>0</v>
      </c>
      <c r="F811" s="161">
        <f>SUMIF(Lanç!$C$115:$C$6504,C811,Lanç!$F$115:$F$6504)</f>
        <v>0</v>
      </c>
      <c r="G811" s="161">
        <f>SUMIF(Lanç!$C$115:$C$6504,C811,Lanç!$G$115:$G$6504)</f>
        <v>0</v>
      </c>
      <c r="H811" s="162">
        <f t="shared" si="47"/>
        <v>0</v>
      </c>
      <c r="I811" s="162">
        <f t="shared" si="48"/>
        <v>0</v>
      </c>
    </row>
    <row r="812" spans="1:9" hidden="1">
      <c r="A812" s="151">
        <f t="shared" si="46"/>
        <v>1</v>
      </c>
      <c r="B812" s="151" t="s">
        <v>206</v>
      </c>
      <c r="C812" s="159">
        <v>32121095</v>
      </c>
      <c r="D812" s="160" t="s">
        <v>690</v>
      </c>
      <c r="E812" s="161">
        <f>SUMIF(Lanç!$C$3:$C$114,C812,Lanç!$F$3:$F$114)</f>
        <v>0</v>
      </c>
      <c r="F812" s="161">
        <f>SUMIF(Lanç!$C$115:$C$6504,C812,Lanç!$F$115:$F$6504)</f>
        <v>0</v>
      </c>
      <c r="G812" s="161">
        <f>SUMIF(Lanç!$C$115:$C$6504,C812,Lanç!$G$115:$G$6504)</f>
        <v>0</v>
      </c>
      <c r="H812" s="162">
        <f t="shared" si="47"/>
        <v>0</v>
      </c>
      <c r="I812" s="162">
        <f t="shared" si="48"/>
        <v>0</v>
      </c>
    </row>
    <row r="813" spans="1:9" hidden="1">
      <c r="A813" s="151">
        <f t="shared" si="46"/>
        <v>1</v>
      </c>
      <c r="B813" s="151" t="s">
        <v>206</v>
      </c>
      <c r="C813" s="159">
        <v>32121096</v>
      </c>
      <c r="D813" s="160" t="s">
        <v>691</v>
      </c>
      <c r="E813" s="161">
        <f>SUMIF(Lanç!$C$3:$C$114,C813,Lanç!$F$3:$F$114)</f>
        <v>0</v>
      </c>
      <c r="F813" s="161">
        <f>SUMIF(Lanç!$C$115:$C$6504,C813,Lanç!$F$115:$F$6504)</f>
        <v>0</v>
      </c>
      <c r="G813" s="161">
        <f>SUMIF(Lanç!$C$115:$C$6504,C813,Lanç!$G$115:$G$6504)</f>
        <v>0</v>
      </c>
      <c r="H813" s="162">
        <f t="shared" si="47"/>
        <v>0</v>
      </c>
      <c r="I813" s="162">
        <f t="shared" si="48"/>
        <v>0</v>
      </c>
    </row>
    <row r="814" spans="1:9" hidden="1">
      <c r="A814" s="151">
        <f t="shared" si="46"/>
        <v>1</v>
      </c>
      <c r="B814" s="151" t="s">
        <v>206</v>
      </c>
      <c r="C814" s="159">
        <v>32121097</v>
      </c>
      <c r="D814" s="160" t="s">
        <v>692</v>
      </c>
      <c r="E814" s="161">
        <f>SUMIF(Lanç!$C$3:$C$114,C814,Lanç!$F$3:$F$114)</f>
        <v>0</v>
      </c>
      <c r="F814" s="161">
        <f>SUMIF(Lanç!$C$115:$C$6504,C814,Lanç!$F$115:$F$6504)</f>
        <v>0</v>
      </c>
      <c r="G814" s="161">
        <f>SUMIF(Lanç!$C$115:$C$6504,C814,Lanç!$G$115:$G$6504)</f>
        <v>0</v>
      </c>
      <c r="H814" s="162">
        <f t="shared" si="47"/>
        <v>0</v>
      </c>
      <c r="I814" s="162">
        <f t="shared" si="48"/>
        <v>0</v>
      </c>
    </row>
    <row r="815" spans="1:9">
      <c r="A815" s="151">
        <f t="shared" si="46"/>
        <v>0</v>
      </c>
      <c r="B815" s="151" t="s">
        <v>206</v>
      </c>
      <c r="C815" s="159">
        <v>32121098</v>
      </c>
      <c r="D815" s="160" t="s">
        <v>693</v>
      </c>
      <c r="E815" s="161">
        <f>SUMIF(Lanç!C3:C114,C815,Lanç!F3:F114)</f>
        <v>-166783.67000000001</v>
      </c>
      <c r="F815" s="161">
        <f>SUMIF(Lanç!$C$115:$C$6504,C815,Lanç!$F$115:$F$6504)</f>
        <v>0</v>
      </c>
      <c r="G815" s="161">
        <f>SUMIF(Lanç!C115:C6504,C815,Lanç!G115:G6504)</f>
        <v>0</v>
      </c>
      <c r="H815" s="162">
        <f t="shared" si="47"/>
        <v>0</v>
      </c>
      <c r="I815" s="162">
        <f t="shared" si="48"/>
        <v>-166783.67000000001</v>
      </c>
    </row>
    <row r="816" spans="1:9" hidden="1">
      <c r="A816" s="151">
        <f t="shared" si="46"/>
        <v>1</v>
      </c>
      <c r="B816" s="151" t="s">
        <v>206</v>
      </c>
      <c r="C816" s="159">
        <v>32121099</v>
      </c>
      <c r="D816" s="160" t="s">
        <v>694</v>
      </c>
      <c r="E816" s="161">
        <f>SUMIF(Lanç!$C$3:$C$114,C816,Lanç!$F$3:$F$114)</f>
        <v>0</v>
      </c>
      <c r="F816" s="161">
        <f>SUMIF(Lanç!$C$115:$C$6504,C816,Lanç!$F$115:$F$6504)</f>
        <v>0</v>
      </c>
      <c r="G816" s="161">
        <f>SUMIF(Lanç!$C$115:$C$6504,C816,Lanç!$G$115:$G$6504)</f>
        <v>0</v>
      </c>
      <c r="H816" s="162">
        <f t="shared" si="47"/>
        <v>0</v>
      </c>
      <c r="I816" s="162">
        <f t="shared" si="48"/>
        <v>0</v>
      </c>
    </row>
    <row r="817" spans="1:9" hidden="1">
      <c r="A817" s="151">
        <f t="shared" si="46"/>
        <v>1</v>
      </c>
      <c r="B817" s="151" t="s">
        <v>206</v>
      </c>
      <c r="C817" s="159">
        <v>32121100</v>
      </c>
      <c r="D817" s="160" t="s">
        <v>695</v>
      </c>
      <c r="E817" s="161">
        <f>SUMIF(Lanç!$C$3:$C$114,C817,Lanç!$F$3:$F$114)</f>
        <v>0</v>
      </c>
      <c r="F817" s="161">
        <f>SUMIF(Lanç!$C$115:$C$6504,C817,Lanç!$F$115:$F$6504)</f>
        <v>0</v>
      </c>
      <c r="G817" s="161">
        <f>SUMIF(Lanç!$C$115:$C$6504,C817,Lanç!$G$115:$G$6504)</f>
        <v>0</v>
      </c>
      <c r="H817" s="162">
        <f t="shared" si="47"/>
        <v>0</v>
      </c>
      <c r="I817" s="162">
        <f t="shared" si="48"/>
        <v>0</v>
      </c>
    </row>
    <row r="818" spans="1:9" hidden="1">
      <c r="A818" s="151">
        <f t="shared" si="46"/>
        <v>1</v>
      </c>
      <c r="B818" s="151" t="s">
        <v>206</v>
      </c>
      <c r="C818" s="159">
        <v>32121101</v>
      </c>
      <c r="D818" s="160" t="s">
        <v>696</v>
      </c>
      <c r="E818" s="161">
        <f>SUMIF(Lanç!$C$3:$C$114,C818,Lanç!$F$3:$F$114)</f>
        <v>0</v>
      </c>
      <c r="F818" s="161">
        <f>SUMIF(Lanç!$C$115:$C$6504,C818,Lanç!$F$115:$F$6504)</f>
        <v>0</v>
      </c>
      <c r="G818" s="161">
        <f>SUMIF(Lanç!$C$115:$C$6504,C818,Lanç!$G$115:$G$6504)</f>
        <v>0</v>
      </c>
      <c r="H818" s="162">
        <f t="shared" si="47"/>
        <v>0</v>
      </c>
      <c r="I818" s="162">
        <f t="shared" si="48"/>
        <v>0</v>
      </c>
    </row>
    <row r="819" spans="1:9" hidden="1">
      <c r="A819" s="151">
        <f t="shared" si="46"/>
        <v>1</v>
      </c>
      <c r="B819" s="151" t="s">
        <v>206</v>
      </c>
      <c r="C819" s="159">
        <v>32121102</v>
      </c>
      <c r="D819" s="160" t="s">
        <v>697</v>
      </c>
      <c r="E819" s="161">
        <f>SUMIF(Lanç!$C$3:$C$114,C819,Lanç!$F$3:$F$114)</f>
        <v>0</v>
      </c>
      <c r="F819" s="161">
        <f>SUMIF(Lanç!$C$115:$C$6504,C819,Lanç!$F$115:$F$6504)</f>
        <v>0</v>
      </c>
      <c r="G819" s="161">
        <f>SUMIF(Lanç!$C$115:$C$6504,C819,Lanç!$G$115:$G$6504)</f>
        <v>0</v>
      </c>
      <c r="H819" s="162">
        <f t="shared" si="47"/>
        <v>0</v>
      </c>
      <c r="I819" s="162">
        <f t="shared" si="48"/>
        <v>0</v>
      </c>
    </row>
    <row r="820" spans="1:9" hidden="1">
      <c r="A820" s="151">
        <f t="shared" si="46"/>
        <v>1</v>
      </c>
      <c r="B820" s="151" t="s">
        <v>206</v>
      </c>
      <c r="C820" s="159">
        <v>32121103</v>
      </c>
      <c r="D820" s="160" t="s">
        <v>698</v>
      </c>
      <c r="E820" s="161">
        <f>SUMIF(Lanç!$C$3:$C$114,C820,Lanç!$F$3:$F$114)</f>
        <v>0</v>
      </c>
      <c r="F820" s="161">
        <f>SUMIF(Lanç!$C$115:$C$6504,C820,Lanç!$F$115:$F$6504)</f>
        <v>0</v>
      </c>
      <c r="G820" s="161">
        <f>SUMIF(Lanç!$C$115:$C$6504,C820,Lanç!$G$115:$G$6504)</f>
        <v>0</v>
      </c>
      <c r="H820" s="162">
        <f t="shared" si="47"/>
        <v>0</v>
      </c>
      <c r="I820" s="162">
        <f t="shared" si="48"/>
        <v>0</v>
      </c>
    </row>
    <row r="821" spans="1:9" hidden="1">
      <c r="A821" s="151">
        <f t="shared" si="46"/>
        <v>1</v>
      </c>
      <c r="B821" s="151" t="s">
        <v>206</v>
      </c>
      <c r="C821" s="159">
        <v>32121104</v>
      </c>
      <c r="D821" s="160" t="s">
        <v>1764</v>
      </c>
      <c r="E821" s="161">
        <f>SUMIF(Lanç!$C$3:$C$114,C821,Lanç!$F$3:$F$114)</f>
        <v>0</v>
      </c>
      <c r="F821" s="161">
        <f>SUMIF(Lanç!$C$115:$C$6504,C821,Lanç!$F$115:$F$6504)</f>
        <v>0</v>
      </c>
      <c r="G821" s="161">
        <f>SUMIF(Lanç!$C$115:$C$6504,C821,Lanç!$G$115:$G$6504)</f>
        <v>0</v>
      </c>
      <c r="H821" s="162">
        <f t="shared" si="47"/>
        <v>0</v>
      </c>
      <c r="I821" s="162">
        <f t="shared" si="48"/>
        <v>0</v>
      </c>
    </row>
    <row r="822" spans="1:9" hidden="1">
      <c r="A822" s="151">
        <f t="shared" si="46"/>
        <v>1</v>
      </c>
      <c r="B822" s="151" t="s">
        <v>206</v>
      </c>
      <c r="C822" s="159">
        <v>32121105</v>
      </c>
      <c r="D822" s="160" t="s">
        <v>699</v>
      </c>
      <c r="E822" s="161">
        <f>SUMIF(Lanç!$C$3:$C$114,C822,Lanç!$F$3:$F$114)</f>
        <v>0</v>
      </c>
      <c r="F822" s="161">
        <f>SUMIF(Lanç!$C$115:$C$6504,C822,Lanç!$F$115:$F$6504)</f>
        <v>0</v>
      </c>
      <c r="G822" s="161">
        <f>SUMIF(Lanç!$C$115:$C$6504,C822,Lanç!$G$115:$G$6504)</f>
        <v>0</v>
      </c>
      <c r="H822" s="162">
        <f t="shared" si="47"/>
        <v>0</v>
      </c>
      <c r="I822" s="162">
        <f t="shared" si="48"/>
        <v>0</v>
      </c>
    </row>
    <row r="823" spans="1:9" hidden="1">
      <c r="A823" s="151">
        <f t="shared" si="46"/>
        <v>1</v>
      </c>
      <c r="B823" s="151" t="s">
        <v>206</v>
      </c>
      <c r="C823" s="159">
        <v>32121106</v>
      </c>
      <c r="D823" s="160" t="s">
        <v>700</v>
      </c>
      <c r="E823" s="161">
        <f>SUMIF(Lanç!$C$3:$C$114,C823,Lanç!$F$3:$F$114)</f>
        <v>0</v>
      </c>
      <c r="F823" s="161">
        <f>SUMIF(Lanç!$C$115:$C$6504,C823,Lanç!$F$115:$F$6504)</f>
        <v>0</v>
      </c>
      <c r="G823" s="161">
        <f>SUMIF(Lanç!$C$115:$C$6504,C823,Lanç!$G$115:$G$6504)</f>
        <v>0</v>
      </c>
      <c r="H823" s="162">
        <f t="shared" si="47"/>
        <v>0</v>
      </c>
      <c r="I823" s="162">
        <f t="shared" si="48"/>
        <v>0</v>
      </c>
    </row>
    <row r="824" spans="1:9" hidden="1">
      <c r="A824" s="151">
        <f t="shared" si="46"/>
        <v>1</v>
      </c>
      <c r="B824" s="151" t="s">
        <v>206</v>
      </c>
      <c r="C824" s="159">
        <v>32121107</v>
      </c>
      <c r="D824" s="160" t="s">
        <v>701</v>
      </c>
      <c r="E824" s="161">
        <f>SUMIF(Lanç!$C$3:$C$114,C824,Lanç!$F$3:$F$114)</f>
        <v>0</v>
      </c>
      <c r="F824" s="161">
        <f>SUMIF(Lanç!$C$115:$C$6504,C824,Lanç!$F$115:$F$6504)</f>
        <v>0</v>
      </c>
      <c r="G824" s="161">
        <f>SUMIF(Lanç!$C$115:$C$6504,C824,Lanç!$G$115:$G$6504)</f>
        <v>0</v>
      </c>
      <c r="H824" s="162">
        <f t="shared" si="47"/>
        <v>0</v>
      </c>
      <c r="I824" s="162">
        <f t="shared" si="48"/>
        <v>0</v>
      </c>
    </row>
    <row r="825" spans="1:9" hidden="1">
      <c r="A825" s="151">
        <f t="shared" si="46"/>
        <v>1</v>
      </c>
      <c r="B825" s="151" t="s">
        <v>206</v>
      </c>
      <c r="C825" s="159">
        <v>32121108</v>
      </c>
      <c r="D825" s="160" t="s">
        <v>702</v>
      </c>
      <c r="E825" s="161">
        <f>SUMIF(Lanç!$C$3:$C$114,C825,Lanç!$F$3:$F$114)</f>
        <v>0</v>
      </c>
      <c r="F825" s="161">
        <f>SUMIF(Lanç!$C$115:$C$6504,C825,Lanç!$F$115:$F$6504)</f>
        <v>0</v>
      </c>
      <c r="G825" s="161">
        <f>SUMIF(Lanç!$C$115:$C$6504,C825,Lanç!$G$115:$G$6504)</f>
        <v>0</v>
      </c>
      <c r="H825" s="162">
        <f t="shared" si="47"/>
        <v>0</v>
      </c>
      <c r="I825" s="162">
        <f t="shared" si="48"/>
        <v>0</v>
      </c>
    </row>
    <row r="826" spans="1:9" hidden="1">
      <c r="A826" s="151">
        <f t="shared" si="46"/>
        <v>1</v>
      </c>
      <c r="B826" s="151" t="s">
        <v>206</v>
      </c>
      <c r="C826" s="159">
        <v>32121109</v>
      </c>
      <c r="D826" s="160" t="s">
        <v>703</v>
      </c>
      <c r="E826" s="161">
        <f>SUMIF(Lanç!$C$3:$C$114,C826,Lanç!$F$3:$F$114)</f>
        <v>0</v>
      </c>
      <c r="F826" s="161">
        <f>SUMIF(Lanç!$C$115:$C$6504,C826,Lanç!$F$115:$F$6504)</f>
        <v>0</v>
      </c>
      <c r="G826" s="161">
        <f>SUMIF(Lanç!$C$115:$C$6504,C826,Lanç!$G$115:$G$6504)</f>
        <v>0</v>
      </c>
      <c r="H826" s="162">
        <f t="shared" si="47"/>
        <v>0</v>
      </c>
      <c r="I826" s="162">
        <f t="shared" si="48"/>
        <v>0</v>
      </c>
    </row>
    <row r="827" spans="1:9">
      <c r="A827" s="151">
        <f t="shared" si="46"/>
        <v>0</v>
      </c>
      <c r="B827" s="151" t="s">
        <v>206</v>
      </c>
      <c r="C827" s="159">
        <v>32121110</v>
      </c>
      <c r="D827" s="160" t="s">
        <v>704</v>
      </c>
      <c r="E827" s="161">
        <f>SUMIF(Lanç!C3:C114,C827,Lanç!F3:F114)</f>
        <v>-1715000</v>
      </c>
      <c r="F827" s="161">
        <f>SUMIF(Lanç!C115:C6504,C827,Lanç!F115:F6504)</f>
        <v>0</v>
      </c>
      <c r="G827" s="161">
        <f>SUMIF(Lanç!C115:C6504,C827,Lanç!G115:G6504)</f>
        <v>0</v>
      </c>
      <c r="H827" s="162">
        <f t="shared" si="47"/>
        <v>0</v>
      </c>
      <c r="I827" s="162">
        <f t="shared" si="48"/>
        <v>-1715000</v>
      </c>
    </row>
    <row r="828" spans="1:9" hidden="1">
      <c r="A828" s="151">
        <f t="shared" si="46"/>
        <v>1</v>
      </c>
      <c r="B828" s="151" t="s">
        <v>206</v>
      </c>
      <c r="C828" s="159">
        <v>32121111</v>
      </c>
      <c r="D828" s="160" t="s">
        <v>705</v>
      </c>
      <c r="E828" s="161">
        <f>SUMIF(Lanç!$C$3:$C$114,C828,Lanç!$F$3:$F$114)</f>
        <v>0</v>
      </c>
      <c r="F828" s="161">
        <f>SUMIF(Lanç!$C$115:$C$6504,C828,Lanç!$F$115:$F$6504)</f>
        <v>0</v>
      </c>
      <c r="G828" s="161">
        <f>SUMIF(Lanç!$C$115:$C$6504,C828,Lanç!$G$115:$G$6504)</f>
        <v>0</v>
      </c>
      <c r="H828" s="162">
        <f t="shared" si="47"/>
        <v>0</v>
      </c>
      <c r="I828" s="162">
        <f t="shared" si="48"/>
        <v>0</v>
      </c>
    </row>
    <row r="829" spans="1:9" hidden="1">
      <c r="A829" s="151">
        <f t="shared" si="46"/>
        <v>1</v>
      </c>
      <c r="B829" s="151" t="s">
        <v>206</v>
      </c>
      <c r="C829" s="159">
        <v>32121112</v>
      </c>
      <c r="D829" s="160" t="s">
        <v>706</v>
      </c>
      <c r="E829" s="161">
        <f>SUMIF(Lanç!C3:C114,C829,Lanç!F3:F114)</f>
        <v>0</v>
      </c>
      <c r="F829" s="161">
        <f>SUMIF(Lanç!C115:C6504,C829,Lanç!F115:F6504)</f>
        <v>0</v>
      </c>
      <c r="G829" s="161">
        <f>SUMIF(Lanç!C115:C6504,C829,Lanç!G115:G6504)</f>
        <v>0</v>
      </c>
      <c r="H829" s="162">
        <f t="shared" si="47"/>
        <v>0</v>
      </c>
      <c r="I829" s="162">
        <f t="shared" si="48"/>
        <v>0</v>
      </c>
    </row>
    <row r="830" spans="1:9" hidden="1">
      <c r="A830" s="151">
        <f t="shared" si="46"/>
        <v>1</v>
      </c>
      <c r="B830" s="151" t="s">
        <v>206</v>
      </c>
      <c r="C830" s="159">
        <v>32121113</v>
      </c>
      <c r="D830" s="160" t="s">
        <v>707</v>
      </c>
      <c r="E830" s="161">
        <f>SUMIF(Lanç!$C$3:$C$114,C830,Lanç!$F$3:$F$114)</f>
        <v>0</v>
      </c>
      <c r="F830" s="161">
        <f>SUMIF(Lanç!$C$115:$C$6504,C830,Lanç!$F$115:$F$6504)</f>
        <v>0</v>
      </c>
      <c r="G830" s="161">
        <f>SUMIF(Lanç!$C$115:$C$6504,C830,Lanç!$G$115:$G$6504)</f>
        <v>0</v>
      </c>
      <c r="H830" s="162">
        <f t="shared" si="47"/>
        <v>0</v>
      </c>
      <c r="I830" s="162">
        <f t="shared" si="48"/>
        <v>0</v>
      </c>
    </row>
    <row r="831" spans="1:9" hidden="1">
      <c r="A831" s="151">
        <f t="shared" si="46"/>
        <v>1</v>
      </c>
      <c r="B831" s="151" t="s">
        <v>206</v>
      </c>
      <c r="C831" s="159">
        <v>32121114</v>
      </c>
      <c r="D831" s="160" t="s">
        <v>708</v>
      </c>
      <c r="E831" s="161">
        <f>SUMIF(Lanç!$C$3:$C$114,C831,Lanç!$F$3:$F$114)</f>
        <v>0</v>
      </c>
      <c r="F831" s="161">
        <f>SUMIF(Lanç!$C$115:$C$6504,C831,Lanç!$F$115:$F$6504)</f>
        <v>0</v>
      </c>
      <c r="G831" s="161">
        <f>SUMIF(Lanç!$C$115:$C$6504,C831,Lanç!$G$115:$G$6504)</f>
        <v>0</v>
      </c>
      <c r="H831" s="162">
        <f t="shared" si="47"/>
        <v>0</v>
      </c>
      <c r="I831" s="162">
        <f t="shared" si="48"/>
        <v>0</v>
      </c>
    </row>
    <row r="832" spans="1:9" hidden="1">
      <c r="A832" s="151">
        <f t="shared" si="46"/>
        <v>1</v>
      </c>
      <c r="B832" s="151" t="s">
        <v>206</v>
      </c>
      <c r="C832" s="159">
        <v>32121115</v>
      </c>
      <c r="D832" s="160" t="s">
        <v>709</v>
      </c>
      <c r="E832" s="161">
        <f>SUMIF(Lanç!$C$3:$C$114,C832,Lanç!$F$3:$F$114)</f>
        <v>0</v>
      </c>
      <c r="F832" s="161">
        <f>SUMIF(Lanç!$C$115:$C$6504,C832,Lanç!$F$115:$F$6504)</f>
        <v>0</v>
      </c>
      <c r="G832" s="161">
        <f>SUMIF(Lanç!$C$115:$C$6504,C832,Lanç!$G$115:$G$6504)</f>
        <v>0</v>
      </c>
      <c r="H832" s="162">
        <f t="shared" si="47"/>
        <v>0</v>
      </c>
      <c r="I832" s="162">
        <f t="shared" si="48"/>
        <v>0</v>
      </c>
    </row>
    <row r="833" spans="1:9" hidden="1">
      <c r="A833" s="151">
        <f t="shared" si="46"/>
        <v>1</v>
      </c>
      <c r="B833" s="151" t="s">
        <v>206</v>
      </c>
      <c r="C833" s="159">
        <v>32121116</v>
      </c>
      <c r="D833" s="160" t="s">
        <v>710</v>
      </c>
      <c r="E833" s="161">
        <f>SUMIF(Lanç!$C$3:$C$114,C833,Lanç!$F$3:$F$114)</f>
        <v>0</v>
      </c>
      <c r="F833" s="161">
        <f>SUMIF(Lanç!$C$115:$C$6504,C833,Lanç!$F$115:$F$6504)</f>
        <v>0</v>
      </c>
      <c r="G833" s="161">
        <f>SUMIF(Lanç!$C$115:$C$6504,C833,Lanç!$G$115:$G$6504)</f>
        <v>0</v>
      </c>
      <c r="H833" s="162">
        <f t="shared" si="47"/>
        <v>0</v>
      </c>
      <c r="I833" s="162">
        <f t="shared" si="48"/>
        <v>0</v>
      </c>
    </row>
    <row r="834" spans="1:9">
      <c r="A834" s="151">
        <f t="shared" si="46"/>
        <v>0</v>
      </c>
      <c r="B834" s="151" t="s">
        <v>206</v>
      </c>
      <c r="C834" s="159">
        <v>32121117</v>
      </c>
      <c r="D834" s="160" t="s">
        <v>711</v>
      </c>
      <c r="E834" s="161">
        <f>SUMIF(Lanç!$C$3:$C$114,C834,Lanç!$F$3:$F$114)</f>
        <v>-1806000</v>
      </c>
      <c r="F834" s="161">
        <f>SUMIF(Lanç!$C$115:$C$6504,C834,Lanç!$F$115:$F$6504)</f>
        <v>0</v>
      </c>
      <c r="G834" s="161">
        <f>SUMIF(Lanç!$C$115:$C$6504,C834,Lanç!$G$115:$G$6504)</f>
        <v>0</v>
      </c>
      <c r="H834" s="162">
        <f t="shared" si="47"/>
        <v>0</v>
      </c>
      <c r="I834" s="162">
        <f t="shared" si="48"/>
        <v>-1806000</v>
      </c>
    </row>
    <row r="835" spans="1:9" hidden="1">
      <c r="A835" s="151">
        <f t="shared" si="46"/>
        <v>1</v>
      </c>
      <c r="B835" s="151" t="s">
        <v>206</v>
      </c>
      <c r="C835" s="159">
        <v>32121118</v>
      </c>
      <c r="D835" s="160" t="s">
        <v>712</v>
      </c>
      <c r="E835" s="161">
        <f>SUMIF(Lanç!$C$3:$C$114,C835,Lanç!$F$3:$F$114)</f>
        <v>0</v>
      </c>
      <c r="F835" s="161">
        <f>SUMIF(Lanç!$C$115:$C$6504,C835,Lanç!$F$115:$F$6504)</f>
        <v>0</v>
      </c>
      <c r="G835" s="161">
        <f>SUMIF(Lanç!$C$115:$C$6504,C835,Lanç!$G$115:$G$6504)</f>
        <v>0</v>
      </c>
      <c r="H835" s="162">
        <f t="shared" si="47"/>
        <v>0</v>
      </c>
      <c r="I835" s="162">
        <f t="shared" si="48"/>
        <v>0</v>
      </c>
    </row>
    <row r="836" spans="1:9" hidden="1">
      <c r="A836" s="151">
        <f t="shared" si="46"/>
        <v>1</v>
      </c>
      <c r="B836" s="151" t="s">
        <v>206</v>
      </c>
      <c r="C836" s="159">
        <v>32121119</v>
      </c>
      <c r="D836" s="160" t="s">
        <v>713</v>
      </c>
      <c r="E836" s="161">
        <f>SUMIF(Lanç!$C$3:$C$114,C836,Lanç!$F$3:$F$114)</f>
        <v>0</v>
      </c>
      <c r="F836" s="161">
        <f>SUMIF(Lanç!$C$115:$C$6504,C836,Lanç!$F$115:$F$6504)</f>
        <v>0</v>
      </c>
      <c r="G836" s="161">
        <f>SUMIF(Lanç!$C$115:$C$6504,C836,Lanç!$G$115:$G$6504)</f>
        <v>0</v>
      </c>
      <c r="H836" s="162">
        <f t="shared" si="47"/>
        <v>0</v>
      </c>
      <c r="I836" s="162">
        <f t="shared" si="48"/>
        <v>0</v>
      </c>
    </row>
    <row r="837" spans="1:9" hidden="1">
      <c r="A837" s="151">
        <f t="shared" si="46"/>
        <v>1</v>
      </c>
      <c r="B837" s="151" t="s">
        <v>206</v>
      </c>
      <c r="C837" s="159">
        <v>32121120</v>
      </c>
      <c r="D837" s="160" t="s">
        <v>508</v>
      </c>
      <c r="E837" s="161">
        <f>SUMIF(Lanç!$C$3:$C$114,C837,Lanç!$F$3:$F$114)</f>
        <v>0</v>
      </c>
      <c r="F837" s="161">
        <f>SUMIF(Lanç!$C$115:$C$6504,C837,Lanç!$F$115:$F$6504)</f>
        <v>0</v>
      </c>
      <c r="G837" s="161">
        <f>SUMIF(Lanç!$C$115:$C$6504,C837,Lanç!$G$115:$G$6504)</f>
        <v>0</v>
      </c>
      <c r="H837" s="162">
        <f t="shared" si="47"/>
        <v>0</v>
      </c>
      <c r="I837" s="162">
        <f t="shared" si="48"/>
        <v>0</v>
      </c>
    </row>
    <row r="838" spans="1:9">
      <c r="A838" s="151">
        <f t="shared" si="46"/>
        <v>0</v>
      </c>
      <c r="B838" s="151" t="s">
        <v>206</v>
      </c>
      <c r="C838" s="159">
        <v>32121121</v>
      </c>
      <c r="D838" s="160" t="s">
        <v>1729</v>
      </c>
      <c r="E838" s="161">
        <f>SUMIF(Lanç!C3:C114,C838,Lanç!F3:F114)</f>
        <v>1383452.92</v>
      </c>
      <c r="F838" s="161">
        <f>SUMIF(Lanç!C115:C6504,C838,Lanç!F115:F6504)</f>
        <v>0</v>
      </c>
      <c r="G838" s="161">
        <f>SUMIF(Lanç!C115:C6504,C838,Lanç!G115:G6504)</f>
        <v>0</v>
      </c>
      <c r="H838" s="162">
        <f t="shared" si="47"/>
        <v>0</v>
      </c>
      <c r="I838" s="162">
        <f t="shared" si="48"/>
        <v>1383452.92</v>
      </c>
    </row>
    <row r="839" spans="1:9" hidden="1">
      <c r="A839" s="151">
        <f t="shared" si="46"/>
        <v>1</v>
      </c>
      <c r="B839" s="151" t="s">
        <v>206</v>
      </c>
      <c r="C839" s="159">
        <v>32121122</v>
      </c>
      <c r="D839" s="160" t="s">
        <v>714</v>
      </c>
      <c r="E839" s="161">
        <f>SUMIF(Lanç!$C$3:$C$114,C839,Lanç!$F$3:$F$114)</f>
        <v>0</v>
      </c>
      <c r="F839" s="161">
        <f>SUMIF(Lanç!$C$115:$C$6504,C839,Lanç!$F$115:$F$6504)</f>
        <v>0</v>
      </c>
      <c r="G839" s="161">
        <f>SUMIF(Lanç!$C$115:$C$6504,C839,Lanç!$G$115:$G$6504)</f>
        <v>0</v>
      </c>
      <c r="H839" s="162">
        <f t="shared" si="47"/>
        <v>0</v>
      </c>
      <c r="I839" s="162">
        <f t="shared" si="48"/>
        <v>0</v>
      </c>
    </row>
    <row r="840" spans="1:9" hidden="1">
      <c r="A840" s="151">
        <f t="shared" si="46"/>
        <v>1</v>
      </c>
      <c r="B840" s="151" t="s">
        <v>206</v>
      </c>
      <c r="C840" s="159">
        <v>32121124</v>
      </c>
      <c r="D840" s="160" t="s">
        <v>715</v>
      </c>
      <c r="E840" s="161">
        <f>SUMIF(Lanç!C3:C114,C840,Lanç!F3:F114)</f>
        <v>0</v>
      </c>
      <c r="F840" s="161">
        <f>SUMIF(Lanç!C115:C6504,C840,Lanç!F115:F6504)</f>
        <v>0</v>
      </c>
      <c r="G840" s="161">
        <f>SUMIF(Lanç!C115:C6504,C840,Lanç!G115:G6504)</f>
        <v>0</v>
      </c>
      <c r="H840" s="162">
        <f t="shared" si="47"/>
        <v>0</v>
      </c>
      <c r="I840" s="162">
        <f t="shared" si="48"/>
        <v>0</v>
      </c>
    </row>
    <row r="841" spans="1:9" hidden="1">
      <c r="A841" s="151">
        <f t="shared" si="46"/>
        <v>1</v>
      </c>
      <c r="B841" s="151" t="s">
        <v>206</v>
      </c>
      <c r="C841" s="159">
        <v>32121125</v>
      </c>
      <c r="D841" s="160" t="s">
        <v>716</v>
      </c>
      <c r="E841" s="161">
        <f>SUMIF(Lanç!$C$3:$C$114,C841,Lanç!$F$3:$F$114)</f>
        <v>0</v>
      </c>
      <c r="F841" s="161">
        <f>SUMIF(Lanç!$C$115:$C$6504,C841,Lanç!$F$115:$F$6504)</f>
        <v>0</v>
      </c>
      <c r="G841" s="161">
        <f>SUMIF(Lanç!$C$115:$C$6504,C841,Lanç!$G$115:$G$6504)</f>
        <v>0</v>
      </c>
      <c r="H841" s="162">
        <f t="shared" si="47"/>
        <v>0</v>
      </c>
      <c r="I841" s="162">
        <f t="shared" si="48"/>
        <v>0</v>
      </c>
    </row>
    <row r="842" spans="1:9" hidden="1">
      <c r="A842" s="151">
        <f t="shared" si="46"/>
        <v>1</v>
      </c>
      <c r="B842" s="151" t="s">
        <v>206</v>
      </c>
      <c r="C842" s="159">
        <v>32121126</v>
      </c>
      <c r="D842" s="160" t="s">
        <v>717</v>
      </c>
      <c r="E842" s="161">
        <f>SUMIF(Lanç!$C$3:$C$114,C842,Lanç!$F$3:$F$114)</f>
        <v>0</v>
      </c>
      <c r="F842" s="161">
        <f>SUMIF(Lanç!$C$115:$C$6504,C842,Lanç!$F$115:$F$6504)</f>
        <v>0</v>
      </c>
      <c r="G842" s="161">
        <f>SUMIF(Lanç!$C$115:$C$6504,C842,Lanç!$G$115:$G$6504)</f>
        <v>0</v>
      </c>
      <c r="H842" s="162">
        <f t="shared" si="47"/>
        <v>0</v>
      </c>
      <c r="I842" s="162">
        <f t="shared" si="48"/>
        <v>0</v>
      </c>
    </row>
    <row r="843" spans="1:9" hidden="1">
      <c r="A843" s="151">
        <f t="shared" si="46"/>
        <v>1</v>
      </c>
      <c r="B843" s="151" t="s">
        <v>206</v>
      </c>
      <c r="C843" s="159">
        <v>32121127</v>
      </c>
      <c r="D843" s="160" t="s">
        <v>718</v>
      </c>
      <c r="E843" s="161">
        <f>SUMIF(Lanç!$C$3:$C$114,C843,Lanç!$F$3:$F$114)</f>
        <v>0</v>
      </c>
      <c r="F843" s="161">
        <f>SUMIF(Lanç!$C$115:$C$6504,C843,Lanç!$F$115:$F$6504)</f>
        <v>0</v>
      </c>
      <c r="G843" s="161">
        <f>SUMIF(Lanç!$C$115:$C$6504,C843,Lanç!$G$115:$G$6504)</f>
        <v>0</v>
      </c>
      <c r="H843" s="162">
        <f t="shared" si="47"/>
        <v>0</v>
      </c>
      <c r="I843" s="162">
        <f t="shared" si="48"/>
        <v>0</v>
      </c>
    </row>
    <row r="844" spans="1:9" hidden="1">
      <c r="A844" s="151">
        <f t="shared" si="46"/>
        <v>1</v>
      </c>
      <c r="B844" s="151" t="s">
        <v>206</v>
      </c>
      <c r="C844" s="159">
        <v>32121128</v>
      </c>
      <c r="D844" s="160" t="s">
        <v>719</v>
      </c>
      <c r="E844" s="161">
        <f>SUMIF(Lanç!$C$3:$C$114,C844,Lanç!$F$3:$F$114)</f>
        <v>0</v>
      </c>
      <c r="F844" s="161">
        <f>SUMIF(Lanç!$C$115:$C$6504,C844,Lanç!$F$115:$F$6504)</f>
        <v>0</v>
      </c>
      <c r="G844" s="161">
        <f>SUMIF(Lanç!$C$115:$C$6504,C844,Lanç!$G$115:$G$6504)</f>
        <v>0</v>
      </c>
      <c r="H844" s="162">
        <f t="shared" si="47"/>
        <v>0</v>
      </c>
      <c r="I844" s="162">
        <f t="shared" si="48"/>
        <v>0</v>
      </c>
    </row>
    <row r="845" spans="1:9" hidden="1">
      <c r="A845" s="151">
        <f t="shared" si="46"/>
        <v>1</v>
      </c>
      <c r="B845" s="151" t="s">
        <v>206</v>
      </c>
      <c r="C845" s="159">
        <v>32121129</v>
      </c>
      <c r="D845" s="160" t="s">
        <v>720</v>
      </c>
      <c r="E845" s="161">
        <f>SUMIF(Lanç!$C$3:$C$114,C845,Lanç!$F$3:$F$114)</f>
        <v>0</v>
      </c>
      <c r="F845" s="161">
        <f>SUMIF(Lanç!$C$115:$C$6504,C845,Lanç!$F$115:$F$6504)</f>
        <v>0</v>
      </c>
      <c r="G845" s="161">
        <f>SUMIF(Lanç!$C$115:$C$6504,C845,Lanç!$G$115:$G$6504)</f>
        <v>0</v>
      </c>
      <c r="H845" s="162">
        <f t="shared" si="47"/>
        <v>0</v>
      </c>
      <c r="I845" s="162">
        <f t="shared" si="48"/>
        <v>0</v>
      </c>
    </row>
    <row r="846" spans="1:9" hidden="1">
      <c r="A846" s="151">
        <f t="shared" si="46"/>
        <v>1</v>
      </c>
      <c r="B846" s="151" t="s">
        <v>206</v>
      </c>
      <c r="C846" s="159">
        <v>32121130</v>
      </c>
      <c r="D846" s="160" t="s">
        <v>721</v>
      </c>
      <c r="E846" s="161">
        <f>SUMIF(Lanç!$C$3:$C$114,C846,Lanç!$F$3:$F$114)</f>
        <v>0</v>
      </c>
      <c r="F846" s="161">
        <f>SUMIF(Lanç!$C$115:$C$6504,C846,Lanç!$F$115:$F$6504)</f>
        <v>0</v>
      </c>
      <c r="G846" s="161">
        <f>SUMIF(Lanç!$C$115:$C$6504,C846,Lanç!$G$115:$G$6504)</f>
        <v>0</v>
      </c>
      <c r="H846" s="162">
        <f t="shared" si="47"/>
        <v>0</v>
      </c>
      <c r="I846" s="162">
        <f t="shared" si="48"/>
        <v>0</v>
      </c>
    </row>
    <row r="847" spans="1:9" hidden="1">
      <c r="A847" s="151">
        <f t="shared" si="46"/>
        <v>1</v>
      </c>
      <c r="B847" s="151" t="s">
        <v>206</v>
      </c>
      <c r="C847" s="159">
        <v>32121131</v>
      </c>
      <c r="D847" s="160" t="s">
        <v>722</v>
      </c>
      <c r="E847" s="161">
        <f>SUMIF(Lanç!$C$3:$C$114,C847,Lanç!$F$3:$F$114)</f>
        <v>0</v>
      </c>
      <c r="F847" s="161">
        <f>SUMIF(Lanç!$C$115:$C$6504,C847,Lanç!$F$115:$F$6504)</f>
        <v>0</v>
      </c>
      <c r="G847" s="161">
        <f>SUMIF(Lanç!$C$115:$C$6504,C847,Lanç!$G$115:$G$6504)</f>
        <v>0</v>
      </c>
      <c r="H847" s="162">
        <f t="shared" si="47"/>
        <v>0</v>
      </c>
      <c r="I847" s="162">
        <f t="shared" si="48"/>
        <v>0</v>
      </c>
    </row>
    <row r="848" spans="1:9" hidden="1">
      <c r="A848" s="151">
        <f t="shared" si="46"/>
        <v>1</v>
      </c>
      <c r="B848" s="151" t="s">
        <v>206</v>
      </c>
      <c r="C848" s="159">
        <v>32121132</v>
      </c>
      <c r="D848" s="160" t="s">
        <v>723</v>
      </c>
      <c r="E848" s="161">
        <f>SUMIF(Lanç!$C$3:$C$114,C848,Lanç!$F$3:$F$114)</f>
        <v>0</v>
      </c>
      <c r="F848" s="161">
        <f>SUMIF(Lanç!$C$115:$C$6504,C848,Lanç!$F$115:$F$6504)</f>
        <v>0</v>
      </c>
      <c r="G848" s="161">
        <f>SUMIF(Lanç!$C$115:$C$6504,C848,Lanç!$G$115:$G$6504)</f>
        <v>0</v>
      </c>
      <c r="H848" s="162">
        <f t="shared" si="47"/>
        <v>0</v>
      </c>
      <c r="I848" s="162">
        <f t="shared" si="48"/>
        <v>0</v>
      </c>
    </row>
    <row r="849" spans="1:9" hidden="1">
      <c r="A849" s="151">
        <f t="shared" si="46"/>
        <v>1</v>
      </c>
      <c r="B849" s="151" t="s">
        <v>206</v>
      </c>
      <c r="C849" s="159">
        <v>32121133</v>
      </c>
      <c r="D849" s="160" t="s">
        <v>724</v>
      </c>
      <c r="E849" s="161">
        <f>SUMIF(Lanç!$C$3:$C$114,C849,Lanç!$F$3:$F$114)</f>
        <v>0</v>
      </c>
      <c r="F849" s="161">
        <f>SUMIF(Lanç!$C$115:$C$6504,C849,Lanç!$F$115:$F$6504)</f>
        <v>0</v>
      </c>
      <c r="G849" s="161">
        <f>SUMIF(Lanç!$C$115:$C$6504,C849,Lanç!$G$115:$G$6504)</f>
        <v>0</v>
      </c>
      <c r="H849" s="162">
        <f t="shared" si="47"/>
        <v>0</v>
      </c>
      <c r="I849" s="162">
        <f t="shared" si="48"/>
        <v>0</v>
      </c>
    </row>
    <row r="850" spans="1:9" hidden="1">
      <c r="A850" s="151">
        <f t="shared" si="46"/>
        <v>1</v>
      </c>
      <c r="B850" s="151" t="s">
        <v>206</v>
      </c>
      <c r="C850" s="159">
        <v>32121134</v>
      </c>
      <c r="D850" s="160" t="s">
        <v>725</v>
      </c>
      <c r="E850" s="161">
        <f>SUMIF(Lanç!$C$3:$C$114,C850,Lanç!$F$3:$F$114)</f>
        <v>0</v>
      </c>
      <c r="F850" s="161">
        <f>SUMIF(Lanç!$C$115:$C$6504,C850,Lanç!$F$115:$F$6504)</f>
        <v>0</v>
      </c>
      <c r="G850" s="161">
        <f>SUMIF(Lanç!$C$115:$C$6504,C850,Lanç!$G$115:$G$6504)</f>
        <v>0</v>
      </c>
      <c r="H850" s="162">
        <f t="shared" si="47"/>
        <v>0</v>
      </c>
      <c r="I850" s="162">
        <f t="shared" si="48"/>
        <v>0</v>
      </c>
    </row>
    <row r="851" spans="1:9" hidden="1">
      <c r="A851" s="151">
        <f t="shared" ref="A851:A930" si="49">IF(E851+F851+G851+H851+I851=0,1,0)</f>
        <v>1</v>
      </c>
      <c r="B851" s="151" t="s">
        <v>206</v>
      </c>
      <c r="C851" s="159">
        <v>32121135</v>
      </c>
      <c r="D851" s="160" t="s">
        <v>726</v>
      </c>
      <c r="E851" s="161">
        <f>SUMIF(Lanç!C3:C114,C851,Lanç!F3:F114)</f>
        <v>0</v>
      </c>
      <c r="F851" s="161">
        <f>SUMIF(Lanç!C115:C6504,C851,Lanç!F115:F6504)</f>
        <v>0</v>
      </c>
      <c r="G851" s="161">
        <f>SUMIF(Lanç!C115:C6504,C851,Lanç!G115:G6504)</f>
        <v>0</v>
      </c>
      <c r="H851" s="162">
        <f t="shared" ref="H851:H930" si="50">(F851)-(G851)</f>
        <v>0</v>
      </c>
      <c r="I851" s="162">
        <f t="shared" ref="I851:I930" si="51">(E851)+(H851)</f>
        <v>0</v>
      </c>
    </row>
    <row r="852" spans="1:9" hidden="1">
      <c r="A852" s="151">
        <f t="shared" si="49"/>
        <v>1</v>
      </c>
      <c r="B852" s="151" t="s">
        <v>206</v>
      </c>
      <c r="C852" s="159">
        <v>32121136</v>
      </c>
      <c r="D852" s="160" t="s">
        <v>727</v>
      </c>
      <c r="E852" s="161">
        <f>SUMIF(Lanç!$C$3:$C$114,C852,Lanç!$F$3:$F$114)</f>
        <v>0</v>
      </c>
      <c r="F852" s="161">
        <f>SUMIF(Lanç!$C$115:$C$6504,C852,Lanç!$F$115:$F$6504)</f>
        <v>0</v>
      </c>
      <c r="G852" s="161">
        <f>SUMIF(Lanç!$C$115:$C$6504,C852,Lanç!$G$115:$G$6504)</f>
        <v>0</v>
      </c>
      <c r="H852" s="162">
        <f t="shared" si="50"/>
        <v>0</v>
      </c>
      <c r="I852" s="162">
        <f t="shared" si="51"/>
        <v>0</v>
      </c>
    </row>
    <row r="853" spans="1:9" hidden="1">
      <c r="A853" s="151">
        <f t="shared" si="49"/>
        <v>1</v>
      </c>
      <c r="B853" s="151" t="s">
        <v>206</v>
      </c>
      <c r="C853" s="159">
        <v>32121137</v>
      </c>
      <c r="D853" s="160" t="s">
        <v>728</v>
      </c>
      <c r="E853" s="161">
        <f>SUMIF(Lanç!$C$3:$C$114,C853,Lanç!$F$3:$F$114)</f>
        <v>0</v>
      </c>
      <c r="F853" s="161">
        <f>SUMIF(Lanç!$C$115:$C$6504,C853,Lanç!$F$115:$F$6504)</f>
        <v>0</v>
      </c>
      <c r="G853" s="161">
        <f>SUMIF(Lanç!$C$115:$C$6504,C853,Lanç!$G$115:$G$6504)</f>
        <v>0</v>
      </c>
      <c r="H853" s="162">
        <f t="shared" si="50"/>
        <v>0</v>
      </c>
      <c r="I853" s="162">
        <f t="shared" si="51"/>
        <v>0</v>
      </c>
    </row>
    <row r="854" spans="1:9" hidden="1">
      <c r="A854" s="151">
        <f t="shared" si="49"/>
        <v>1</v>
      </c>
      <c r="B854" s="151" t="s">
        <v>206</v>
      </c>
      <c r="C854" s="159">
        <v>32121138</v>
      </c>
      <c r="D854" s="160" t="s">
        <v>729</v>
      </c>
      <c r="E854" s="161">
        <f>SUMIF(Lanç!$C$3:$C$114,C854,Lanç!$F$3:$F$114)</f>
        <v>0</v>
      </c>
      <c r="F854" s="161">
        <f>SUMIF(Lanç!$C$115:$C$6504,C854,Lanç!$F$115:$F$6504)</f>
        <v>0</v>
      </c>
      <c r="G854" s="161">
        <f>SUMIF(Lanç!$C$115:$C$6504,C854,Lanç!$G$115:$G$6504)</f>
        <v>0</v>
      </c>
      <c r="H854" s="162">
        <f t="shared" si="50"/>
        <v>0</v>
      </c>
      <c r="I854" s="162">
        <f t="shared" si="51"/>
        <v>0</v>
      </c>
    </row>
    <row r="855" spans="1:9" hidden="1">
      <c r="A855" s="151">
        <f t="shared" si="49"/>
        <v>1</v>
      </c>
      <c r="B855" s="151" t="s">
        <v>206</v>
      </c>
      <c r="C855" s="159">
        <v>32121139</v>
      </c>
      <c r="D855" s="160" t="s">
        <v>730</v>
      </c>
      <c r="E855" s="161">
        <f>SUMIF(Lanç!$C$3:$C$114,C855,Lanç!$F$3:$F$114)</f>
        <v>0</v>
      </c>
      <c r="F855" s="161">
        <f>SUMIF(Lanç!$C$115:$C$6504,C855,Lanç!$F$115:$F$6504)</f>
        <v>0</v>
      </c>
      <c r="G855" s="161">
        <f>SUMIF(Lanç!$C$115:$C$6504,C855,Lanç!$G$115:$G$6504)</f>
        <v>0</v>
      </c>
      <c r="H855" s="162">
        <f t="shared" si="50"/>
        <v>0</v>
      </c>
      <c r="I855" s="162">
        <f t="shared" si="51"/>
        <v>0</v>
      </c>
    </row>
    <row r="856" spans="1:9" hidden="1">
      <c r="A856" s="151">
        <f t="shared" si="49"/>
        <v>1</v>
      </c>
      <c r="B856" s="151" t="s">
        <v>206</v>
      </c>
      <c r="C856" s="159">
        <v>32121140</v>
      </c>
      <c r="D856" s="160" t="s">
        <v>731</v>
      </c>
      <c r="E856" s="161">
        <f>SUMIF(Lanç!$C$3:$C$114,C856,Lanç!$F$3:$F$114)</f>
        <v>0</v>
      </c>
      <c r="F856" s="161">
        <f>SUMIF(Lanç!$C$115:$C$6504,C856,Lanç!$F$115:$F$6504)</f>
        <v>0</v>
      </c>
      <c r="G856" s="161">
        <f>SUMIF(Lanç!$C$115:$C$6504,C856,Lanç!$G$115:$G$6504)</f>
        <v>0</v>
      </c>
      <c r="H856" s="162">
        <f t="shared" si="50"/>
        <v>0</v>
      </c>
      <c r="I856" s="162">
        <f t="shared" si="51"/>
        <v>0</v>
      </c>
    </row>
    <row r="857" spans="1:9" hidden="1">
      <c r="A857" s="151">
        <f t="shared" si="49"/>
        <v>1</v>
      </c>
      <c r="B857" s="151" t="s">
        <v>206</v>
      </c>
      <c r="C857" s="159">
        <v>32121141</v>
      </c>
      <c r="D857" s="160" t="s">
        <v>732</v>
      </c>
      <c r="E857" s="161">
        <f>SUMIF(Lanç!$C$3:$C$114,C857,Lanç!$F$3:$F$114)</f>
        <v>0</v>
      </c>
      <c r="F857" s="161">
        <f>SUMIF(Lanç!$C$115:$C$6504,C857,Lanç!$F$115:$F$6504)</f>
        <v>0</v>
      </c>
      <c r="G857" s="161">
        <f>SUMIF(Lanç!$C$115:$C$6504,C857,Lanç!$G$115:$G$6504)</f>
        <v>0</v>
      </c>
      <c r="H857" s="162">
        <f t="shared" si="50"/>
        <v>0</v>
      </c>
      <c r="I857" s="162">
        <f t="shared" si="51"/>
        <v>0</v>
      </c>
    </row>
    <row r="858" spans="1:9" hidden="1">
      <c r="A858" s="151">
        <f t="shared" si="49"/>
        <v>1</v>
      </c>
      <c r="B858" s="151" t="s">
        <v>206</v>
      </c>
      <c r="C858" s="159">
        <v>32121142</v>
      </c>
      <c r="D858" s="160" t="s">
        <v>733</v>
      </c>
      <c r="E858" s="161">
        <f>SUMIF(Lanç!C3:C114,C858,Lanç!F3:F114)</f>
        <v>0</v>
      </c>
      <c r="F858" s="161">
        <f>SUMIF(Lanç!C115:C6504,C858,Lanç!F115:F6504)</f>
        <v>0</v>
      </c>
      <c r="G858" s="161">
        <f>SUMIF(Lanç!C115:C6504,C858,Lanç!G115:G6504)</f>
        <v>0</v>
      </c>
      <c r="H858" s="162">
        <f t="shared" si="50"/>
        <v>0</v>
      </c>
      <c r="I858" s="162">
        <f t="shared" si="51"/>
        <v>0</v>
      </c>
    </row>
    <row r="859" spans="1:9">
      <c r="A859" s="151">
        <f t="shared" si="49"/>
        <v>0</v>
      </c>
      <c r="B859" s="151" t="s">
        <v>206</v>
      </c>
      <c r="C859" s="159">
        <v>32121143</v>
      </c>
      <c r="D859" s="160" t="s">
        <v>734</v>
      </c>
      <c r="E859" s="161">
        <f>SUMIF(Lanç!$C$3:$C$114,C859,Lanç!$F$3:$F$114)</f>
        <v>-168220</v>
      </c>
      <c r="F859" s="161">
        <f>SUMIF(Lanç!$C$115:$C$6504,C859,Lanç!$F$115:$F$6504)</f>
        <v>0</v>
      </c>
      <c r="G859" s="161">
        <f>SUMIF(Lanç!$C$115:$C$6504,C859,Lanç!$G$115:$G$6504)</f>
        <v>0</v>
      </c>
      <c r="H859" s="162">
        <f t="shared" si="50"/>
        <v>0</v>
      </c>
      <c r="I859" s="162">
        <f t="shared" si="51"/>
        <v>-168220</v>
      </c>
    </row>
    <row r="860" spans="1:9" hidden="1">
      <c r="A860" s="151">
        <f t="shared" si="49"/>
        <v>1</v>
      </c>
      <c r="B860" s="151" t="s">
        <v>206</v>
      </c>
      <c r="C860" s="159">
        <v>32121144</v>
      </c>
      <c r="D860" s="160" t="s">
        <v>735</v>
      </c>
      <c r="E860" s="161">
        <f>SUMIF(Lanç!C3:C114,C860,Lanç!F3:F114)</f>
        <v>0</v>
      </c>
      <c r="F860" s="161">
        <f>SUMIF(Lanç!C115:C6504,C860,Lanç!F115:F6504)</f>
        <v>0</v>
      </c>
      <c r="G860" s="161">
        <f>SUMIF(Lanç!C115:C6504,C860,Lanç!G115:G6504)</f>
        <v>0</v>
      </c>
      <c r="H860" s="162">
        <f t="shared" si="50"/>
        <v>0</v>
      </c>
      <c r="I860" s="162">
        <f t="shared" si="51"/>
        <v>0</v>
      </c>
    </row>
    <row r="861" spans="1:9" hidden="1">
      <c r="A861" s="151">
        <f t="shared" si="49"/>
        <v>1</v>
      </c>
      <c r="B861" s="151" t="s">
        <v>206</v>
      </c>
      <c r="C861" s="159">
        <v>32121145</v>
      </c>
      <c r="D861" s="160" t="s">
        <v>736</v>
      </c>
      <c r="E861" s="161">
        <f>SUMIF(Lanç!$C$3:$C$114,C861,Lanç!$F$3:$F$114)</f>
        <v>0</v>
      </c>
      <c r="F861" s="161">
        <f>SUMIF(Lanç!$C$115:$C$6504,C861,Lanç!$F$115:$F$6504)</f>
        <v>0</v>
      </c>
      <c r="G861" s="161">
        <f>SUMIF(Lanç!$C$115:$C$6504,C861,Lanç!$G$115:$G$6504)</f>
        <v>0</v>
      </c>
      <c r="H861" s="162">
        <f t="shared" si="50"/>
        <v>0</v>
      </c>
      <c r="I861" s="162">
        <f t="shared" si="51"/>
        <v>0</v>
      </c>
    </row>
    <row r="862" spans="1:9" hidden="1">
      <c r="A862" s="151">
        <f t="shared" si="49"/>
        <v>1</v>
      </c>
      <c r="B862" s="151" t="s">
        <v>206</v>
      </c>
      <c r="C862" s="159">
        <v>32121146</v>
      </c>
      <c r="D862" s="160" t="s">
        <v>737</v>
      </c>
      <c r="E862" s="161">
        <f>SUMIF(Lanç!C3:C114,C862,Lanç!F3:F114)</f>
        <v>0</v>
      </c>
      <c r="F862" s="161">
        <f>SUMIF(Lanç!C115:C6504,C862,Lanç!F115:F6504)</f>
        <v>0</v>
      </c>
      <c r="G862" s="161">
        <f>SUMIF(Lanç!C115:C6504,C862,Lanç!G115:G6504)</f>
        <v>0</v>
      </c>
      <c r="H862" s="162">
        <f t="shared" si="50"/>
        <v>0</v>
      </c>
      <c r="I862" s="162">
        <f t="shared" si="51"/>
        <v>0</v>
      </c>
    </row>
    <row r="863" spans="1:9" hidden="1">
      <c r="A863" s="151">
        <f t="shared" si="49"/>
        <v>1</v>
      </c>
      <c r="B863" s="151" t="s">
        <v>206</v>
      </c>
      <c r="C863" s="159">
        <v>32121147</v>
      </c>
      <c r="D863" s="160" t="s">
        <v>738</v>
      </c>
      <c r="E863" s="161">
        <f>SUMIF(Lanç!$C$3:$C$114,C863,Lanç!$F$3:$F$114)</f>
        <v>0</v>
      </c>
      <c r="F863" s="161">
        <f>SUMIF(Lanç!$C$115:$C$6504,C863,Lanç!$F$115:$F$6504)</f>
        <v>0</v>
      </c>
      <c r="G863" s="161">
        <f>SUMIF(Lanç!$C$115:$C$6504,C863,Lanç!$G$115:$G$6504)</f>
        <v>0</v>
      </c>
      <c r="H863" s="162">
        <f t="shared" si="50"/>
        <v>0</v>
      </c>
      <c r="I863" s="162">
        <f t="shared" si="51"/>
        <v>0</v>
      </c>
    </row>
    <row r="864" spans="1:9" hidden="1">
      <c r="A864" s="151">
        <f t="shared" si="49"/>
        <v>1</v>
      </c>
      <c r="B864" s="151" t="s">
        <v>206</v>
      </c>
      <c r="C864" s="159">
        <v>32121148</v>
      </c>
      <c r="D864" s="160" t="s">
        <v>739</v>
      </c>
      <c r="E864" s="161">
        <f>SUMIF(Lanç!$C$3:$C$114,C864,Lanç!$F$3:$F$114)</f>
        <v>0</v>
      </c>
      <c r="F864" s="161">
        <f>SUMIF(Lanç!$C$115:$C$6504,C864,Lanç!$F$115:$F$6504)</f>
        <v>0</v>
      </c>
      <c r="G864" s="161">
        <f>SUMIF(Lanç!$C$115:$C$6504,C864,Lanç!$G$115:$G$6504)</f>
        <v>0</v>
      </c>
      <c r="H864" s="162">
        <f t="shared" si="50"/>
        <v>0</v>
      </c>
      <c r="I864" s="162">
        <f t="shared" si="51"/>
        <v>0</v>
      </c>
    </row>
    <row r="865" spans="1:9" hidden="1">
      <c r="A865" s="151">
        <f t="shared" si="49"/>
        <v>1</v>
      </c>
      <c r="B865" s="151" t="s">
        <v>206</v>
      </c>
      <c r="C865" s="159">
        <v>32121149</v>
      </c>
      <c r="D865" s="160" t="s">
        <v>740</v>
      </c>
      <c r="E865" s="161">
        <f>SUMIF(Lanç!$C$3:$C$114,C865,Lanç!$F$3:$F$114)</f>
        <v>0</v>
      </c>
      <c r="F865" s="161">
        <f>SUMIF(Lanç!$C$115:$C$6504,C865,Lanç!$F$115:$F$6504)</f>
        <v>0</v>
      </c>
      <c r="G865" s="161">
        <f>SUMIF(Lanç!$C$115:$C$6504,C865,Lanç!$G$115:$G$6504)</f>
        <v>0</v>
      </c>
      <c r="H865" s="162">
        <f t="shared" si="50"/>
        <v>0</v>
      </c>
      <c r="I865" s="162">
        <f t="shared" si="51"/>
        <v>0</v>
      </c>
    </row>
    <row r="866" spans="1:9">
      <c r="A866" s="151">
        <f t="shared" si="49"/>
        <v>0</v>
      </c>
      <c r="B866" s="151" t="s">
        <v>206</v>
      </c>
      <c r="C866" s="159">
        <v>32121150</v>
      </c>
      <c r="D866" s="160" t="s">
        <v>741</v>
      </c>
      <c r="E866" s="161">
        <f>SUMIF(Lanç!$C$3:$C$114,C866,Lanç!$F$3:$F$114)</f>
        <v>-708300</v>
      </c>
      <c r="F866" s="161">
        <f>SUMIF(Lanç!$C$115:$C$6504,C866,Lanç!$F$115:$F$6504)</f>
        <v>0</v>
      </c>
      <c r="G866" s="161">
        <f>SUMIF(Lanç!$C$115:$C$6504,C866,Lanç!$G$115:$G$6504)</f>
        <v>0</v>
      </c>
      <c r="H866" s="162">
        <f t="shared" si="50"/>
        <v>0</v>
      </c>
      <c r="I866" s="162">
        <f t="shared" si="51"/>
        <v>-708300</v>
      </c>
    </row>
    <row r="867" spans="1:9" hidden="1">
      <c r="A867" s="151">
        <f t="shared" si="49"/>
        <v>1</v>
      </c>
      <c r="B867" s="151" t="s">
        <v>206</v>
      </c>
      <c r="C867" s="159">
        <v>32121151</v>
      </c>
      <c r="D867" s="160" t="s">
        <v>742</v>
      </c>
      <c r="E867" s="161">
        <f>SUMIF(Lanç!$C$3:$C$114,C867,Lanç!$F$3:$F$114)</f>
        <v>0</v>
      </c>
      <c r="F867" s="161">
        <f>SUMIF(Lanç!$C$115:$C$6504,C867,Lanç!$F$115:$F$6504)</f>
        <v>0</v>
      </c>
      <c r="G867" s="161">
        <f>SUMIF(Lanç!$C$115:$C$6504,C867,Lanç!$G$115:$G$6504)</f>
        <v>0</v>
      </c>
      <c r="H867" s="162">
        <f t="shared" si="50"/>
        <v>0</v>
      </c>
      <c r="I867" s="162">
        <f t="shared" si="51"/>
        <v>0</v>
      </c>
    </row>
    <row r="868" spans="1:9" hidden="1">
      <c r="A868" s="151">
        <f t="shared" si="49"/>
        <v>1</v>
      </c>
      <c r="B868" s="151" t="s">
        <v>206</v>
      </c>
      <c r="C868" s="159">
        <v>32121152</v>
      </c>
      <c r="D868" s="160" t="s">
        <v>743</v>
      </c>
      <c r="E868" s="161">
        <f>SUMIF(Lanç!$C$3:$C$114,C868,Lanç!$F$3:$F$114)</f>
        <v>0</v>
      </c>
      <c r="F868" s="161">
        <f>SUMIF(Lanç!$C$115:$C$6504,C868,Lanç!$F$115:$F$6504)</f>
        <v>0</v>
      </c>
      <c r="G868" s="161">
        <f>SUMIF(Lanç!$C$115:$C$6504,C868,Lanç!$G$115:$G$6504)</f>
        <v>0</v>
      </c>
      <c r="H868" s="162">
        <f t="shared" si="50"/>
        <v>0</v>
      </c>
      <c r="I868" s="162">
        <f t="shared" si="51"/>
        <v>0</v>
      </c>
    </row>
    <row r="869" spans="1:9" hidden="1">
      <c r="A869" s="151">
        <f t="shared" si="49"/>
        <v>1</v>
      </c>
      <c r="B869" s="151" t="s">
        <v>206</v>
      </c>
      <c r="C869" s="159">
        <v>32121153</v>
      </c>
      <c r="D869" s="160" t="s">
        <v>744</v>
      </c>
      <c r="E869" s="161">
        <f>SUMIF(Lanç!$C$3:$C$114,C869,Lanç!$F$3:$F$114)</f>
        <v>0</v>
      </c>
      <c r="F869" s="161">
        <f>SUMIF(Lanç!$C$115:$C$6504,C869,Lanç!$F$115:$F$6504)</f>
        <v>0</v>
      </c>
      <c r="G869" s="161">
        <f>SUMIF(Lanç!$C$115:$C$6504,C869,Lanç!$G$115:$G$6504)</f>
        <v>0</v>
      </c>
      <c r="H869" s="162">
        <f t="shared" si="50"/>
        <v>0</v>
      </c>
      <c r="I869" s="162">
        <f t="shared" si="51"/>
        <v>0</v>
      </c>
    </row>
    <row r="870" spans="1:9" hidden="1">
      <c r="A870" s="151">
        <f t="shared" si="49"/>
        <v>1</v>
      </c>
      <c r="B870" s="151" t="s">
        <v>206</v>
      </c>
      <c r="C870" s="159">
        <v>32121154</v>
      </c>
      <c r="D870" s="160" t="s">
        <v>1823</v>
      </c>
      <c r="E870" s="161">
        <f>SUMIF(Lanç!$C$3:$C$114,C870,Lanç!$F$3:$F$114)</f>
        <v>0</v>
      </c>
      <c r="F870" s="161">
        <f>SUMIF(Lanç!$C$115:$C$6504,C870,Lanç!$F$115:$F$6504)</f>
        <v>0</v>
      </c>
      <c r="G870" s="161">
        <f>SUMIF(Lanç!$C$115:$C$6504,C870,Lanç!$G$115:$G$6504)</f>
        <v>0</v>
      </c>
      <c r="H870" s="162">
        <f t="shared" si="50"/>
        <v>0</v>
      </c>
      <c r="I870" s="162">
        <f t="shared" si="51"/>
        <v>0</v>
      </c>
    </row>
    <row r="871" spans="1:9" hidden="1">
      <c r="A871" s="151">
        <f t="shared" si="49"/>
        <v>1</v>
      </c>
      <c r="B871" s="151" t="s">
        <v>206</v>
      </c>
      <c r="C871" s="159">
        <v>32121155</v>
      </c>
      <c r="D871" s="160" t="s">
        <v>745</v>
      </c>
      <c r="E871" s="161">
        <f>SUMIF(Lanç!$C$3:$C$114,C871,Lanç!$F$3:$F$114)</f>
        <v>0</v>
      </c>
      <c r="F871" s="161">
        <f>SUMIF(Lanç!$C$115:$C$6504,C871,Lanç!$F$115:$F$6504)</f>
        <v>0</v>
      </c>
      <c r="G871" s="161">
        <f>SUMIF(Lanç!$C$115:$C$6504,C871,Lanç!$G$115:$G$6504)</f>
        <v>0</v>
      </c>
      <c r="H871" s="162">
        <f t="shared" si="50"/>
        <v>0</v>
      </c>
      <c r="I871" s="162">
        <f t="shared" si="51"/>
        <v>0</v>
      </c>
    </row>
    <row r="872" spans="1:9">
      <c r="A872" s="151">
        <f t="shared" si="49"/>
        <v>0</v>
      </c>
      <c r="B872" s="151" t="s">
        <v>206</v>
      </c>
      <c r="C872" s="159">
        <v>32121156</v>
      </c>
      <c r="D872" s="160" t="s">
        <v>1782</v>
      </c>
      <c r="E872" s="161">
        <f>SUMIF(Lanç!$C$3:$C$114,C872,Lanç!$F$3:$F$114)</f>
        <v>-285000</v>
      </c>
      <c r="F872" s="161">
        <f>SUMIF(Lanç!$C$115:$C$6504,C872,Lanç!$F$115:$F$6504)</f>
        <v>0</v>
      </c>
      <c r="G872" s="161">
        <f>SUMIF(Lanç!$C$115:$C$6504,C872,Lanç!$G$115:$G$6504)</f>
        <v>0</v>
      </c>
      <c r="H872" s="162">
        <f t="shared" si="50"/>
        <v>0</v>
      </c>
      <c r="I872" s="162">
        <f t="shared" si="51"/>
        <v>-285000</v>
      </c>
    </row>
    <row r="873" spans="1:9" hidden="1">
      <c r="A873" s="151">
        <f t="shared" si="49"/>
        <v>1</v>
      </c>
      <c r="B873" s="151" t="s">
        <v>206</v>
      </c>
      <c r="C873" s="159">
        <v>32121157</v>
      </c>
      <c r="D873" s="160" t="s">
        <v>746</v>
      </c>
      <c r="E873" s="161">
        <f>SUMIF(Lanç!$C$3:$C$114,C873,Lanç!$F$3:$F$114)</f>
        <v>0</v>
      </c>
      <c r="F873" s="161">
        <f>SUMIF(Lanç!$C$115:$C$6504,C873,Lanç!$F$115:$F$6504)</f>
        <v>0</v>
      </c>
      <c r="G873" s="161">
        <f>SUMIF(Lanç!$C$115:$C$6504,C873,Lanç!$G$115:$G$6504)</f>
        <v>0</v>
      </c>
      <c r="H873" s="162">
        <f t="shared" si="50"/>
        <v>0</v>
      </c>
      <c r="I873" s="162">
        <f t="shared" si="51"/>
        <v>0</v>
      </c>
    </row>
    <row r="874" spans="1:9" hidden="1">
      <c r="A874" s="151">
        <f t="shared" si="49"/>
        <v>1</v>
      </c>
      <c r="B874" s="151" t="s">
        <v>206</v>
      </c>
      <c r="C874" s="159">
        <v>32121158</v>
      </c>
      <c r="D874" s="160" t="s">
        <v>747</v>
      </c>
      <c r="E874" s="161">
        <f>SUMIF(Lanç!$C$3:$C$114,C874,Lanç!$F$3:$F$114)</f>
        <v>0</v>
      </c>
      <c r="F874" s="161">
        <f>SUMIF(Lanç!$C$115:$C$6504,C874,Lanç!$F$115:$F$6504)</f>
        <v>0</v>
      </c>
      <c r="G874" s="161">
        <f>SUMIF(Lanç!$C$115:$C$6504,C874,Lanç!$G$115:$G$6504)</f>
        <v>0</v>
      </c>
      <c r="H874" s="162">
        <f t="shared" si="50"/>
        <v>0</v>
      </c>
      <c r="I874" s="162">
        <f t="shared" si="51"/>
        <v>0</v>
      </c>
    </row>
    <row r="875" spans="1:9" hidden="1">
      <c r="A875" s="151">
        <f t="shared" si="49"/>
        <v>1</v>
      </c>
      <c r="B875" s="151" t="s">
        <v>206</v>
      </c>
      <c r="C875" s="159">
        <v>32121159</v>
      </c>
      <c r="D875" s="160" t="s">
        <v>748</v>
      </c>
      <c r="E875" s="161">
        <f>SUMIF(Lanç!$C$3:$C$114,C875,Lanç!$F$3:$F$114)</f>
        <v>0</v>
      </c>
      <c r="F875" s="161">
        <f>SUMIF(Lanç!$C$115:$C$6504,C875,Lanç!$F$115:$F$6504)</f>
        <v>0</v>
      </c>
      <c r="G875" s="161">
        <f>SUMIF(Lanç!$C$115:$C$6504,C875,Lanç!$G$115:$G$6504)</f>
        <v>0</v>
      </c>
      <c r="H875" s="162">
        <f t="shared" si="50"/>
        <v>0</v>
      </c>
      <c r="I875" s="162">
        <f t="shared" si="51"/>
        <v>0</v>
      </c>
    </row>
    <row r="876" spans="1:9" hidden="1">
      <c r="A876" s="151">
        <f t="shared" si="49"/>
        <v>1</v>
      </c>
      <c r="B876" s="151" t="s">
        <v>206</v>
      </c>
      <c r="C876" s="159">
        <v>32121160</v>
      </c>
      <c r="D876" s="160" t="s">
        <v>749</v>
      </c>
      <c r="E876" s="161">
        <f>SUMIF(Lanç!$C$3:$C$114,C876,Lanç!$F$3:$F$114)</f>
        <v>0</v>
      </c>
      <c r="F876" s="161">
        <f>SUMIF(Lanç!$C$115:$C$6504,C876,Lanç!$F$115:$F$6504)</f>
        <v>0</v>
      </c>
      <c r="G876" s="161">
        <f>SUMIF(Lanç!$C$115:$C$6504,C876,Lanç!$G$115:$G$6504)</f>
        <v>0</v>
      </c>
      <c r="H876" s="162">
        <f t="shared" si="50"/>
        <v>0</v>
      </c>
      <c r="I876" s="162">
        <f t="shared" si="51"/>
        <v>0</v>
      </c>
    </row>
    <row r="877" spans="1:9" hidden="1">
      <c r="A877" s="151">
        <f t="shared" si="49"/>
        <v>1</v>
      </c>
      <c r="B877" s="151" t="s">
        <v>206</v>
      </c>
      <c r="C877" s="159">
        <v>32121161</v>
      </c>
      <c r="D877" s="160" t="s">
        <v>750</v>
      </c>
      <c r="E877" s="161">
        <f>SUMIF(Lanç!$C$3:$C$114,C877,Lanç!$F$3:$F$114)</f>
        <v>0</v>
      </c>
      <c r="F877" s="161">
        <f>SUMIF(Lanç!$C$115:$C$6504,C877,Lanç!$F$115:$F$6504)</f>
        <v>0</v>
      </c>
      <c r="G877" s="161">
        <f>SUMIF(Lanç!$C$115:$C$6504,C877,Lanç!$G$115:$G$6504)</f>
        <v>0</v>
      </c>
      <c r="H877" s="162">
        <f t="shared" si="50"/>
        <v>0</v>
      </c>
      <c r="I877" s="162">
        <f t="shared" si="51"/>
        <v>0</v>
      </c>
    </row>
    <row r="878" spans="1:9" hidden="1">
      <c r="A878" s="151">
        <f t="shared" si="49"/>
        <v>1</v>
      </c>
      <c r="B878" s="151" t="s">
        <v>206</v>
      </c>
      <c r="C878" s="159">
        <v>32121162</v>
      </c>
      <c r="D878" s="160" t="s">
        <v>751</v>
      </c>
      <c r="E878" s="161">
        <f>SUMIF(Lanç!$C$3:$C$114,C878,Lanç!$F$3:$F$114)</f>
        <v>0</v>
      </c>
      <c r="F878" s="161">
        <f>SUMIF(Lanç!$C$115:$C$6504,C878,Lanç!$F$115:$F$6504)</f>
        <v>0</v>
      </c>
      <c r="G878" s="161">
        <f>SUMIF(Lanç!$C$115:$C$6504,C878,Lanç!$G$115:$G$6504)</f>
        <v>0</v>
      </c>
      <c r="H878" s="162">
        <f t="shared" si="50"/>
        <v>0</v>
      </c>
      <c r="I878" s="162">
        <f t="shared" si="51"/>
        <v>0</v>
      </c>
    </row>
    <row r="879" spans="1:9" hidden="1">
      <c r="A879" s="151">
        <f t="shared" si="49"/>
        <v>1</v>
      </c>
      <c r="B879" s="151" t="s">
        <v>206</v>
      </c>
      <c r="C879" s="159">
        <v>32121163</v>
      </c>
      <c r="D879" s="160" t="s">
        <v>752</v>
      </c>
      <c r="E879" s="161">
        <f>SUMIF(Lanç!$C$3:$C$114,C879,Lanç!$F$3:$F$114)</f>
        <v>0</v>
      </c>
      <c r="F879" s="161">
        <f>SUMIF(Lanç!$C$115:$C$6504,C879,Lanç!$F$115:$F$6504)</f>
        <v>0</v>
      </c>
      <c r="G879" s="161">
        <f>SUMIF(Lanç!$C$115:$C$6504,C879,Lanç!$G$115:$G$6504)</f>
        <v>0</v>
      </c>
      <c r="H879" s="162">
        <f t="shared" si="50"/>
        <v>0</v>
      </c>
      <c r="I879" s="162">
        <f t="shared" si="51"/>
        <v>0</v>
      </c>
    </row>
    <row r="880" spans="1:9" hidden="1">
      <c r="A880" s="151">
        <f t="shared" si="49"/>
        <v>1</v>
      </c>
      <c r="B880" s="151" t="s">
        <v>206</v>
      </c>
      <c r="C880" s="159">
        <v>32121164</v>
      </c>
      <c r="D880" s="160" t="s">
        <v>753</v>
      </c>
      <c r="E880" s="161">
        <f>SUMIF(Lanç!$C$3:$C$114,C880,Lanç!$F$3:$F$114)</f>
        <v>0</v>
      </c>
      <c r="F880" s="161">
        <f>SUMIF(Lanç!$C$115:$C$6504,C880,Lanç!$F$115:$F$6504)</f>
        <v>0</v>
      </c>
      <c r="G880" s="161">
        <f>SUMIF(Lanç!$C$115:$C$6504,C880,Lanç!$G$115:$G$6504)</f>
        <v>0</v>
      </c>
      <c r="H880" s="162">
        <f t="shared" si="50"/>
        <v>0</v>
      </c>
      <c r="I880" s="162">
        <f t="shared" si="51"/>
        <v>0</v>
      </c>
    </row>
    <row r="881" spans="1:9">
      <c r="A881" s="151">
        <f t="shared" si="49"/>
        <v>0</v>
      </c>
      <c r="B881" s="151" t="s">
        <v>206</v>
      </c>
      <c r="C881" s="159">
        <v>32121165</v>
      </c>
      <c r="D881" s="160" t="s">
        <v>754</v>
      </c>
      <c r="E881" s="161">
        <f>SUMIF(Lanç!$C$3:$C$114,C881,Lanç!$F$3:$F$114)</f>
        <v>-241460</v>
      </c>
      <c r="F881" s="161">
        <f>SUMIF(Lanç!$C$115:$C$6504,C881,Lanç!$F$115:$F$6504)</f>
        <v>0</v>
      </c>
      <c r="G881" s="161">
        <f>SUMIF(Lanç!$C$115:$C$6504,C881,Lanç!$G$115:$G$6504)</f>
        <v>0</v>
      </c>
      <c r="H881" s="162">
        <f t="shared" si="50"/>
        <v>0</v>
      </c>
      <c r="I881" s="162">
        <f t="shared" si="51"/>
        <v>-241460</v>
      </c>
    </row>
    <row r="882" spans="1:9" hidden="1">
      <c r="A882" s="151">
        <f t="shared" si="49"/>
        <v>1</v>
      </c>
      <c r="B882" s="151" t="s">
        <v>206</v>
      </c>
      <c r="C882" s="159">
        <v>32121166</v>
      </c>
      <c r="D882" s="160" t="s">
        <v>755</v>
      </c>
      <c r="E882" s="161">
        <f>SUMIF(Lanç!$C$3:$C$114,C882,Lanç!$F$3:$F$114)</f>
        <v>0</v>
      </c>
      <c r="F882" s="161">
        <f>SUMIF(Lanç!$C$115:$C$6504,C882,Lanç!$F$115:$F$6504)</f>
        <v>0</v>
      </c>
      <c r="G882" s="161">
        <f>SUMIF(Lanç!$C$115:$C$6504,C882,Lanç!$G$115:$G$6504)</f>
        <v>0</v>
      </c>
      <c r="H882" s="162">
        <f t="shared" si="50"/>
        <v>0</v>
      </c>
      <c r="I882" s="162">
        <f t="shared" si="51"/>
        <v>0</v>
      </c>
    </row>
    <row r="883" spans="1:9" hidden="1">
      <c r="A883" s="151">
        <f t="shared" si="49"/>
        <v>1</v>
      </c>
      <c r="B883" s="151" t="s">
        <v>206</v>
      </c>
      <c r="C883" s="159">
        <v>32121167</v>
      </c>
      <c r="D883" s="160" t="s">
        <v>756</v>
      </c>
      <c r="E883" s="161">
        <f>SUMIF(Lanç!$C$3:$C$114,C883,Lanç!$F$3:$F$114)</f>
        <v>0</v>
      </c>
      <c r="F883" s="161">
        <f>SUMIF(Lanç!$C$115:$C$6504,C883,Lanç!$F$115:$F$6504)</f>
        <v>0</v>
      </c>
      <c r="G883" s="161">
        <f>SUMIF(Lanç!$C$115:$C$6504,C883,Lanç!$G$115:$G$6504)</f>
        <v>0</v>
      </c>
      <c r="H883" s="162">
        <f t="shared" si="50"/>
        <v>0</v>
      </c>
      <c r="I883" s="162">
        <f t="shared" si="51"/>
        <v>0</v>
      </c>
    </row>
    <row r="884" spans="1:9" hidden="1">
      <c r="A884" s="151">
        <f t="shared" si="49"/>
        <v>1</v>
      </c>
      <c r="B884" s="151" t="s">
        <v>206</v>
      </c>
      <c r="C884" s="159">
        <v>32121168</v>
      </c>
      <c r="D884" s="160" t="s">
        <v>757</v>
      </c>
      <c r="E884" s="161">
        <f>SUMIF(Lanç!$C$3:$C$114,C884,Lanç!$F$3:$F$114)</f>
        <v>0</v>
      </c>
      <c r="F884" s="161">
        <f>SUMIF(Lanç!$C$115:$C$6504,C884,Lanç!$F$115:$F$6504)</f>
        <v>0</v>
      </c>
      <c r="G884" s="161">
        <f>SUMIF(Lanç!$C$115:$C$6504,C884,Lanç!$G$115:$G$6504)</f>
        <v>0</v>
      </c>
      <c r="H884" s="162">
        <f t="shared" si="50"/>
        <v>0</v>
      </c>
      <c r="I884" s="162">
        <f t="shared" si="51"/>
        <v>0</v>
      </c>
    </row>
    <row r="885" spans="1:9" hidden="1">
      <c r="A885" s="151">
        <f t="shared" si="49"/>
        <v>1</v>
      </c>
      <c r="B885" s="151" t="s">
        <v>206</v>
      </c>
      <c r="C885" s="159">
        <v>32121169</v>
      </c>
      <c r="D885" s="160" t="s">
        <v>758</v>
      </c>
      <c r="E885" s="161">
        <f>SUMIF(Lanç!$C$3:$C$114,C885,Lanç!$F$3:$F$114)</f>
        <v>0</v>
      </c>
      <c r="F885" s="161">
        <f>SUMIF(Lanç!$C$115:$C$6504,C885,Lanç!$F$115:$F$6504)</f>
        <v>0</v>
      </c>
      <c r="G885" s="161">
        <f>SUMIF(Lanç!$C$115:$C$6504,C885,Lanç!$G$115:$G$6504)</f>
        <v>0</v>
      </c>
      <c r="H885" s="162">
        <f t="shared" si="50"/>
        <v>0</v>
      </c>
      <c r="I885" s="162">
        <f t="shared" si="51"/>
        <v>0</v>
      </c>
    </row>
    <row r="886" spans="1:9" hidden="1">
      <c r="A886" s="151">
        <f t="shared" si="49"/>
        <v>1</v>
      </c>
      <c r="B886" s="151" t="s">
        <v>206</v>
      </c>
      <c r="C886" s="159">
        <v>32121170</v>
      </c>
      <c r="D886" s="160" t="s">
        <v>759</v>
      </c>
      <c r="E886" s="161">
        <f>SUMIF(Lanç!$C$3:$C$114,C886,Lanç!$F$3:$F$114)</f>
        <v>0</v>
      </c>
      <c r="F886" s="161">
        <f>SUMIF(Lanç!$C$115:$C$6504,C886,Lanç!$F$115:$F$6504)</f>
        <v>0</v>
      </c>
      <c r="G886" s="161">
        <f>SUMIF(Lanç!$C$115:$C$6504,C886,Lanç!$G$115:$G$6504)</f>
        <v>0</v>
      </c>
      <c r="H886" s="162">
        <f t="shared" si="50"/>
        <v>0</v>
      </c>
      <c r="I886" s="162">
        <f t="shared" si="51"/>
        <v>0</v>
      </c>
    </row>
    <row r="887" spans="1:9" hidden="1">
      <c r="A887" s="151">
        <f t="shared" si="49"/>
        <v>1</v>
      </c>
      <c r="B887" s="151" t="s">
        <v>206</v>
      </c>
      <c r="C887" s="159">
        <v>32121171</v>
      </c>
      <c r="D887" s="160" t="s">
        <v>760</v>
      </c>
      <c r="E887" s="161">
        <f>SUMIF(Lanç!$C$3:$C$114,C887,Lanç!$F$3:$F$114)</f>
        <v>0</v>
      </c>
      <c r="F887" s="161">
        <f>SUMIF(Lanç!$C$115:$C$6504,C887,Lanç!$F$115:$F$6504)</f>
        <v>0</v>
      </c>
      <c r="G887" s="161">
        <f>SUMIF(Lanç!$C$115:$C$6504,C887,Lanç!$G$115:$G$6504)</f>
        <v>0</v>
      </c>
      <c r="H887" s="162">
        <f t="shared" si="50"/>
        <v>0</v>
      </c>
      <c r="I887" s="162">
        <f t="shared" si="51"/>
        <v>0</v>
      </c>
    </row>
    <row r="888" spans="1:9">
      <c r="A888" s="151">
        <f t="shared" si="49"/>
        <v>0</v>
      </c>
      <c r="B888" s="151" t="s">
        <v>206</v>
      </c>
      <c r="C888" s="159">
        <v>32121172</v>
      </c>
      <c r="D888" s="160" t="s">
        <v>761</v>
      </c>
      <c r="E888" s="161">
        <f>SUMIF(Lanç!$C$3:$C$114,C888,Lanç!$F$3:$F$114)</f>
        <v>-199900</v>
      </c>
      <c r="F888" s="161">
        <f>SUMIF(Lanç!$C$115:$C$6504,C888,Lanç!$F$115:$F$6504)</f>
        <v>0</v>
      </c>
      <c r="G888" s="161">
        <f>SUMIF(Lanç!$C$115:$C$6504,C888,Lanç!$G$115:$G$6504)</f>
        <v>0</v>
      </c>
      <c r="H888" s="162">
        <f t="shared" si="50"/>
        <v>0</v>
      </c>
      <c r="I888" s="162">
        <f t="shared" si="51"/>
        <v>-199900</v>
      </c>
    </row>
    <row r="889" spans="1:9" hidden="1">
      <c r="A889" s="151">
        <f>IF(E889+F889+G889+H889+I889=0,1,0)</f>
        <v>1</v>
      </c>
      <c r="B889" s="151" t="s">
        <v>206</v>
      </c>
      <c r="C889" s="159">
        <v>32121173</v>
      </c>
      <c r="D889" s="160" t="s">
        <v>1722</v>
      </c>
      <c r="E889" s="161">
        <f>SUMIF(Lanç!$C$3:$C$114,C889,Lanç!$F$3:$F$114)</f>
        <v>0</v>
      </c>
      <c r="F889" s="161">
        <f>SUMIF(Lanç!$C$115:$C$6504,C889,Lanç!$F$115:$F$6504)</f>
        <v>0</v>
      </c>
      <c r="G889" s="161">
        <f>SUMIF(Lanç!$C$115:$C$6504,C889,Lanç!$G$115:$G$6504)</f>
        <v>0</v>
      </c>
      <c r="H889" s="162">
        <f>(F889)-(G889)</f>
        <v>0</v>
      </c>
      <c r="I889" s="162">
        <f>(E889)+(H889)</f>
        <v>0</v>
      </c>
    </row>
    <row r="890" spans="1:9" hidden="1">
      <c r="A890" s="151">
        <f>IF(E890+F890+G890+H890+I890=0,1,0)</f>
        <v>1</v>
      </c>
      <c r="B890" s="151" t="s">
        <v>206</v>
      </c>
      <c r="C890" s="159">
        <v>32121174</v>
      </c>
      <c r="D890" s="160" t="s">
        <v>1789</v>
      </c>
      <c r="E890" s="161">
        <f>SUMIF(Lanç!$C$3:$C$114,C890,Lanç!$F$3:$F$114)</f>
        <v>0</v>
      </c>
      <c r="F890" s="161">
        <f>SUMIF(Lanç!$C$115:$C$6504,C890,Lanç!$F$115:$F$6504)</f>
        <v>0</v>
      </c>
      <c r="G890" s="161">
        <f>SUMIF(Lanç!$C$115:$C$6504,C890,Lanç!$G$115:$G$6504)</f>
        <v>0</v>
      </c>
      <c r="H890" s="162">
        <f>(F890)-(G890)</f>
        <v>0</v>
      </c>
      <c r="I890" s="162">
        <f>(E890)+(H890)</f>
        <v>0</v>
      </c>
    </row>
    <row r="891" spans="1:9" hidden="1">
      <c r="A891" s="151">
        <f t="shared" ref="A891:A904" si="52">IF(E891+F891+G891+H891+I891=0,1,0)</f>
        <v>1</v>
      </c>
      <c r="B891" s="151" t="s">
        <v>206</v>
      </c>
      <c r="C891" s="159">
        <v>32121175</v>
      </c>
      <c r="D891" s="160" t="s">
        <v>1797</v>
      </c>
      <c r="E891" s="161">
        <f>SUMIF(Lanç!$C$3:$C$114,C891,Lanç!$F$3:$F$114)</f>
        <v>0</v>
      </c>
      <c r="F891" s="161">
        <f>SUMIF(Lanç!$C$115:$C$6504,C891,Lanç!$F$115:$F$6504)</f>
        <v>0</v>
      </c>
      <c r="G891" s="161">
        <f>SUMIF(Lanç!$C$115:$C$6504,C891,Lanç!$G$115:$G$6504)</f>
        <v>0</v>
      </c>
      <c r="H891" s="162">
        <f t="shared" ref="H891:H905" si="53">(F891)-(G891)</f>
        <v>0</v>
      </c>
      <c r="I891" s="162">
        <f t="shared" ref="I891:I905" si="54">(E891)+(H891)</f>
        <v>0</v>
      </c>
    </row>
    <row r="892" spans="1:9" hidden="1">
      <c r="A892" s="151">
        <f t="shared" si="52"/>
        <v>1</v>
      </c>
      <c r="B892" s="151" t="s">
        <v>206</v>
      </c>
      <c r="C892" s="159">
        <v>32121176</v>
      </c>
      <c r="D892" s="160" t="s">
        <v>1798</v>
      </c>
      <c r="E892" s="161">
        <f>SUMIF(Lanç!$C$3:$C$114,C892,Lanç!$F$3:$F$114)</f>
        <v>0</v>
      </c>
      <c r="F892" s="161">
        <f>SUMIF(Lanç!$C$115:$C$6504,C892,Lanç!$F$115:$F$6504)</f>
        <v>0</v>
      </c>
      <c r="G892" s="161">
        <f>SUMIF(Lanç!$C$115:$C$6504,C892,Lanç!$G$115:$G$6504)</f>
        <v>0</v>
      </c>
      <c r="H892" s="162">
        <f t="shared" si="53"/>
        <v>0</v>
      </c>
      <c r="I892" s="162">
        <f t="shared" si="54"/>
        <v>0</v>
      </c>
    </row>
    <row r="893" spans="1:9" hidden="1">
      <c r="A893" s="151">
        <f t="shared" si="52"/>
        <v>1</v>
      </c>
      <c r="B893" s="151" t="s">
        <v>206</v>
      </c>
      <c r="C893" s="159">
        <v>32121177</v>
      </c>
      <c r="D893" s="160" t="s">
        <v>1799</v>
      </c>
      <c r="E893" s="161">
        <f>SUMIF(Lanç!$C$3:$C$114,C893,Lanç!$F$3:$F$114)</f>
        <v>0</v>
      </c>
      <c r="F893" s="161">
        <f>SUMIF(Lanç!$C$115:$C$6504,C893,Lanç!$F$115:$F$6504)</f>
        <v>0</v>
      </c>
      <c r="G893" s="161">
        <f>SUMIF(Lanç!$C$115:$C$6504,C893,Lanç!$G$115:$G$6504)</f>
        <v>0</v>
      </c>
      <c r="H893" s="162">
        <f t="shared" si="53"/>
        <v>0</v>
      </c>
      <c r="I893" s="162">
        <f t="shared" si="54"/>
        <v>0</v>
      </c>
    </row>
    <row r="894" spans="1:9" hidden="1">
      <c r="A894" s="151">
        <f t="shared" si="52"/>
        <v>1</v>
      </c>
      <c r="B894" s="151" t="s">
        <v>206</v>
      </c>
      <c r="C894" s="159">
        <v>32121178</v>
      </c>
      <c r="D894" s="160" t="s">
        <v>1800</v>
      </c>
      <c r="E894" s="161">
        <f>SUMIF(Lanç!$C$3:$C$114,C894,Lanç!$F$3:$F$114)</f>
        <v>0</v>
      </c>
      <c r="F894" s="161">
        <f>SUMIF(Lanç!$C$115:$C$6504,C894,Lanç!$F$115:$F$6504)</f>
        <v>0</v>
      </c>
      <c r="G894" s="161">
        <f>SUMIF(Lanç!$C$115:$C$6504,C894,Lanç!$G$115:$G$6504)</f>
        <v>0</v>
      </c>
      <c r="H894" s="162">
        <f t="shared" si="53"/>
        <v>0</v>
      </c>
      <c r="I894" s="162">
        <f t="shared" si="54"/>
        <v>0</v>
      </c>
    </row>
    <row r="895" spans="1:9" hidden="1">
      <c r="A895" s="151">
        <f t="shared" si="52"/>
        <v>1</v>
      </c>
      <c r="B895" s="151" t="s">
        <v>206</v>
      </c>
      <c r="C895" s="159">
        <v>32121179</v>
      </c>
      <c r="D895" s="160" t="s">
        <v>1801</v>
      </c>
      <c r="E895" s="161">
        <f>SUMIF(Lanç!$C$3:$C$114,C895,Lanç!$F$3:$F$114)</f>
        <v>0</v>
      </c>
      <c r="F895" s="161">
        <f>SUMIF(Lanç!$C$115:$C$6504,C895,Lanç!$F$115:$F$6504)</f>
        <v>0</v>
      </c>
      <c r="G895" s="161">
        <f>SUMIF(Lanç!$C$115:$C$6504,C895,Lanç!$G$115:$G$6504)</f>
        <v>0</v>
      </c>
      <c r="H895" s="162">
        <f t="shared" si="53"/>
        <v>0</v>
      </c>
      <c r="I895" s="162">
        <f t="shared" si="54"/>
        <v>0</v>
      </c>
    </row>
    <row r="896" spans="1:9" hidden="1">
      <c r="A896" s="151">
        <f t="shared" si="52"/>
        <v>1</v>
      </c>
      <c r="B896" s="151" t="s">
        <v>206</v>
      </c>
      <c r="C896" s="159">
        <v>32121180</v>
      </c>
      <c r="D896" s="160" t="s">
        <v>1802</v>
      </c>
      <c r="E896" s="161">
        <f>SUMIF(Lanç!$C$3:$C$114,C896,Lanç!$F$3:$F$114)</f>
        <v>0</v>
      </c>
      <c r="F896" s="161">
        <f>SUMIF(Lanç!$C$115:$C$6504,C896,Lanç!$F$115:$F$6504)</f>
        <v>0</v>
      </c>
      <c r="G896" s="161">
        <f>SUMIF(Lanç!$C$115:$C$6504,C896,Lanç!$G$115:$G$6504)</f>
        <v>0</v>
      </c>
      <c r="H896" s="162">
        <f t="shared" si="53"/>
        <v>0</v>
      </c>
      <c r="I896" s="162">
        <f t="shared" si="54"/>
        <v>0</v>
      </c>
    </row>
    <row r="897" spans="1:14" hidden="1">
      <c r="A897" s="151">
        <f t="shared" si="52"/>
        <v>1</v>
      </c>
      <c r="B897" s="151" t="s">
        <v>206</v>
      </c>
      <c r="C897" s="159">
        <v>32121181</v>
      </c>
      <c r="D897" s="160" t="s">
        <v>1803</v>
      </c>
      <c r="E897" s="161">
        <f>SUMIF(Lanç!$C$3:$C$114,C897,Lanç!$F$3:$F$114)</f>
        <v>0</v>
      </c>
      <c r="F897" s="161">
        <f>SUMIF(Lanç!$C$115:$C$6504,C897,Lanç!$F$115:$F$6504)</f>
        <v>0</v>
      </c>
      <c r="G897" s="161">
        <f>SUMIF(Lanç!$C$115:$C$6504,C897,Lanç!$G$115:$G$6504)</f>
        <v>0</v>
      </c>
      <c r="H897" s="162">
        <f t="shared" si="53"/>
        <v>0</v>
      </c>
      <c r="I897" s="162">
        <f t="shared" si="54"/>
        <v>0</v>
      </c>
    </row>
    <row r="898" spans="1:14" hidden="1">
      <c r="A898" s="151">
        <f t="shared" si="52"/>
        <v>1</v>
      </c>
      <c r="B898" s="151" t="s">
        <v>206</v>
      </c>
      <c r="C898" s="159">
        <v>32121182</v>
      </c>
      <c r="D898" s="160" t="s">
        <v>1804</v>
      </c>
      <c r="E898" s="161">
        <f>SUMIF(Lanç!$C$3:$C$114,C898,Lanç!$F$3:$F$114)</f>
        <v>0</v>
      </c>
      <c r="F898" s="161">
        <f>SUMIF(Lanç!$C$115:$C$6504,C898,Lanç!$F$115:$F$6504)</f>
        <v>0</v>
      </c>
      <c r="G898" s="161">
        <f>SUMIF(Lanç!$C$115:$C$6504,C898,Lanç!$G$115:$G$6504)</f>
        <v>0</v>
      </c>
      <c r="H898" s="162">
        <f t="shared" si="53"/>
        <v>0</v>
      </c>
      <c r="I898" s="162">
        <f t="shared" si="54"/>
        <v>0</v>
      </c>
    </row>
    <row r="899" spans="1:14" hidden="1">
      <c r="A899" s="151">
        <f t="shared" si="52"/>
        <v>1</v>
      </c>
      <c r="B899" s="151" t="s">
        <v>206</v>
      </c>
      <c r="C899" s="159">
        <v>32121183</v>
      </c>
      <c r="D899" s="160" t="s">
        <v>1805</v>
      </c>
      <c r="E899" s="161">
        <f>SUMIF(Lanç!$C$3:$C$114,C899,Lanç!$F$3:$F$114)</f>
        <v>0</v>
      </c>
      <c r="F899" s="161">
        <f>SUMIF(Lanç!$C$115:$C$6504,C899,Lanç!$F$115:$F$6504)</f>
        <v>0</v>
      </c>
      <c r="G899" s="161">
        <f>SUMIF(Lanç!$C$115:$C$6504,C899,Lanç!$G$115:$G$6504)</f>
        <v>0</v>
      </c>
      <c r="H899" s="162">
        <f t="shared" si="53"/>
        <v>0</v>
      </c>
      <c r="I899" s="162">
        <f t="shared" si="54"/>
        <v>0</v>
      </c>
    </row>
    <row r="900" spans="1:14" hidden="1">
      <c r="A900" s="151">
        <f t="shared" si="52"/>
        <v>1</v>
      </c>
      <c r="B900" s="151" t="s">
        <v>206</v>
      </c>
      <c r="C900" s="159">
        <v>32121184</v>
      </c>
      <c r="D900" s="160" t="s">
        <v>1806</v>
      </c>
      <c r="E900" s="161">
        <f>SUMIF(Lanç!$C$3:$C$114,C900,Lanç!$F$3:$F$114)</f>
        <v>0</v>
      </c>
      <c r="F900" s="161">
        <f>SUMIF(Lanç!$C$115:$C$6504,C900,Lanç!$F$115:$F$6504)</f>
        <v>0</v>
      </c>
      <c r="G900" s="161">
        <f>SUMIF(Lanç!$C$115:$C$6504,C900,Lanç!$G$115:$G$6504)</f>
        <v>0</v>
      </c>
      <c r="H900" s="162">
        <f t="shared" si="53"/>
        <v>0</v>
      </c>
      <c r="I900" s="162">
        <f t="shared" si="54"/>
        <v>0</v>
      </c>
    </row>
    <row r="901" spans="1:14" hidden="1">
      <c r="A901" s="151">
        <f t="shared" si="52"/>
        <v>1</v>
      </c>
      <c r="B901" s="151" t="s">
        <v>206</v>
      </c>
      <c r="C901" s="159">
        <v>32121185</v>
      </c>
      <c r="D901" s="160" t="s">
        <v>1807</v>
      </c>
      <c r="E901" s="161">
        <f>SUMIF(Lanç!$C$3:$C$114,C901,Lanç!$F$3:$F$114)</f>
        <v>0</v>
      </c>
      <c r="F901" s="161">
        <f>SUMIF(Lanç!$C$115:$C$6504,C901,Lanç!$F$115:$F$6504)</f>
        <v>0</v>
      </c>
      <c r="G901" s="161">
        <f>SUMIF(Lanç!$C$115:$C$6504,C901,Lanç!$G$115:$G$6504)</f>
        <v>0</v>
      </c>
      <c r="H901" s="162">
        <f t="shared" si="53"/>
        <v>0</v>
      </c>
      <c r="I901" s="162">
        <f t="shared" si="54"/>
        <v>0</v>
      </c>
    </row>
    <row r="902" spans="1:14" hidden="1">
      <c r="A902" s="151">
        <f t="shared" si="52"/>
        <v>1</v>
      </c>
      <c r="B902" s="151" t="s">
        <v>206</v>
      </c>
      <c r="C902" s="159">
        <v>32121186</v>
      </c>
      <c r="D902" s="160" t="s">
        <v>1808</v>
      </c>
      <c r="E902" s="161">
        <f>SUMIF(Lanç!$C$3:$C$114,C902,Lanç!$F$3:$F$114)</f>
        <v>0</v>
      </c>
      <c r="F902" s="161">
        <f>SUMIF(Lanç!$C$115:$C$6504,C902,Lanç!$F$115:$F$6504)</f>
        <v>0</v>
      </c>
      <c r="G902" s="161">
        <f>SUMIF(Lanç!$C$115:$C$6504,C902,Lanç!$G$115:$G$6504)</f>
        <v>0</v>
      </c>
      <c r="H902" s="162">
        <f t="shared" si="53"/>
        <v>0</v>
      </c>
      <c r="I902" s="162">
        <f t="shared" si="54"/>
        <v>0</v>
      </c>
    </row>
    <row r="903" spans="1:14" hidden="1">
      <c r="A903" s="151">
        <f t="shared" si="52"/>
        <v>1</v>
      </c>
      <c r="B903" s="151" t="s">
        <v>206</v>
      </c>
      <c r="C903" s="159">
        <v>32121187</v>
      </c>
      <c r="D903" s="160" t="s">
        <v>1809</v>
      </c>
      <c r="E903" s="161">
        <f>SUMIF(Lanç!$C$3:$C$114,C903,Lanç!$F$3:$F$114)</f>
        <v>0</v>
      </c>
      <c r="F903" s="161">
        <f>SUMIF(Lanç!$C$115:$C$6504,C903,Lanç!$F$115:$F$6504)</f>
        <v>0</v>
      </c>
      <c r="G903" s="161">
        <f>SUMIF(Lanç!$C$115:$C$6504,C903,Lanç!$G$115:$G$6504)</f>
        <v>0</v>
      </c>
      <c r="H903" s="162">
        <f t="shared" si="53"/>
        <v>0</v>
      </c>
      <c r="I903" s="162">
        <f t="shared" si="54"/>
        <v>0</v>
      </c>
    </row>
    <row r="904" spans="1:14" hidden="1">
      <c r="A904" s="151">
        <f t="shared" si="52"/>
        <v>1</v>
      </c>
      <c r="B904" s="151" t="s">
        <v>206</v>
      </c>
      <c r="C904" s="159">
        <v>32121188</v>
      </c>
      <c r="D904" s="160" t="s">
        <v>1810</v>
      </c>
      <c r="E904" s="161">
        <f>SUMIF(Lanç!$C$3:$C$114,C904,Lanç!$F$3:$F$114)</f>
        <v>0</v>
      </c>
      <c r="F904" s="161">
        <f>SUMIF(Lanç!$C$115:$C$6504,C904,Lanç!$F$115:$F$6504)</f>
        <v>0</v>
      </c>
      <c r="G904" s="161">
        <f>SUMIF(Lanç!$C$115:$C$6504,C904,Lanç!$G$115:$G$6504)</f>
        <v>0</v>
      </c>
      <c r="H904" s="162">
        <f t="shared" si="53"/>
        <v>0</v>
      </c>
      <c r="I904" s="162">
        <f t="shared" si="54"/>
        <v>0</v>
      </c>
    </row>
    <row r="905" spans="1:14">
      <c r="A905" s="151">
        <f t="shared" si="49"/>
        <v>0</v>
      </c>
      <c r="B905" s="151" t="s">
        <v>206</v>
      </c>
      <c r="C905" s="159">
        <v>321219</v>
      </c>
      <c r="D905" s="160" t="s">
        <v>535</v>
      </c>
      <c r="E905" s="161">
        <f>SUMIF(Lanç!$C$3:$C$114,C905,Lanç!$F$3:$F$114)</f>
        <v>0</v>
      </c>
      <c r="F905" s="161">
        <f>SUMIF(Lanç!$C$115:$C$6504,C905,Lanç!$F$115:$F$6504)</f>
        <v>11300000</v>
      </c>
      <c r="G905" s="161">
        <f>SUMIF(Lanç!$C$115:$C$6504,C905,Lanç!$G$115:$G$6504)</f>
        <v>11300000</v>
      </c>
      <c r="H905" s="162">
        <f t="shared" si="53"/>
        <v>0</v>
      </c>
      <c r="I905" s="162">
        <f t="shared" si="54"/>
        <v>0</v>
      </c>
    </row>
    <row r="906" spans="1:14">
      <c r="A906" s="151">
        <f t="shared" si="49"/>
        <v>0</v>
      </c>
      <c r="B906" s="155" t="s">
        <v>204</v>
      </c>
      <c r="C906" s="156">
        <v>32122</v>
      </c>
      <c r="D906" s="157" t="s">
        <v>427</v>
      </c>
      <c r="E906" s="158">
        <f>SUM(E907:E923)</f>
        <v>-244197816.48635</v>
      </c>
      <c r="F906" s="158">
        <f>SUM(F907:F923)</f>
        <v>0</v>
      </c>
      <c r="G906" s="158">
        <f>SUM(G907:G923)</f>
        <v>91283683.5</v>
      </c>
      <c r="H906" s="154">
        <f t="shared" si="50"/>
        <v>-91283683.5</v>
      </c>
      <c r="I906" s="154">
        <f t="shared" si="51"/>
        <v>-335481499.98635</v>
      </c>
      <c r="J906" s="1"/>
      <c r="K906" s="1"/>
      <c r="L906" s="1"/>
      <c r="M906" s="1"/>
      <c r="N906" s="1"/>
    </row>
    <row r="907" spans="1:14" hidden="1">
      <c r="A907" s="151">
        <f t="shared" si="49"/>
        <v>1</v>
      </c>
      <c r="B907" s="151" t="s">
        <v>206</v>
      </c>
      <c r="C907" s="159">
        <v>32122001</v>
      </c>
      <c r="D907" s="160" t="s">
        <v>762</v>
      </c>
      <c r="E907" s="161">
        <f>SUMIF(Lanç!$C$3:$C$114,C907,Lanç!$F$3:$F$114)</f>
        <v>0</v>
      </c>
      <c r="F907" s="161">
        <f>SUMIF(Lanç!$C$115:$C$6504,C907,Lanç!$F$115:$F$6504)</f>
        <v>0</v>
      </c>
      <c r="G907" s="161">
        <f>SUMIF(Lanç!$C$115:$C$6504,C907,Lanç!$G$115:$G$6504)</f>
        <v>0</v>
      </c>
      <c r="H907" s="162">
        <f t="shared" si="50"/>
        <v>0</v>
      </c>
      <c r="I907" s="162">
        <f t="shared" si="51"/>
        <v>0</v>
      </c>
    </row>
    <row r="908" spans="1:14">
      <c r="A908" s="151">
        <f t="shared" si="49"/>
        <v>0</v>
      </c>
      <c r="B908" s="151" t="s">
        <v>206</v>
      </c>
      <c r="C908" s="159">
        <v>32122002</v>
      </c>
      <c r="D908" s="160" t="s">
        <v>433</v>
      </c>
      <c r="E908" s="161">
        <f>SUMIF(Lanç!C3:C114,C908,Lanç!F3:F114)</f>
        <v>-244103932.76635</v>
      </c>
      <c r="F908" s="161">
        <f>SUMIF(Lanç!C115:C6504,C908,Lanç!F115:F6504)</f>
        <v>0</v>
      </c>
      <c r="G908" s="161">
        <f>SUMIF(Lanç!C115:C6504,C908,Lanç!G115:G6504)</f>
        <v>91283683.5</v>
      </c>
      <c r="H908" s="162">
        <f t="shared" si="50"/>
        <v>-91283683.5</v>
      </c>
      <c r="I908" s="162">
        <f t="shared" si="51"/>
        <v>-335387616.26635003</v>
      </c>
    </row>
    <row r="909" spans="1:14" hidden="1">
      <c r="A909" s="151">
        <f t="shared" si="49"/>
        <v>1</v>
      </c>
      <c r="B909" s="151" t="s">
        <v>206</v>
      </c>
      <c r="C909" s="159">
        <v>32122003</v>
      </c>
      <c r="D909" s="160" t="s">
        <v>763</v>
      </c>
      <c r="E909" s="161">
        <f>SUMIF(Lanç!$C$3:$C$114,C909,Lanç!$F$3:$F$114)</f>
        <v>0</v>
      </c>
      <c r="F909" s="161">
        <f>SUMIF(Lanç!$C$115:$C$6504,C909,Lanç!$F$115:$F$6504)</f>
        <v>0</v>
      </c>
      <c r="G909" s="161">
        <f>SUMIF(Lanç!$C$115:$C$6504,C909,Lanç!$G$115:$G$6504)</f>
        <v>0</v>
      </c>
      <c r="H909" s="162">
        <f t="shared" si="50"/>
        <v>0</v>
      </c>
      <c r="I909" s="162">
        <f t="shared" si="51"/>
        <v>0</v>
      </c>
    </row>
    <row r="910" spans="1:14" hidden="1">
      <c r="A910" s="151">
        <f t="shared" si="49"/>
        <v>1</v>
      </c>
      <c r="B910" s="151" t="s">
        <v>206</v>
      </c>
      <c r="C910" s="159">
        <v>32122004</v>
      </c>
      <c r="D910" s="160" t="s">
        <v>764</v>
      </c>
      <c r="E910" s="161">
        <f>SUMIF(Lanç!$C$3:$C$114,C910,Lanç!$F$3:$F$114)</f>
        <v>0</v>
      </c>
      <c r="F910" s="161">
        <f>SUMIF(Lanç!$C$115:$C$6504,C910,Lanç!$F$115:$F$6504)</f>
        <v>0</v>
      </c>
      <c r="G910" s="161">
        <f>SUMIF(Lanç!$C$115:$C$6504,C910,Lanç!$G$115:$G$6504)</f>
        <v>0</v>
      </c>
      <c r="H910" s="162">
        <f t="shared" si="50"/>
        <v>0</v>
      </c>
      <c r="I910" s="162">
        <f t="shared" si="51"/>
        <v>0</v>
      </c>
    </row>
    <row r="911" spans="1:14" hidden="1">
      <c r="A911" s="151">
        <f t="shared" si="49"/>
        <v>1</v>
      </c>
      <c r="B911" s="151" t="s">
        <v>206</v>
      </c>
      <c r="C911" s="159">
        <v>32122005</v>
      </c>
      <c r="D911" s="160" t="s">
        <v>765</v>
      </c>
      <c r="E911" s="161">
        <f>SUMIF(Lanç!$C$3:$C$114,C911,Lanç!$F$3:$F$114)</f>
        <v>0</v>
      </c>
      <c r="F911" s="161">
        <f>SUMIF(Lanç!$C$115:$C$6504,C911,Lanç!$F$115:$F$6504)</f>
        <v>0</v>
      </c>
      <c r="G911" s="161">
        <f>SUMIF(Lanç!$C$115:$C$6504,C911,Lanç!$G$115:$G$6504)</f>
        <v>0</v>
      </c>
      <c r="H911" s="162">
        <f t="shared" si="50"/>
        <v>0</v>
      </c>
      <c r="I911" s="162">
        <f t="shared" si="51"/>
        <v>0</v>
      </c>
    </row>
    <row r="912" spans="1:14" hidden="1">
      <c r="A912" s="151">
        <f t="shared" si="49"/>
        <v>1</v>
      </c>
      <c r="B912" s="151" t="s">
        <v>206</v>
      </c>
      <c r="C912" s="159">
        <v>32122006</v>
      </c>
      <c r="D912" s="160" t="s">
        <v>766</v>
      </c>
      <c r="E912" s="161">
        <f>SUMIF(Lanç!$C$3:$C$114,C912,Lanç!$F$3:$F$114)</f>
        <v>0</v>
      </c>
      <c r="F912" s="161">
        <f>SUMIF(Lanç!$C$115:$C$6504,C912,Lanç!$F$115:$F$6504)</f>
        <v>0</v>
      </c>
      <c r="G912" s="161">
        <f>SUMIF(Lanç!$C$115:$C$6504,C912,Lanç!$G$115:$G$6504)</f>
        <v>0</v>
      </c>
      <c r="H912" s="162">
        <f t="shared" si="50"/>
        <v>0</v>
      </c>
      <c r="I912" s="162">
        <f t="shared" si="51"/>
        <v>0</v>
      </c>
    </row>
    <row r="913" spans="1:14">
      <c r="A913" s="151">
        <f t="shared" si="49"/>
        <v>0</v>
      </c>
      <c r="B913" s="151" t="s">
        <v>206</v>
      </c>
      <c r="C913" s="159">
        <v>32122007</v>
      </c>
      <c r="D913" s="160" t="s">
        <v>767</v>
      </c>
      <c r="E913" s="161">
        <f>SUMIF(Lanç!C3:C114,C913,Lanç!F3:F114)</f>
        <v>-93883.72</v>
      </c>
      <c r="F913" s="161">
        <f>SUMIF(Lanç!C115:C6504,C913,Lanç!F115:F6504)</f>
        <v>0</v>
      </c>
      <c r="G913" s="161">
        <f>SUMIF(Lanç!C115:C6504,C913,Lanç!G115:G6504)</f>
        <v>0</v>
      </c>
      <c r="H913" s="162">
        <f t="shared" si="50"/>
        <v>0</v>
      </c>
      <c r="I913" s="162">
        <f t="shared" si="51"/>
        <v>-93883.72</v>
      </c>
    </row>
    <row r="914" spans="1:14" hidden="1">
      <c r="A914" s="151">
        <f t="shared" si="49"/>
        <v>1</v>
      </c>
      <c r="B914" s="151" t="s">
        <v>206</v>
      </c>
      <c r="C914" s="159">
        <v>32122008</v>
      </c>
      <c r="D914" s="160" t="s">
        <v>768</v>
      </c>
      <c r="E914" s="161">
        <f>SUMIF(Lanç!C3:C114,C914,Lanç!F3:F114)</f>
        <v>0</v>
      </c>
      <c r="F914" s="161">
        <f>SUMIF(Lanç!C115:C6504,C914,Lanç!F115:F6504)</f>
        <v>0</v>
      </c>
      <c r="G914" s="161">
        <f>SUMIF(Lanç!C115:C6504,C914,Lanç!G115:G6504)</f>
        <v>0</v>
      </c>
      <c r="H914" s="162">
        <f t="shared" si="50"/>
        <v>0</v>
      </c>
      <c r="I914" s="162">
        <f t="shared" si="51"/>
        <v>0</v>
      </c>
    </row>
    <row r="915" spans="1:14" hidden="1">
      <c r="A915" s="151">
        <f t="shared" si="49"/>
        <v>1</v>
      </c>
      <c r="B915" s="151" t="s">
        <v>206</v>
      </c>
      <c r="C915" s="159">
        <v>32122009</v>
      </c>
      <c r="D915" s="160" t="s">
        <v>474</v>
      </c>
      <c r="E915" s="161">
        <f>SUMIF(Lanç!C3:C114,C915,Lanç!F3:F114)</f>
        <v>0</v>
      </c>
      <c r="F915" s="161">
        <f>SUMIF(Lanç!C115:C6504,C915,Lanç!F115:F6504)</f>
        <v>0</v>
      </c>
      <c r="G915" s="161">
        <f>SUMIF(Lanç!C115:C6504,C915,Lanç!G115:G6504)</f>
        <v>0</v>
      </c>
      <c r="H915" s="162">
        <f t="shared" si="50"/>
        <v>0</v>
      </c>
      <c r="I915" s="162">
        <f t="shared" si="51"/>
        <v>0</v>
      </c>
    </row>
    <row r="916" spans="1:14" hidden="1">
      <c r="A916" s="151">
        <f t="shared" si="49"/>
        <v>1</v>
      </c>
      <c r="B916" s="151" t="s">
        <v>206</v>
      </c>
      <c r="C916" s="159">
        <v>32122010</v>
      </c>
      <c r="D916" s="160" t="s">
        <v>769</v>
      </c>
      <c r="E916" s="161">
        <f>SUMIF(Lanç!$C$3:$C$114,C916,Lanç!$F$3:$F$114)</f>
        <v>0</v>
      </c>
      <c r="F916" s="161">
        <f>SUMIF(Lanç!$C$115:$C$6504,C916,Lanç!$F$115:$F$6504)</f>
        <v>0</v>
      </c>
      <c r="G916" s="161">
        <f>SUMIF(Lanç!$C$115:$C$6504,C916,Lanç!$G$115:$G$6504)</f>
        <v>0</v>
      </c>
      <c r="H916" s="162">
        <f t="shared" si="50"/>
        <v>0</v>
      </c>
      <c r="I916" s="162">
        <f t="shared" si="51"/>
        <v>0</v>
      </c>
    </row>
    <row r="917" spans="1:14" hidden="1">
      <c r="A917" s="151">
        <f t="shared" si="49"/>
        <v>1</v>
      </c>
      <c r="B917" s="151" t="s">
        <v>206</v>
      </c>
      <c r="C917" s="159">
        <v>32122011</v>
      </c>
      <c r="D917" s="160" t="s">
        <v>770</v>
      </c>
      <c r="E917" s="161">
        <f>SUMIF(Lanç!$C$3:$C$114,C917,Lanç!$F$3:$F$114)</f>
        <v>0</v>
      </c>
      <c r="F917" s="161">
        <f>SUMIF(Lanç!$C$115:$C$6504,C917,Lanç!$F$115:$F$6504)</f>
        <v>0</v>
      </c>
      <c r="G917" s="161">
        <f>SUMIF(Lanç!$C$115:$C$6504,C917,Lanç!$G$115:$G$6504)</f>
        <v>0</v>
      </c>
      <c r="H917" s="162">
        <f t="shared" si="50"/>
        <v>0</v>
      </c>
      <c r="I917" s="162">
        <f t="shared" si="51"/>
        <v>0</v>
      </c>
    </row>
    <row r="918" spans="1:14" hidden="1">
      <c r="A918" s="151">
        <f t="shared" si="49"/>
        <v>1</v>
      </c>
      <c r="B918" s="151" t="s">
        <v>206</v>
      </c>
      <c r="C918" s="159">
        <v>32122012</v>
      </c>
      <c r="D918" s="160" t="s">
        <v>688</v>
      </c>
      <c r="E918" s="161">
        <f>SUMIF(Lanç!$C$3:$C$114,C918,Lanç!$F$3:$F$114)</f>
        <v>0</v>
      </c>
      <c r="F918" s="161">
        <f>SUMIF(Lanç!$C$115:$C$6504,C918,Lanç!$F$115:$F$6504)</f>
        <v>0</v>
      </c>
      <c r="G918" s="161">
        <f>SUMIF(Lanç!$C$115:$C$6504,C918,Lanç!$G$115:$G$6504)</f>
        <v>0</v>
      </c>
      <c r="H918" s="162">
        <f t="shared" si="50"/>
        <v>0</v>
      </c>
      <c r="I918" s="162">
        <f t="shared" si="51"/>
        <v>0</v>
      </c>
    </row>
    <row r="919" spans="1:14" hidden="1">
      <c r="A919" s="151">
        <f t="shared" si="49"/>
        <v>1</v>
      </c>
      <c r="B919" s="151" t="s">
        <v>206</v>
      </c>
      <c r="C919" s="159">
        <v>32122013</v>
      </c>
      <c r="D919" s="160" t="s">
        <v>771</v>
      </c>
      <c r="E919" s="161">
        <f>SUMIF(Lanç!$C$3:$C$114,C919,Lanç!$F$3:$F$114)</f>
        <v>0</v>
      </c>
      <c r="F919" s="161">
        <f>SUMIF(Lanç!$C$115:$C$6504,C919,Lanç!$F$115:$F$6504)</f>
        <v>0</v>
      </c>
      <c r="G919" s="161">
        <f>SUMIF(Lanç!$C$115:$C$6504,C919,Lanç!$G$115:$G$6504)</f>
        <v>0</v>
      </c>
      <c r="H919" s="162">
        <f t="shared" si="50"/>
        <v>0</v>
      </c>
      <c r="I919" s="162">
        <f t="shared" si="51"/>
        <v>0</v>
      </c>
    </row>
    <row r="920" spans="1:14" hidden="1">
      <c r="A920" s="151">
        <f t="shared" si="49"/>
        <v>1</v>
      </c>
      <c r="B920" s="151" t="s">
        <v>206</v>
      </c>
      <c r="C920" s="159">
        <v>32122014</v>
      </c>
      <c r="D920" s="160" t="s">
        <v>772</v>
      </c>
      <c r="E920" s="161">
        <f>SUMIF(Lanç!$C$3:$C$114,C920,Lanç!$F$3:$F$114)</f>
        <v>0</v>
      </c>
      <c r="F920" s="161">
        <f>SUMIF(Lanç!$C$115:$C$6504,C920,Lanç!$F$115:$F$6504)</f>
        <v>0</v>
      </c>
      <c r="G920" s="161">
        <f>SUMIF(Lanç!$C$115:$C$6504,C920,Lanç!$G$115:$G$6504)</f>
        <v>0</v>
      </c>
      <c r="H920" s="162">
        <f t="shared" si="50"/>
        <v>0</v>
      </c>
      <c r="I920" s="162">
        <f t="shared" si="51"/>
        <v>0</v>
      </c>
    </row>
    <row r="921" spans="1:14" hidden="1">
      <c r="A921" s="151">
        <f t="shared" si="49"/>
        <v>1</v>
      </c>
      <c r="B921" s="151" t="s">
        <v>206</v>
      </c>
      <c r="C921" s="159">
        <v>32122015</v>
      </c>
      <c r="D921" s="160" t="s">
        <v>773</v>
      </c>
      <c r="E921" s="161">
        <f>SUMIF(Lanç!$C$3:$C$114,C921,Lanç!$F$3:$F$114)</f>
        <v>0</v>
      </c>
      <c r="F921" s="161">
        <f>SUMIF(Lanç!$C$115:$C$6504,C921,Lanç!$F$115:$F$6504)</f>
        <v>0</v>
      </c>
      <c r="G921" s="161">
        <f>SUMIF(Lanç!$C$115:$C$6504,C921,Lanç!$G$115:$G$6504)</f>
        <v>0</v>
      </c>
      <c r="H921" s="162">
        <f t="shared" si="50"/>
        <v>0</v>
      </c>
      <c r="I921" s="162">
        <f t="shared" si="51"/>
        <v>0</v>
      </c>
    </row>
    <row r="922" spans="1:14" hidden="1">
      <c r="A922" s="151">
        <f t="shared" si="49"/>
        <v>1</v>
      </c>
      <c r="B922" s="151" t="s">
        <v>206</v>
      </c>
      <c r="C922" s="159">
        <v>32122016</v>
      </c>
      <c r="D922" s="160" t="s">
        <v>774</v>
      </c>
      <c r="E922" s="161">
        <f>SUMIF(Lanç!$C$3:$C$114,C922,Lanç!$F$3:$F$114)</f>
        <v>0</v>
      </c>
      <c r="F922" s="161">
        <f>SUMIF(Lanç!$C$115:$C$6504,C922,Lanç!$F$115:$F$6504)</f>
        <v>0</v>
      </c>
      <c r="G922" s="161">
        <f>SUMIF(Lanç!$C$115:$C$6504,C922,Lanç!$G$115:$G$6504)</f>
        <v>0</v>
      </c>
      <c r="H922" s="162">
        <f t="shared" si="50"/>
        <v>0</v>
      </c>
      <c r="I922" s="162">
        <f t="shared" si="51"/>
        <v>0</v>
      </c>
    </row>
    <row r="923" spans="1:14" hidden="1">
      <c r="A923" s="151">
        <f t="shared" si="49"/>
        <v>1</v>
      </c>
      <c r="B923" s="151" t="s">
        <v>206</v>
      </c>
      <c r="C923" s="159">
        <v>32122017</v>
      </c>
      <c r="D923" s="160" t="s">
        <v>775</v>
      </c>
      <c r="E923" s="161">
        <f>SUMIF(Lanç!$C$3:$C$114,C923,Lanç!$F$3:$F$114)</f>
        <v>0</v>
      </c>
      <c r="F923" s="161">
        <f>SUMIF(Lanç!$C$115:$C$6504,C923,Lanç!$F$115:$F$6504)</f>
        <v>0</v>
      </c>
      <c r="G923" s="161">
        <f>SUMIF(Lanç!$C$115:$C$6504,C923,Lanç!$G$115:$G$6504)</f>
        <v>0</v>
      </c>
      <c r="H923" s="162">
        <f t="shared" si="50"/>
        <v>0</v>
      </c>
      <c r="I923" s="162">
        <f t="shared" si="51"/>
        <v>0</v>
      </c>
    </row>
    <row r="924" spans="1:14" hidden="1">
      <c r="A924" s="151">
        <f t="shared" si="49"/>
        <v>1</v>
      </c>
      <c r="B924" s="155" t="s">
        <v>204</v>
      </c>
      <c r="C924" s="156">
        <v>322</v>
      </c>
      <c r="D924" s="157" t="s">
        <v>776</v>
      </c>
      <c r="E924" s="158">
        <f>SUMIF(Lanç!$C$3:$C$114,C924,Lanç!$F$3:$F$114)</f>
        <v>0</v>
      </c>
      <c r="F924" s="158">
        <f>SUMIF(Lanç!$C$115:$C$6504,C924,Lanç!$F$115:$F$6504)</f>
        <v>0</v>
      </c>
      <c r="G924" s="158">
        <f>SUMIF(Lanç!$C$115:$C$6504,C924,Lanç!$G$115:$G$6504)</f>
        <v>0</v>
      </c>
      <c r="H924" s="154">
        <f t="shared" si="50"/>
        <v>0</v>
      </c>
      <c r="I924" s="154">
        <f t="shared" si="51"/>
        <v>0</v>
      </c>
      <c r="J924" s="1"/>
      <c r="K924" s="1"/>
      <c r="L924" s="1"/>
      <c r="M924" s="1"/>
      <c r="N924" s="1"/>
    </row>
    <row r="925" spans="1:14" hidden="1">
      <c r="A925" s="151">
        <f t="shared" si="49"/>
        <v>1</v>
      </c>
      <c r="B925" s="155" t="s">
        <v>204</v>
      </c>
      <c r="C925" s="156">
        <v>3221</v>
      </c>
      <c r="D925" s="157" t="s">
        <v>423</v>
      </c>
      <c r="E925" s="158">
        <f>SUM(E926,E931)</f>
        <v>0</v>
      </c>
      <c r="F925" s="158">
        <f>SUM(F926,F931)</f>
        <v>0</v>
      </c>
      <c r="G925" s="158">
        <f>SUM(G926,G931)</f>
        <v>0</v>
      </c>
      <c r="H925" s="154">
        <f t="shared" si="50"/>
        <v>0</v>
      </c>
      <c r="I925" s="154">
        <f t="shared" si="51"/>
        <v>0</v>
      </c>
      <c r="J925" s="1"/>
      <c r="K925" s="1"/>
      <c r="L925" s="1"/>
      <c r="M925" s="1"/>
      <c r="N925" s="1"/>
    </row>
    <row r="926" spans="1:14" hidden="1">
      <c r="A926" s="151">
        <f t="shared" si="49"/>
        <v>1</v>
      </c>
      <c r="B926" s="155" t="s">
        <v>204</v>
      </c>
      <c r="C926" s="156">
        <v>32211</v>
      </c>
      <c r="D926" s="157" t="s">
        <v>424</v>
      </c>
      <c r="E926" s="158">
        <f>SUM(E927,E929)</f>
        <v>0</v>
      </c>
      <c r="F926" s="158">
        <f>SUM(F927,F929)</f>
        <v>0</v>
      </c>
      <c r="G926" s="158">
        <f>SUM(G927,G929)</f>
        <v>0</v>
      </c>
      <c r="H926" s="154">
        <f t="shared" si="50"/>
        <v>0</v>
      </c>
      <c r="I926" s="154">
        <f t="shared" si="51"/>
        <v>0</v>
      </c>
      <c r="J926" s="1"/>
      <c r="K926" s="1"/>
      <c r="L926" s="1"/>
      <c r="M926" s="1"/>
      <c r="N926" s="1"/>
    </row>
    <row r="927" spans="1:14" hidden="1">
      <c r="A927" s="151">
        <f t="shared" si="49"/>
        <v>1</v>
      </c>
      <c r="B927" s="155" t="s">
        <v>204</v>
      </c>
      <c r="C927" s="156">
        <v>322111</v>
      </c>
      <c r="D927" s="157" t="s">
        <v>425</v>
      </c>
      <c r="E927" s="158">
        <f>SUM(E928:E928)</f>
        <v>0</v>
      </c>
      <c r="F927" s="158">
        <f>SUM(F928:F928)</f>
        <v>0</v>
      </c>
      <c r="G927" s="158">
        <f>SUM(G928:G928)</f>
        <v>0</v>
      </c>
      <c r="H927" s="154">
        <f t="shared" si="50"/>
        <v>0</v>
      </c>
      <c r="I927" s="154">
        <f t="shared" si="51"/>
        <v>0</v>
      </c>
      <c r="J927" s="1"/>
      <c r="K927" s="1"/>
      <c r="L927" s="1"/>
      <c r="M927" s="1"/>
      <c r="N927" s="1"/>
    </row>
    <row r="928" spans="1:14" hidden="1">
      <c r="A928" s="151">
        <f t="shared" si="49"/>
        <v>1</v>
      </c>
      <c r="B928" s="151" t="s">
        <v>206</v>
      </c>
      <c r="C928" s="159">
        <v>322111001</v>
      </c>
      <c r="D928" s="160" t="s">
        <v>426</v>
      </c>
      <c r="E928" s="161">
        <f>SUMIF(Lanç!$C$3:$C$114,C928,Lanç!$F$3:$F$114)</f>
        <v>0</v>
      </c>
      <c r="F928" s="161">
        <f>SUMIF(Lanç!$C$115:$C$6504,C928,Lanç!$F$115:$F$6504)</f>
        <v>0</v>
      </c>
      <c r="G928" s="161">
        <f>SUMIF(Lanç!$C$115:$C$6504,C928,Lanç!$G$115:$G$6504)</f>
        <v>0</v>
      </c>
      <c r="H928" s="162">
        <f t="shared" si="50"/>
        <v>0</v>
      </c>
      <c r="I928" s="162">
        <f t="shared" si="51"/>
        <v>0</v>
      </c>
    </row>
    <row r="929" spans="1:14" hidden="1">
      <c r="A929" s="151">
        <f t="shared" si="49"/>
        <v>1</v>
      </c>
      <c r="B929" s="155" t="s">
        <v>204</v>
      </c>
      <c r="C929" s="156">
        <v>322112</v>
      </c>
      <c r="D929" s="157" t="s">
        <v>427</v>
      </c>
      <c r="E929" s="158">
        <f>SUM(E930)</f>
        <v>0</v>
      </c>
      <c r="F929" s="158">
        <f>SUM(F930)</f>
        <v>0</v>
      </c>
      <c r="G929" s="158">
        <f>SUM(G930)</f>
        <v>0</v>
      </c>
      <c r="H929" s="154">
        <f t="shared" si="50"/>
        <v>0</v>
      </c>
      <c r="I929" s="154">
        <f t="shared" si="51"/>
        <v>0</v>
      </c>
      <c r="J929" s="1"/>
      <c r="K929" s="1"/>
      <c r="L929" s="1"/>
      <c r="M929" s="1"/>
      <c r="N929" s="1"/>
    </row>
    <row r="930" spans="1:14" hidden="1">
      <c r="A930" s="151">
        <f t="shared" si="49"/>
        <v>1</v>
      </c>
      <c r="B930" s="151" t="s">
        <v>206</v>
      </c>
      <c r="C930" s="159">
        <v>322112001</v>
      </c>
      <c r="D930" s="160" t="s">
        <v>426</v>
      </c>
      <c r="E930" s="161">
        <f>SUMIF(Lanç!$C$3:$C$114,C930,Lanç!$F$3:$F$114)</f>
        <v>0</v>
      </c>
      <c r="F930" s="161">
        <f>SUMIF(Lanç!$C$115:$C$6504,C930,Lanç!$F$115:$F$6504)</f>
        <v>0</v>
      </c>
      <c r="G930" s="161">
        <f>SUMIF(Lanç!$C$115:$C$6504,C930,Lanç!$G$115:$G$6504)</f>
        <v>0</v>
      </c>
      <c r="H930" s="162">
        <f t="shared" si="50"/>
        <v>0</v>
      </c>
      <c r="I930" s="162">
        <f t="shared" si="51"/>
        <v>0</v>
      </c>
    </row>
    <row r="931" spans="1:14" hidden="1">
      <c r="A931" s="151">
        <f t="shared" ref="A931:A999" si="55">IF(E931+F931+G931+H931+I931=0,1,0)</f>
        <v>1</v>
      </c>
      <c r="B931" s="155" t="s">
        <v>204</v>
      </c>
      <c r="C931" s="156">
        <v>32212</v>
      </c>
      <c r="D931" s="157" t="s">
        <v>428</v>
      </c>
      <c r="E931" s="158">
        <f>SUM(E932,E934)</f>
        <v>0</v>
      </c>
      <c r="F931" s="158">
        <f>SUMIF(Lanç!$C$115:$C$6504,C931,Lanç!$F$115:$F$6504)</f>
        <v>0</v>
      </c>
      <c r="G931" s="158">
        <f>SUMIF(Lanç!$C$115:$C$6504,C931,Lanç!$G$115:$G$6504)</f>
        <v>0</v>
      </c>
      <c r="H931" s="154">
        <f t="shared" ref="H931:H999" si="56">(F931)-(G931)</f>
        <v>0</v>
      </c>
      <c r="I931" s="154">
        <f t="shared" ref="I931:I999" si="57">(E931)+(H931)</f>
        <v>0</v>
      </c>
      <c r="J931" s="1"/>
      <c r="K931" s="1"/>
      <c r="L931" s="1"/>
      <c r="M931" s="1"/>
      <c r="N931" s="1"/>
    </row>
    <row r="932" spans="1:14" hidden="1">
      <c r="A932" s="151">
        <f t="shared" si="55"/>
        <v>1</v>
      </c>
      <c r="B932" s="155" t="s">
        <v>204</v>
      </c>
      <c r="C932" s="156">
        <v>322121</v>
      </c>
      <c r="D932" s="157" t="s">
        <v>425</v>
      </c>
      <c r="E932" s="158">
        <f>SUM(E933:E933)</f>
        <v>0</v>
      </c>
      <c r="F932" s="158">
        <f>SUM(F933:F933)</f>
        <v>0</v>
      </c>
      <c r="G932" s="158">
        <f>SUM(G933:G933)</f>
        <v>0</v>
      </c>
      <c r="H932" s="154">
        <f t="shared" si="56"/>
        <v>0</v>
      </c>
      <c r="I932" s="154">
        <f t="shared" si="57"/>
        <v>0</v>
      </c>
      <c r="J932" s="1"/>
      <c r="K932" s="1"/>
      <c r="L932" s="1"/>
      <c r="M932" s="1"/>
      <c r="N932" s="1"/>
    </row>
    <row r="933" spans="1:14" hidden="1">
      <c r="A933" s="151">
        <f t="shared" si="55"/>
        <v>1</v>
      </c>
      <c r="B933" s="151" t="s">
        <v>206</v>
      </c>
      <c r="C933" s="159">
        <v>322121001</v>
      </c>
      <c r="D933" s="160" t="s">
        <v>426</v>
      </c>
      <c r="E933" s="161">
        <f>SUMIF(Lanç!$C$3:$C$114,C933,Lanç!$F$3:$F$114)</f>
        <v>0</v>
      </c>
      <c r="F933" s="161">
        <f>SUMIF(Lanç!$C$115:$C$6504,C933,Lanç!$F$115:$F$6504)</f>
        <v>0</v>
      </c>
      <c r="G933" s="161">
        <f>SUMIF(Lanç!$C$115:$C$6504,C933,Lanç!$G$115:$G$6504)</f>
        <v>0</v>
      </c>
      <c r="H933" s="162">
        <f t="shared" si="56"/>
        <v>0</v>
      </c>
      <c r="I933" s="162">
        <f t="shared" si="57"/>
        <v>0</v>
      </c>
    </row>
    <row r="934" spans="1:14" hidden="1">
      <c r="A934" s="151">
        <f t="shared" si="55"/>
        <v>1</v>
      </c>
      <c r="B934" s="155" t="s">
        <v>204</v>
      </c>
      <c r="C934" s="156">
        <v>322122</v>
      </c>
      <c r="D934" s="157" t="s">
        <v>427</v>
      </c>
      <c r="E934" s="158">
        <f>SUM(E935)</f>
        <v>0</v>
      </c>
      <c r="F934" s="158">
        <f>SUM(F935)</f>
        <v>0</v>
      </c>
      <c r="G934" s="158">
        <f>SUM(G935)</f>
        <v>0</v>
      </c>
      <c r="H934" s="154">
        <f t="shared" si="56"/>
        <v>0</v>
      </c>
      <c r="I934" s="154">
        <f t="shared" si="57"/>
        <v>0</v>
      </c>
      <c r="J934" s="1"/>
      <c r="K934" s="1"/>
      <c r="L934" s="1"/>
      <c r="M934" s="1"/>
      <c r="N934" s="1"/>
    </row>
    <row r="935" spans="1:14" hidden="1">
      <c r="A935" s="151">
        <f t="shared" si="55"/>
        <v>1</v>
      </c>
      <c r="B935" s="151" t="s">
        <v>206</v>
      </c>
      <c r="C935" s="159">
        <v>322122001</v>
      </c>
      <c r="D935" s="160" t="s">
        <v>426</v>
      </c>
      <c r="E935" s="161">
        <f>SUMIF(Lanç!$C$3:$C$114,C935,Lanç!$F$3:$F$114)</f>
        <v>0</v>
      </c>
      <c r="F935" s="161">
        <f>SUMIF(Lanç!$C$115:$C$6504,C935,Lanç!$F$115:$F$6504)</f>
        <v>0</v>
      </c>
      <c r="G935" s="161">
        <f>SUMIF(Lanç!$C$115:$C$6504,C935,Lanç!$G$115:$G$6504)</f>
        <v>0</v>
      </c>
      <c r="H935" s="162">
        <f t="shared" si="56"/>
        <v>0</v>
      </c>
      <c r="I935" s="162">
        <f t="shared" si="57"/>
        <v>0</v>
      </c>
    </row>
    <row r="936" spans="1:14" hidden="1">
      <c r="A936" s="151">
        <f t="shared" si="55"/>
        <v>1</v>
      </c>
      <c r="B936" s="155" t="s">
        <v>204</v>
      </c>
      <c r="C936" s="156">
        <v>3222</v>
      </c>
      <c r="D936" s="157" t="s">
        <v>429</v>
      </c>
      <c r="E936" s="158">
        <f>SUM(E937,E945)</f>
        <v>0</v>
      </c>
      <c r="F936" s="158">
        <f>SUM(F937,F945)</f>
        <v>0</v>
      </c>
      <c r="G936" s="158">
        <f>SUM(G937,G945)</f>
        <v>0</v>
      </c>
      <c r="H936" s="154">
        <f t="shared" si="56"/>
        <v>0</v>
      </c>
      <c r="I936" s="154">
        <f t="shared" si="57"/>
        <v>0</v>
      </c>
      <c r="J936" s="1"/>
      <c r="K936" s="1"/>
      <c r="L936" s="1"/>
      <c r="M936" s="1"/>
      <c r="N936" s="1"/>
    </row>
    <row r="937" spans="1:14" s="57" customFormat="1" hidden="1">
      <c r="A937" s="155">
        <f t="shared" si="55"/>
        <v>1</v>
      </c>
      <c r="B937" s="155" t="s">
        <v>204</v>
      </c>
      <c r="C937" s="156">
        <v>32221</v>
      </c>
      <c r="D937" s="157" t="s">
        <v>425</v>
      </c>
      <c r="E937" s="158">
        <f>SUM(E938:E944)</f>
        <v>0</v>
      </c>
      <c r="F937" s="158">
        <f>SUM(F938:F944)</f>
        <v>0</v>
      </c>
      <c r="G937" s="158">
        <f>SUM(G938:G944)</f>
        <v>0</v>
      </c>
      <c r="H937" s="163">
        <f t="shared" si="56"/>
        <v>0</v>
      </c>
      <c r="I937" s="163">
        <f t="shared" si="57"/>
        <v>0</v>
      </c>
    </row>
    <row r="938" spans="1:14" hidden="1">
      <c r="A938" s="151">
        <f t="shared" si="55"/>
        <v>1</v>
      </c>
      <c r="B938" s="151" t="s">
        <v>206</v>
      </c>
      <c r="C938" s="159">
        <v>3232100001</v>
      </c>
      <c r="D938" s="160" t="s">
        <v>777</v>
      </c>
      <c r="E938" s="161">
        <f>SUMIF(Lanç!$C$3:$C$114,C938,Lanç!$F$3:$F$114)</f>
        <v>0</v>
      </c>
      <c r="F938" s="161">
        <f>SUMIF(Lanç!$C$115:$C$6504,C938,Lanç!$F$115:$F$6504)</f>
        <v>0</v>
      </c>
      <c r="G938" s="161">
        <f>SUMIF(Lanç!$C$115:$C$6504,C938,Lanç!$G$115:$G$6504)</f>
        <v>0</v>
      </c>
      <c r="H938" s="162">
        <f t="shared" si="56"/>
        <v>0</v>
      </c>
      <c r="I938" s="162">
        <f t="shared" si="57"/>
        <v>0</v>
      </c>
    </row>
    <row r="939" spans="1:14" hidden="1">
      <c r="A939" s="151">
        <f t="shared" si="55"/>
        <v>1</v>
      </c>
      <c r="B939" s="151" t="s">
        <v>206</v>
      </c>
      <c r="C939" s="159">
        <v>3232100002</v>
      </c>
      <c r="D939" s="160" t="s">
        <v>778</v>
      </c>
      <c r="E939" s="161">
        <f>SUMIF(Lanç!$C$3:$C$114,C939,Lanç!$F$3:$F$114)</f>
        <v>0</v>
      </c>
      <c r="F939" s="161">
        <f>SUMIF(Lanç!$C$115:$C$6504,C939,Lanç!$F$115:$F$6504)</f>
        <v>0</v>
      </c>
      <c r="G939" s="161">
        <f>SUMIF(Lanç!$C$115:$C$6504,C939,Lanç!$G$115:$G$6504)</f>
        <v>0</v>
      </c>
      <c r="H939" s="162">
        <f t="shared" si="56"/>
        <v>0</v>
      </c>
      <c r="I939" s="162">
        <f t="shared" si="57"/>
        <v>0</v>
      </c>
    </row>
    <row r="940" spans="1:14" hidden="1">
      <c r="A940" s="151">
        <f t="shared" si="55"/>
        <v>1</v>
      </c>
      <c r="B940" s="151" t="s">
        <v>206</v>
      </c>
      <c r="C940" s="159">
        <v>3232100004</v>
      </c>
      <c r="D940" s="160" t="s">
        <v>600</v>
      </c>
      <c r="E940" s="161">
        <f>SUMIF(Lanç!$C$3:$C$114,C940,Lanç!$F$3:$F$114)</f>
        <v>0</v>
      </c>
      <c r="F940" s="161">
        <f>SUMIF(Lanç!$C$115:$C$6504,C940,Lanç!$F$115:$F$6504)</f>
        <v>0</v>
      </c>
      <c r="G940" s="161">
        <f>SUMIF(Lanç!$C$115:$C$6504,C940,Lanç!$G$115:$G$6504)</f>
        <v>0</v>
      </c>
      <c r="H940" s="162">
        <f t="shared" si="56"/>
        <v>0</v>
      </c>
      <c r="I940" s="162">
        <f t="shared" si="57"/>
        <v>0</v>
      </c>
    </row>
    <row r="941" spans="1:14" hidden="1">
      <c r="A941" s="151">
        <f t="shared" si="55"/>
        <v>1</v>
      </c>
      <c r="B941" s="151" t="s">
        <v>206</v>
      </c>
      <c r="C941" s="159">
        <v>3232100005</v>
      </c>
      <c r="D941" s="160" t="s">
        <v>601</v>
      </c>
      <c r="E941" s="161">
        <f>SUMIF(Lanç!$C$3:$C$114,C941,Lanç!$F$3:$F$114)</f>
        <v>0</v>
      </c>
      <c r="F941" s="161">
        <f>SUMIF(Lanç!$C$115:$C$6504,C941,Lanç!$F$115:$F$6504)</f>
        <v>0</v>
      </c>
      <c r="G941" s="161">
        <f>SUMIF(Lanç!$C$115:$C$6504,C941,Lanç!$G$115:$G$6504)</f>
        <v>0</v>
      </c>
      <c r="H941" s="162">
        <f t="shared" si="56"/>
        <v>0</v>
      </c>
      <c r="I941" s="162">
        <f t="shared" si="57"/>
        <v>0</v>
      </c>
    </row>
    <row r="942" spans="1:14" hidden="1">
      <c r="A942" s="151">
        <f t="shared" si="55"/>
        <v>1</v>
      </c>
      <c r="B942" s="151" t="s">
        <v>206</v>
      </c>
      <c r="C942" s="159">
        <v>3232100007</v>
      </c>
      <c r="D942" s="160" t="s">
        <v>602</v>
      </c>
      <c r="E942" s="161">
        <f>SUMIF(Lanç!$C$3:$C$114,C942,Lanç!$F$3:$F$114)</f>
        <v>0</v>
      </c>
      <c r="F942" s="161">
        <f>SUMIF(Lanç!$C$115:$C$6504,C942,Lanç!$F$115:$F$6504)</f>
        <v>0</v>
      </c>
      <c r="G942" s="161">
        <f>SUMIF(Lanç!$C$115:$C$6504,C942,Lanç!$G$115:$G$6504)</f>
        <v>0</v>
      </c>
      <c r="H942" s="162">
        <f t="shared" si="56"/>
        <v>0</v>
      </c>
      <c r="I942" s="162">
        <f t="shared" si="57"/>
        <v>0</v>
      </c>
    </row>
    <row r="943" spans="1:14" hidden="1">
      <c r="A943" s="151">
        <f t="shared" si="55"/>
        <v>1</v>
      </c>
      <c r="B943" s="151" t="s">
        <v>206</v>
      </c>
      <c r="C943" s="159">
        <v>3232100008</v>
      </c>
      <c r="D943" s="160" t="s">
        <v>603</v>
      </c>
      <c r="E943" s="161">
        <f>SUMIF(Lanç!$C$3:$C$114,C943,Lanç!$F$3:$F$114)</f>
        <v>0</v>
      </c>
      <c r="F943" s="161">
        <f>SUMIF(Lanç!$C$115:$C$6504,C943,Lanç!$F$115:$F$6504)</f>
        <v>0</v>
      </c>
      <c r="G943" s="161">
        <f>SUMIF(Lanç!$C$115:$C$6504,C943,Lanç!$G$115:$G$6504)</f>
        <v>0</v>
      </c>
      <c r="H943" s="162">
        <f t="shared" si="56"/>
        <v>0</v>
      </c>
      <c r="I943" s="162">
        <f t="shared" si="57"/>
        <v>0</v>
      </c>
    </row>
    <row r="944" spans="1:14" hidden="1">
      <c r="A944" s="151">
        <f t="shared" si="55"/>
        <v>1</v>
      </c>
      <c r="B944" s="151" t="s">
        <v>206</v>
      </c>
      <c r="C944" s="159">
        <v>3232100009</v>
      </c>
      <c r="D944" s="160" t="s">
        <v>604</v>
      </c>
      <c r="E944" s="161">
        <f>SUMIF(Lanç!$C$3:$C$114,C944,Lanç!$F$3:$F$114)</f>
        <v>0</v>
      </c>
      <c r="F944" s="161">
        <f>SUMIF(Lanç!$C$115:$C$6504,C944,Lanç!$F$115:$F$6504)</f>
        <v>0</v>
      </c>
      <c r="G944" s="161">
        <f>SUMIF(Lanç!$C$115:$C$6504,C944,Lanç!$G$115:$G$6504)</f>
        <v>0</v>
      </c>
      <c r="H944" s="162">
        <f t="shared" si="56"/>
        <v>0</v>
      </c>
      <c r="I944" s="162">
        <f t="shared" si="57"/>
        <v>0</v>
      </c>
    </row>
    <row r="945" spans="1:14" hidden="1">
      <c r="A945" s="151">
        <f t="shared" si="55"/>
        <v>1</v>
      </c>
      <c r="B945" s="151" t="s">
        <v>206</v>
      </c>
      <c r="C945" s="159">
        <v>32222</v>
      </c>
      <c r="D945" s="160" t="s">
        <v>427</v>
      </c>
      <c r="E945" s="161">
        <f>SUMIF(Lanç!$C$3:$C$114,C945,Lanç!$F$3:$F$114)</f>
        <v>0</v>
      </c>
      <c r="F945" s="161">
        <f>SUMIF(Lanç!$C$115:$C$6504,C945,Lanç!$F$115:$F$6504)</f>
        <v>0</v>
      </c>
      <c r="G945" s="161">
        <f>SUMIF(Lanç!$C$115:$C$6504,C945,Lanç!$G$115:$G$6504)</f>
        <v>0</v>
      </c>
      <c r="H945" s="162">
        <f t="shared" si="56"/>
        <v>0</v>
      </c>
      <c r="I945" s="162">
        <f t="shared" si="57"/>
        <v>0</v>
      </c>
    </row>
    <row r="946" spans="1:14" hidden="1">
      <c r="A946" s="151">
        <f t="shared" si="55"/>
        <v>1</v>
      </c>
      <c r="B946" s="155" t="s">
        <v>204</v>
      </c>
      <c r="C946" s="156">
        <v>328</v>
      </c>
      <c r="D946" s="157" t="s">
        <v>779</v>
      </c>
      <c r="E946" s="158">
        <f>SUM(E947,E949)</f>
        <v>0</v>
      </c>
      <c r="F946" s="158">
        <f>SUM(F948)</f>
        <v>0</v>
      </c>
      <c r="G946" s="158">
        <f>SUM(G948)</f>
        <v>0</v>
      </c>
      <c r="H946" s="154">
        <f t="shared" si="56"/>
        <v>0</v>
      </c>
      <c r="I946" s="154">
        <f t="shared" si="57"/>
        <v>0</v>
      </c>
      <c r="J946" s="1"/>
      <c r="K946" s="1"/>
      <c r="L946" s="1"/>
      <c r="M946" s="1"/>
      <c r="N946" s="1"/>
    </row>
    <row r="947" spans="1:14" hidden="1">
      <c r="A947" s="151">
        <f t="shared" si="55"/>
        <v>1</v>
      </c>
      <c r="B947" s="155" t="s">
        <v>204</v>
      </c>
      <c r="C947" s="156">
        <v>3281</v>
      </c>
      <c r="D947" s="157" t="s">
        <v>269</v>
      </c>
      <c r="E947" s="158">
        <f>SUM(E948)</f>
        <v>0</v>
      </c>
      <c r="F947" s="158">
        <f>SUM(F948)</f>
        <v>0</v>
      </c>
      <c r="G947" s="158">
        <f>SUM(G948)</f>
        <v>0</v>
      </c>
      <c r="H947" s="154">
        <f t="shared" si="56"/>
        <v>0</v>
      </c>
      <c r="I947" s="154">
        <f t="shared" si="57"/>
        <v>0</v>
      </c>
    </row>
    <row r="948" spans="1:14" hidden="1">
      <c r="A948" s="151">
        <f t="shared" si="55"/>
        <v>1</v>
      </c>
      <c r="B948" s="151" t="s">
        <v>206</v>
      </c>
      <c r="C948" s="159">
        <v>3281</v>
      </c>
      <c r="D948" s="160" t="s">
        <v>780</v>
      </c>
      <c r="E948" s="161">
        <f>SUMIF(Lanç!$C$3:$C$114,C948,Lanç!$F$3:$F$114)</f>
        <v>0</v>
      </c>
      <c r="F948" s="161">
        <f>SUMIF(Lanç!$C$115:$C$6504,C948,Lanç!$F$115:$F$6504)</f>
        <v>0</v>
      </c>
      <c r="G948" s="161">
        <f>SUMIF(Lanç!$C$115:$C$6504,C948,Lanç!$G$115:$G$6504)</f>
        <v>0</v>
      </c>
      <c r="H948" s="162">
        <f t="shared" si="56"/>
        <v>0</v>
      </c>
      <c r="I948" s="162">
        <f t="shared" si="57"/>
        <v>0</v>
      </c>
    </row>
    <row r="949" spans="1:14" hidden="1">
      <c r="A949" s="151">
        <f t="shared" si="55"/>
        <v>1</v>
      </c>
      <c r="B949" s="155" t="s">
        <v>204</v>
      </c>
      <c r="C949" s="156">
        <v>3282</v>
      </c>
      <c r="D949" s="157" t="s">
        <v>429</v>
      </c>
      <c r="E949" s="158">
        <f>SUM(E950:E951)</f>
        <v>0</v>
      </c>
      <c r="F949" s="158">
        <f>SUM(F950:F951)</f>
        <v>0</v>
      </c>
      <c r="G949" s="158">
        <f>SUM(G950:G951)</f>
        <v>0</v>
      </c>
      <c r="H949" s="154">
        <f t="shared" si="56"/>
        <v>0</v>
      </c>
      <c r="I949" s="154">
        <f t="shared" si="57"/>
        <v>0</v>
      </c>
      <c r="J949" s="1"/>
      <c r="K949" s="1"/>
      <c r="L949" s="1"/>
      <c r="M949" s="1"/>
      <c r="N949" s="1"/>
    </row>
    <row r="950" spans="1:14" hidden="1">
      <c r="A950" s="151">
        <f t="shared" si="55"/>
        <v>1</v>
      </c>
      <c r="B950" s="151" t="s">
        <v>206</v>
      </c>
      <c r="C950" s="159">
        <v>32821</v>
      </c>
      <c r="D950" s="160" t="s">
        <v>425</v>
      </c>
      <c r="E950" s="161">
        <f>SUMIF(Lanç!$C$3:$C$114,C950,Lanç!$F$3:$F$114)</f>
        <v>0</v>
      </c>
      <c r="F950" s="161">
        <f>SUMIF(Lanç!$C$115:$C$6504,C950,Lanç!$F$115:$F$6504)</f>
        <v>0</v>
      </c>
      <c r="G950" s="161">
        <f>SUMIF(Lanç!$C$115:$C$6504,C950,Lanç!$G$115:$G$6504)</f>
        <v>0</v>
      </c>
      <c r="H950" s="162">
        <f t="shared" si="56"/>
        <v>0</v>
      </c>
      <c r="I950" s="162">
        <f t="shared" si="57"/>
        <v>0</v>
      </c>
    </row>
    <row r="951" spans="1:14" hidden="1">
      <c r="A951" s="151">
        <f t="shared" si="55"/>
        <v>1</v>
      </c>
      <c r="B951" s="151" t="s">
        <v>206</v>
      </c>
      <c r="C951" s="159">
        <v>32822</v>
      </c>
      <c r="D951" s="160" t="s">
        <v>427</v>
      </c>
      <c r="E951" s="161">
        <f>SUMIF(Lanç!$C$3:$C$114,C951,Lanç!$F$3:$F$114)</f>
        <v>0</v>
      </c>
      <c r="F951" s="161">
        <f>SUMIF(Lanç!$C$115:$C$6504,C951,Lanç!$F$115:$F$6504)</f>
        <v>0</v>
      </c>
      <c r="G951" s="161">
        <f>SUMIF(Lanç!$C$115:$C$6504,C951,Lanç!$G$115:$G$6504)</f>
        <v>0</v>
      </c>
      <c r="H951" s="162">
        <f t="shared" si="56"/>
        <v>0</v>
      </c>
      <c r="I951" s="162">
        <f t="shared" si="57"/>
        <v>0</v>
      </c>
    </row>
    <row r="952" spans="1:14">
      <c r="A952" s="151">
        <f t="shared" si="55"/>
        <v>0</v>
      </c>
      <c r="B952" s="155" t="s">
        <v>204</v>
      </c>
      <c r="C952" s="156">
        <v>329</v>
      </c>
      <c r="D952" s="157" t="s">
        <v>781</v>
      </c>
      <c r="E952" s="158">
        <f>SUM(E953,E999,E1003)</f>
        <v>2016781.25</v>
      </c>
      <c r="F952" s="158">
        <f>SUM(F953,F999,F1003)</f>
        <v>0</v>
      </c>
      <c r="G952" s="158">
        <f>SUM(G953,G999,G1003)</f>
        <v>0</v>
      </c>
      <c r="H952" s="154">
        <f t="shared" si="56"/>
        <v>0</v>
      </c>
      <c r="I952" s="154">
        <f t="shared" si="57"/>
        <v>2016781.25</v>
      </c>
      <c r="J952" s="1"/>
      <c r="K952" s="1"/>
      <c r="L952" s="1"/>
      <c r="M952" s="1"/>
      <c r="N952" s="1"/>
    </row>
    <row r="953" spans="1:14">
      <c r="A953" s="151">
        <f t="shared" si="55"/>
        <v>0</v>
      </c>
      <c r="B953" s="155" t="s">
        <v>204</v>
      </c>
      <c r="C953" s="156">
        <v>3291</v>
      </c>
      <c r="D953" s="157" t="s">
        <v>555</v>
      </c>
      <c r="E953" s="158">
        <f>SUM(E954)</f>
        <v>2016781.25</v>
      </c>
      <c r="F953" s="158">
        <f>SUM(F954)</f>
        <v>0</v>
      </c>
      <c r="G953" s="158">
        <f>SUM(G954)</f>
        <v>0</v>
      </c>
      <c r="H953" s="154">
        <f t="shared" si="56"/>
        <v>0</v>
      </c>
      <c r="I953" s="154">
        <f t="shared" si="57"/>
        <v>2016781.25</v>
      </c>
      <c r="J953" s="1"/>
      <c r="K953" s="1"/>
      <c r="L953" s="1"/>
      <c r="M953" s="1"/>
      <c r="N953" s="1"/>
    </row>
    <row r="954" spans="1:14">
      <c r="A954" s="151">
        <f t="shared" si="55"/>
        <v>0</v>
      </c>
      <c r="B954" s="155" t="s">
        <v>204</v>
      </c>
      <c r="C954" s="156">
        <v>32912</v>
      </c>
      <c r="D954" s="157" t="s">
        <v>429</v>
      </c>
      <c r="E954" s="158">
        <f>SUM(E955,E998)</f>
        <v>2016781.25</v>
      </c>
      <c r="F954" s="158">
        <f>SUM(F955,F998)</f>
        <v>0</v>
      </c>
      <c r="G954" s="158">
        <f>SUM(G955,G998)</f>
        <v>0</v>
      </c>
      <c r="H954" s="154">
        <f t="shared" si="56"/>
        <v>0</v>
      </c>
      <c r="I954" s="154">
        <f t="shared" si="57"/>
        <v>2016781.25</v>
      </c>
      <c r="J954" s="1"/>
      <c r="K954" s="1"/>
      <c r="L954" s="1"/>
      <c r="M954" s="1"/>
      <c r="N954" s="1"/>
    </row>
    <row r="955" spans="1:14" s="57" customFormat="1">
      <c r="A955" s="155">
        <f t="shared" si="55"/>
        <v>0</v>
      </c>
      <c r="B955" s="155" t="s">
        <v>204</v>
      </c>
      <c r="C955" s="156">
        <v>329121</v>
      </c>
      <c r="D955" s="157" t="s">
        <v>425</v>
      </c>
      <c r="E955" s="158">
        <f>SUM(E956:E998)</f>
        <v>2016781.25</v>
      </c>
      <c r="F955" s="158">
        <f>SUM(F956:F998)</f>
        <v>0</v>
      </c>
      <c r="G955" s="158">
        <f>SUM(G956:G998)</f>
        <v>0</v>
      </c>
      <c r="H955" s="163">
        <f t="shared" si="56"/>
        <v>0</v>
      </c>
      <c r="I955" s="163">
        <f t="shared" si="57"/>
        <v>2016781.25</v>
      </c>
    </row>
    <row r="956" spans="1:14" hidden="1">
      <c r="A956" s="151">
        <f t="shared" si="55"/>
        <v>1</v>
      </c>
      <c r="B956" s="151" t="s">
        <v>206</v>
      </c>
      <c r="C956" s="159">
        <v>329121001</v>
      </c>
      <c r="D956" s="160" t="s">
        <v>782</v>
      </c>
      <c r="E956" s="161">
        <f>SUMIF(Lanç!$C$3:$C$114,C956,Lanç!$F$3:$F$114)</f>
        <v>0</v>
      </c>
      <c r="F956" s="161">
        <f>SUMIF(Lanç!$C$115:$C$6504,C956,Lanç!$F$115:$F$6504)</f>
        <v>0</v>
      </c>
      <c r="G956" s="161">
        <f>SUMIF(Lanç!$C$115:$C$6504,C956,Lanç!$G$115:$G$6504)</f>
        <v>0</v>
      </c>
      <c r="H956" s="162">
        <f t="shared" si="56"/>
        <v>0</v>
      </c>
      <c r="I956" s="162">
        <f t="shared" si="57"/>
        <v>0</v>
      </c>
    </row>
    <row r="957" spans="1:14" hidden="1">
      <c r="A957" s="151">
        <f t="shared" si="55"/>
        <v>1</v>
      </c>
      <c r="B957" s="151" t="s">
        <v>206</v>
      </c>
      <c r="C957" s="159">
        <v>329121002</v>
      </c>
      <c r="D957" s="160" t="s">
        <v>472</v>
      </c>
      <c r="E957" s="161">
        <f>SUMIF(Lanç!$C$3:$C$114,C957,Lanç!$F$3:$F$114)</f>
        <v>0</v>
      </c>
      <c r="F957" s="161">
        <f>SUMIF(Lanç!$C$115:$C$6504,C957,Lanç!$F$115:$F$6504)</f>
        <v>0</v>
      </c>
      <c r="G957" s="161">
        <f>SUMIF(Lanç!$C$115:$C$6504,C957,Lanç!$G$115:$G$6504)</f>
        <v>0</v>
      </c>
      <c r="H957" s="162">
        <f t="shared" si="56"/>
        <v>0</v>
      </c>
      <c r="I957" s="162">
        <f t="shared" si="57"/>
        <v>0</v>
      </c>
    </row>
    <row r="958" spans="1:14" hidden="1">
      <c r="A958" s="151">
        <f t="shared" si="55"/>
        <v>1</v>
      </c>
      <c r="B958" s="151" t="s">
        <v>206</v>
      </c>
      <c r="C958" s="159">
        <v>329121003</v>
      </c>
      <c r="D958" s="160" t="s">
        <v>783</v>
      </c>
      <c r="E958" s="161">
        <f>SUMIF(Lanç!$C$3:$C$114,C958,Lanç!$F$3:$F$114)</f>
        <v>0</v>
      </c>
      <c r="F958" s="161">
        <f>SUMIF(Lanç!$C$115:$C$6504,C958,Lanç!$F$115:$F$6504)</f>
        <v>0</v>
      </c>
      <c r="G958" s="161">
        <f>SUMIF(Lanç!$C$115:$C$6504,C958,Lanç!$G$115:$G$6504)</f>
        <v>0</v>
      </c>
      <c r="H958" s="162">
        <f t="shared" si="56"/>
        <v>0</v>
      </c>
      <c r="I958" s="162">
        <f t="shared" si="57"/>
        <v>0</v>
      </c>
    </row>
    <row r="959" spans="1:14" hidden="1">
      <c r="A959" s="151">
        <f t="shared" si="55"/>
        <v>1</v>
      </c>
      <c r="B959" s="151" t="s">
        <v>206</v>
      </c>
      <c r="C959" s="159">
        <v>329121004</v>
      </c>
      <c r="D959" s="160" t="s">
        <v>784</v>
      </c>
      <c r="E959" s="161">
        <f>SUMIF(Lanç!$C$3:$C$114,C959,Lanç!$F$3:$F$114)</f>
        <v>0</v>
      </c>
      <c r="F959" s="161">
        <f>SUMIF(Lanç!$C$115:$C$6504,C959,Lanç!$F$115:$F$6504)</f>
        <v>0</v>
      </c>
      <c r="G959" s="161">
        <f>SUMIF(Lanç!$C$115:$C$6504,C959,Lanç!$G$115:$G$6504)</f>
        <v>0</v>
      </c>
      <c r="H959" s="162">
        <f t="shared" si="56"/>
        <v>0</v>
      </c>
      <c r="I959" s="162">
        <f t="shared" si="57"/>
        <v>0</v>
      </c>
    </row>
    <row r="960" spans="1:14" hidden="1">
      <c r="A960" s="151">
        <f t="shared" si="55"/>
        <v>1</v>
      </c>
      <c r="B960" s="151" t="s">
        <v>206</v>
      </c>
      <c r="C960" s="159">
        <v>329121005</v>
      </c>
      <c r="D960" s="160" t="s">
        <v>618</v>
      </c>
      <c r="E960" s="161">
        <f>SUMIF(Lanç!$C$3:$C$114,C960,Lanç!$F$3:$F$114)</f>
        <v>0</v>
      </c>
      <c r="F960" s="161">
        <f>SUMIF(Lanç!$C$115:$C$6504,C960,Lanç!$F$115:$F$6504)</f>
        <v>0</v>
      </c>
      <c r="G960" s="161">
        <f>SUMIF(Lanç!$C$115:$C$6504,C960,Lanç!$G$115:$G$6504)</f>
        <v>0</v>
      </c>
      <c r="H960" s="162">
        <f t="shared" si="56"/>
        <v>0</v>
      </c>
      <c r="I960" s="162">
        <f t="shared" si="57"/>
        <v>0</v>
      </c>
    </row>
    <row r="961" spans="1:9" hidden="1">
      <c r="A961" s="151">
        <f t="shared" si="55"/>
        <v>1</v>
      </c>
      <c r="B961" s="151" t="s">
        <v>206</v>
      </c>
      <c r="C961" s="159">
        <v>329121006</v>
      </c>
      <c r="D961" s="160" t="s">
        <v>785</v>
      </c>
      <c r="E961" s="161">
        <f>SUMIF(Lanç!$C$3:$C$114,C961,Lanç!$F$3:$F$114)</f>
        <v>0</v>
      </c>
      <c r="F961" s="161">
        <f>SUMIF(Lanç!$C$115:$C$6504,C961,Lanç!$F$115:$F$6504)</f>
        <v>0</v>
      </c>
      <c r="G961" s="161">
        <f>SUMIF(Lanç!$C$115:$C$6504,C961,Lanç!$G$115:$G$6504)</f>
        <v>0</v>
      </c>
      <c r="H961" s="162">
        <f t="shared" si="56"/>
        <v>0</v>
      </c>
      <c r="I961" s="162">
        <f t="shared" si="57"/>
        <v>0</v>
      </c>
    </row>
    <row r="962" spans="1:9" hidden="1">
      <c r="A962" s="151">
        <f t="shared" si="55"/>
        <v>1</v>
      </c>
      <c r="B962" s="151" t="s">
        <v>206</v>
      </c>
      <c r="C962" s="159">
        <v>329121007</v>
      </c>
      <c r="D962" s="160" t="s">
        <v>615</v>
      </c>
      <c r="E962" s="161">
        <f>SUMIF(Lanç!$C$3:$C$114,C962,Lanç!$F$3:$F$114)</f>
        <v>0</v>
      </c>
      <c r="F962" s="161">
        <f>SUMIF(Lanç!$C$115:$C$6504,C962,Lanç!$F$115:$F$6504)</f>
        <v>0</v>
      </c>
      <c r="G962" s="161">
        <f>SUMIF(Lanç!$C$115:$C$6504,C962,Lanç!$G$115:$G$6504)</f>
        <v>0</v>
      </c>
      <c r="H962" s="162">
        <f t="shared" si="56"/>
        <v>0</v>
      </c>
      <c r="I962" s="162">
        <f t="shared" si="57"/>
        <v>0</v>
      </c>
    </row>
    <row r="963" spans="1:9" hidden="1">
      <c r="A963" s="151">
        <f t="shared" si="55"/>
        <v>1</v>
      </c>
      <c r="B963" s="151" t="s">
        <v>206</v>
      </c>
      <c r="C963" s="159">
        <v>329121008</v>
      </c>
      <c r="D963" s="160" t="s">
        <v>626</v>
      </c>
      <c r="E963" s="161">
        <f>SUMIF(Lanç!$C$3:$C$114,C963,Lanç!$F$3:$F$114)</f>
        <v>0</v>
      </c>
      <c r="F963" s="161">
        <f>SUMIF(Lanç!$C$115:$C$6504,C963,Lanç!$F$115:$F$6504)</f>
        <v>0</v>
      </c>
      <c r="G963" s="161">
        <f>SUMIF(Lanç!$C$115:$C$6504,C963,Lanç!$G$115:$G$6504)</f>
        <v>0</v>
      </c>
      <c r="H963" s="162">
        <f t="shared" si="56"/>
        <v>0</v>
      </c>
      <c r="I963" s="162">
        <f t="shared" si="57"/>
        <v>0</v>
      </c>
    </row>
    <row r="964" spans="1:9" hidden="1">
      <c r="A964" s="151">
        <f t="shared" si="55"/>
        <v>1</v>
      </c>
      <c r="B964" s="151" t="s">
        <v>206</v>
      </c>
      <c r="C964" s="159">
        <v>329121009</v>
      </c>
      <c r="D964" s="160" t="s">
        <v>786</v>
      </c>
      <c r="E964" s="161">
        <f>SUMIF(Lanç!$C$3:$C$114,C964,Lanç!$F$3:$F$114)</f>
        <v>0</v>
      </c>
      <c r="F964" s="161">
        <f>SUMIF(Lanç!$C$115:$C$6504,C964,Lanç!$F$115:$F$6504)</f>
        <v>0</v>
      </c>
      <c r="G964" s="161">
        <f>SUMIF(Lanç!$C$115:$C$6504,C964,Lanç!$G$115:$G$6504)</f>
        <v>0</v>
      </c>
      <c r="H964" s="162">
        <f t="shared" si="56"/>
        <v>0</v>
      </c>
      <c r="I964" s="162">
        <f t="shared" si="57"/>
        <v>0</v>
      </c>
    </row>
    <row r="965" spans="1:9" hidden="1">
      <c r="A965" s="151">
        <f t="shared" si="55"/>
        <v>1</v>
      </c>
      <c r="B965" s="151" t="s">
        <v>206</v>
      </c>
      <c r="C965" s="159">
        <v>329121010</v>
      </c>
      <c r="D965" s="160" t="s">
        <v>787</v>
      </c>
      <c r="E965" s="161">
        <f>SUMIF(Lanç!$C$3:$C$114,C965,Lanç!$F$3:$F$114)</f>
        <v>0</v>
      </c>
      <c r="F965" s="161">
        <f>SUMIF(Lanç!$C$115:$C$6504,C965,Lanç!$F$115:$F$6504)</f>
        <v>0</v>
      </c>
      <c r="G965" s="161">
        <f>SUMIF(Lanç!$C$115:$C$6504,C965,Lanç!$G$115:$G$6504)</f>
        <v>0</v>
      </c>
      <c r="H965" s="162">
        <f t="shared" si="56"/>
        <v>0</v>
      </c>
      <c r="I965" s="162">
        <f t="shared" si="57"/>
        <v>0</v>
      </c>
    </row>
    <row r="966" spans="1:9" hidden="1">
      <c r="A966" s="151">
        <f t="shared" si="55"/>
        <v>1</v>
      </c>
      <c r="B966" s="151" t="s">
        <v>206</v>
      </c>
      <c r="C966" s="159">
        <v>329121011</v>
      </c>
      <c r="D966" s="160" t="s">
        <v>788</v>
      </c>
      <c r="E966" s="161">
        <f>SUMIF(Lanç!$C$3:$C$114,C966,Lanç!$F$3:$F$114)</f>
        <v>0</v>
      </c>
      <c r="F966" s="161">
        <f>SUMIF(Lanç!$C$115:$C$6504,C966,Lanç!$F$115:$F$6504)</f>
        <v>0</v>
      </c>
      <c r="G966" s="161">
        <f>SUMIF(Lanç!$C$115:$C$6504,C966,Lanç!$G$115:$G$6504)</f>
        <v>0</v>
      </c>
      <c r="H966" s="162">
        <f t="shared" si="56"/>
        <v>0</v>
      </c>
      <c r="I966" s="162">
        <f t="shared" si="57"/>
        <v>0</v>
      </c>
    </row>
    <row r="967" spans="1:9" hidden="1">
      <c r="A967" s="151">
        <f t="shared" si="55"/>
        <v>1</v>
      </c>
      <c r="B967" s="151" t="s">
        <v>206</v>
      </c>
      <c r="C967" s="159">
        <v>329121012</v>
      </c>
      <c r="D967" s="160" t="s">
        <v>789</v>
      </c>
      <c r="E967" s="161">
        <f>SUMIF(Lanç!$C$3:$C$114,C967,Lanç!$F$3:$F$114)</f>
        <v>0</v>
      </c>
      <c r="F967" s="161">
        <f>SUMIF(Lanç!$C$115:$C$6504,C967,Lanç!$F$115:$F$6504)</f>
        <v>0</v>
      </c>
      <c r="G967" s="161">
        <f>SUMIF(Lanç!$C$115:$C$6504,C967,Lanç!$G$115:$G$6504)</f>
        <v>0</v>
      </c>
      <c r="H967" s="162">
        <f t="shared" si="56"/>
        <v>0</v>
      </c>
      <c r="I967" s="162">
        <f t="shared" si="57"/>
        <v>0</v>
      </c>
    </row>
    <row r="968" spans="1:9" hidden="1">
      <c r="A968" s="151">
        <f t="shared" si="55"/>
        <v>1</v>
      </c>
      <c r="B968" s="151" t="s">
        <v>206</v>
      </c>
      <c r="C968" s="159">
        <v>329121013</v>
      </c>
      <c r="D968" s="160" t="s">
        <v>790</v>
      </c>
      <c r="E968" s="161">
        <f>SUMIF(Lanç!$C$3:$C$114,C968,Lanç!$F$3:$F$114)</f>
        <v>0</v>
      </c>
      <c r="F968" s="161">
        <f>SUMIF(Lanç!$C$115:$C$6504,C968,Lanç!$F$115:$F$6504)</f>
        <v>0</v>
      </c>
      <c r="G968" s="161">
        <f>SUMIF(Lanç!$C$115:$C$6504,C968,Lanç!$G$115:$G$6504)</f>
        <v>0</v>
      </c>
      <c r="H968" s="162">
        <f t="shared" si="56"/>
        <v>0</v>
      </c>
      <c r="I968" s="162">
        <f t="shared" si="57"/>
        <v>0</v>
      </c>
    </row>
    <row r="969" spans="1:9" hidden="1">
      <c r="A969" s="151">
        <f t="shared" si="55"/>
        <v>1</v>
      </c>
      <c r="B969" s="151" t="s">
        <v>206</v>
      </c>
      <c r="C969" s="159">
        <v>329121014</v>
      </c>
      <c r="D969" s="160" t="s">
        <v>791</v>
      </c>
      <c r="E969" s="161">
        <f>SUMIF(Lanç!$C$3:$C$114,C969,Lanç!$F$3:$F$114)</f>
        <v>0</v>
      </c>
      <c r="F969" s="161">
        <f>SUMIF(Lanç!$C$115:$C$6504,C969,Lanç!$F$115:$F$6504)</f>
        <v>0</v>
      </c>
      <c r="G969" s="161">
        <f>SUMIF(Lanç!$C$115:$C$6504,C969,Lanç!$G$115:$G$6504)</f>
        <v>0</v>
      </c>
      <c r="H969" s="162">
        <f t="shared" si="56"/>
        <v>0</v>
      </c>
      <c r="I969" s="162">
        <f t="shared" si="57"/>
        <v>0</v>
      </c>
    </row>
    <row r="970" spans="1:9" hidden="1">
      <c r="A970" s="151">
        <f t="shared" si="55"/>
        <v>1</v>
      </c>
      <c r="B970" s="151" t="s">
        <v>206</v>
      </c>
      <c r="C970" s="159">
        <v>329121015</v>
      </c>
      <c r="D970" s="160" t="s">
        <v>634</v>
      </c>
      <c r="E970" s="161">
        <f>SUMIF(Lanç!$C$3:$C$114,C970,Lanç!$F$3:$F$114)</f>
        <v>0</v>
      </c>
      <c r="F970" s="161">
        <f>SUMIF(Lanç!$C$115:$C$6504,C970,Lanç!$F$115:$F$6504)</f>
        <v>0</v>
      </c>
      <c r="G970" s="161">
        <f>SUMIF(Lanç!$C$115:$C$6504,C970,Lanç!$G$115:$G$6504)</f>
        <v>0</v>
      </c>
      <c r="H970" s="162">
        <f t="shared" si="56"/>
        <v>0</v>
      </c>
      <c r="I970" s="162">
        <f t="shared" si="57"/>
        <v>0</v>
      </c>
    </row>
    <row r="971" spans="1:9" hidden="1">
      <c r="A971" s="151">
        <f t="shared" si="55"/>
        <v>1</v>
      </c>
      <c r="B971" s="151" t="s">
        <v>206</v>
      </c>
      <c r="C971" s="159">
        <v>329121016</v>
      </c>
      <c r="D971" s="160" t="s">
        <v>638</v>
      </c>
      <c r="E971" s="161">
        <f>SUMIF(Lanç!$C$3:$C$114,C971,Lanç!$F$3:$F$114)</f>
        <v>0</v>
      </c>
      <c r="F971" s="161">
        <f>SUMIF(Lanç!$C$115:$C$6504,C971,Lanç!$F$115:$F$6504)</f>
        <v>0</v>
      </c>
      <c r="G971" s="161">
        <f>SUMIF(Lanç!$C$115:$C$6504,C971,Lanç!$G$115:$G$6504)</f>
        <v>0</v>
      </c>
      <c r="H971" s="162">
        <f t="shared" si="56"/>
        <v>0</v>
      </c>
      <c r="I971" s="162">
        <f t="shared" si="57"/>
        <v>0</v>
      </c>
    </row>
    <row r="972" spans="1:9" hidden="1">
      <c r="A972" s="151">
        <f t="shared" si="55"/>
        <v>1</v>
      </c>
      <c r="B972" s="151" t="s">
        <v>206</v>
      </c>
      <c r="C972" s="159">
        <v>329121017</v>
      </c>
      <c r="D972" s="160" t="s">
        <v>792</v>
      </c>
      <c r="E972" s="161">
        <f>SUMIF(Lanç!$C$3:$C$114,C972,Lanç!$F$3:$F$114)</f>
        <v>0</v>
      </c>
      <c r="F972" s="161">
        <f>SUMIF(Lanç!$C$115:$C$6504,C972,Lanç!$F$115:$F$6504)</f>
        <v>0</v>
      </c>
      <c r="G972" s="161">
        <f>SUMIF(Lanç!$C$115:$C$6504,C972,Lanç!$G$115:$G$6504)</f>
        <v>0</v>
      </c>
      <c r="H972" s="162">
        <f t="shared" si="56"/>
        <v>0</v>
      </c>
      <c r="I972" s="162">
        <f t="shared" si="57"/>
        <v>0</v>
      </c>
    </row>
    <row r="973" spans="1:9" hidden="1">
      <c r="A973" s="151">
        <f t="shared" si="55"/>
        <v>1</v>
      </c>
      <c r="B973" s="151" t="s">
        <v>206</v>
      </c>
      <c r="C973" s="159">
        <v>329121018</v>
      </c>
      <c r="D973" s="160" t="s">
        <v>793</v>
      </c>
      <c r="E973" s="161">
        <f>SUMIF(Lanç!$C$3:$C$114,C973,Lanç!$F$3:$F$114)</f>
        <v>0</v>
      </c>
      <c r="F973" s="161">
        <f>SUMIF(Lanç!$C$115:$C$6504,C973,Lanç!$F$115:$F$6504)</f>
        <v>0</v>
      </c>
      <c r="G973" s="161">
        <f>SUMIF(Lanç!$C$115:$C$6504,C973,Lanç!$G$115:$G$6504)</f>
        <v>0</v>
      </c>
      <c r="H973" s="162">
        <f t="shared" si="56"/>
        <v>0</v>
      </c>
      <c r="I973" s="162">
        <f t="shared" si="57"/>
        <v>0</v>
      </c>
    </row>
    <row r="974" spans="1:9" hidden="1">
      <c r="A974" s="151">
        <f t="shared" si="55"/>
        <v>1</v>
      </c>
      <c r="B974" s="151" t="s">
        <v>206</v>
      </c>
      <c r="C974" s="159">
        <v>329121019</v>
      </c>
      <c r="D974" s="160" t="s">
        <v>794</v>
      </c>
      <c r="E974" s="161">
        <f>SUMIF(Lanç!$C$3:$C$114,C974,Lanç!$F$3:$F$114)</f>
        <v>0</v>
      </c>
      <c r="F974" s="161">
        <f>SUMIF(Lanç!$C$115:$C$6504,C974,Lanç!$F$115:$F$6504)</f>
        <v>0</v>
      </c>
      <c r="G974" s="161">
        <f>SUMIF(Lanç!$C$115:$C$6504,C974,Lanç!$G$115:$G$6504)</f>
        <v>0</v>
      </c>
      <c r="H974" s="162">
        <f t="shared" si="56"/>
        <v>0</v>
      </c>
      <c r="I974" s="162">
        <f t="shared" si="57"/>
        <v>0</v>
      </c>
    </row>
    <row r="975" spans="1:9" hidden="1">
      <c r="A975" s="151">
        <f t="shared" si="55"/>
        <v>1</v>
      </c>
      <c r="B975" s="151" t="s">
        <v>206</v>
      </c>
      <c r="C975" s="159">
        <v>329121020</v>
      </c>
      <c r="D975" s="160" t="s">
        <v>795</v>
      </c>
      <c r="E975" s="161">
        <f>SUMIF(Lanç!C3:C114,C975,Lanç!F3:F114)</f>
        <v>0</v>
      </c>
      <c r="F975" s="161">
        <f>SUMIF(Lanç!C115:C6504,C975,Lanç!F115:F6504)</f>
        <v>0</v>
      </c>
      <c r="G975" s="161">
        <f>SUMIF(Lanç!C115:C6504,C975,Lanç!G115:G6504)</f>
        <v>0</v>
      </c>
      <c r="H975" s="162">
        <f t="shared" si="56"/>
        <v>0</v>
      </c>
      <c r="I975" s="162">
        <f t="shared" si="57"/>
        <v>0</v>
      </c>
    </row>
    <row r="976" spans="1:9" hidden="1">
      <c r="A976" s="151">
        <f t="shared" si="55"/>
        <v>1</v>
      </c>
      <c r="B976" s="151" t="s">
        <v>206</v>
      </c>
      <c r="C976" s="159">
        <v>329121021</v>
      </c>
      <c r="D976" s="160" t="s">
        <v>796</v>
      </c>
      <c r="E976" s="161">
        <f>SUMIF(Lanç!$C$3:$C$114,C976,Lanç!$F$3:$F$114)</f>
        <v>0</v>
      </c>
      <c r="F976" s="161">
        <f>SUMIF(Lanç!$C$115:$C$6504,C976,Lanç!$F$115:$F$6504)</f>
        <v>0</v>
      </c>
      <c r="G976" s="161">
        <f>SUMIF(Lanç!$C$115:$C$6504,C976,Lanç!$G$115:$G$6504)</f>
        <v>0</v>
      </c>
      <c r="H976" s="162">
        <f t="shared" si="56"/>
        <v>0</v>
      </c>
      <c r="I976" s="162">
        <f t="shared" si="57"/>
        <v>0</v>
      </c>
    </row>
    <row r="977" spans="1:9" hidden="1">
      <c r="A977" s="151">
        <f t="shared" si="55"/>
        <v>1</v>
      </c>
      <c r="B977" s="151" t="s">
        <v>206</v>
      </c>
      <c r="C977" s="159">
        <v>329121022</v>
      </c>
      <c r="D977" s="160" t="s">
        <v>797</v>
      </c>
      <c r="E977" s="161">
        <f>SUMIF(Lanç!$C$3:$C$114,C977,Lanç!$F$3:$F$114)</f>
        <v>0</v>
      </c>
      <c r="F977" s="161">
        <f>SUMIF(Lanç!$C$115:$C$6504,C977,Lanç!$F$115:$F$6504)</f>
        <v>0</v>
      </c>
      <c r="G977" s="161">
        <f>SUMIF(Lanç!$C$115:$C$6504,C977,Lanç!$G$115:$G$6504)</f>
        <v>0</v>
      </c>
      <c r="H977" s="162">
        <f t="shared" si="56"/>
        <v>0</v>
      </c>
      <c r="I977" s="162">
        <f t="shared" si="57"/>
        <v>0</v>
      </c>
    </row>
    <row r="978" spans="1:9" hidden="1">
      <c r="A978" s="151">
        <f t="shared" si="55"/>
        <v>1</v>
      </c>
      <c r="B978" s="151" t="s">
        <v>206</v>
      </c>
      <c r="C978" s="159">
        <v>329121023</v>
      </c>
      <c r="D978" s="160" t="s">
        <v>798</v>
      </c>
      <c r="E978" s="161">
        <f>SUMIF(Lanç!$C$3:$C$114,C978,Lanç!$F$3:$F$114)</f>
        <v>0</v>
      </c>
      <c r="F978" s="161">
        <f>SUMIF(Lanç!$C$115:$C$6504,C978,Lanç!$F$115:$F$6504)</f>
        <v>0</v>
      </c>
      <c r="G978" s="161">
        <f>SUMIF(Lanç!$C$115:$C$6504,C978,Lanç!$G$115:$G$6504)</f>
        <v>0</v>
      </c>
      <c r="H978" s="162">
        <f t="shared" si="56"/>
        <v>0</v>
      </c>
      <c r="I978" s="162">
        <f t="shared" si="57"/>
        <v>0</v>
      </c>
    </row>
    <row r="979" spans="1:9" hidden="1">
      <c r="A979" s="151">
        <f t="shared" si="55"/>
        <v>1</v>
      </c>
      <c r="B979" s="151" t="s">
        <v>206</v>
      </c>
      <c r="C979" s="159">
        <v>329121024</v>
      </c>
      <c r="D979" s="160" t="s">
        <v>799</v>
      </c>
      <c r="E979" s="161">
        <f>SUMIF(Lanç!$C$3:$C$114,C979,Lanç!$F$3:$F$114)</f>
        <v>0</v>
      </c>
      <c r="F979" s="161">
        <f>SUMIF(Lanç!$C$115:$C$6504,C979,Lanç!$F$115:$F$6504)</f>
        <v>0</v>
      </c>
      <c r="G979" s="161">
        <f>SUMIF(Lanç!$C$115:$C$6504,C979,Lanç!$G$115:$G$6504)</f>
        <v>0</v>
      </c>
      <c r="H979" s="162">
        <f t="shared" si="56"/>
        <v>0</v>
      </c>
      <c r="I979" s="162">
        <f t="shared" si="57"/>
        <v>0</v>
      </c>
    </row>
    <row r="980" spans="1:9" hidden="1">
      <c r="A980" s="151">
        <f t="shared" si="55"/>
        <v>1</v>
      </c>
      <c r="B980" s="151" t="s">
        <v>206</v>
      </c>
      <c r="C980" s="159">
        <v>329121025</v>
      </c>
      <c r="D980" s="160" t="s">
        <v>800</v>
      </c>
      <c r="E980" s="161">
        <f>SUMIF(Lanç!$C$3:$C$114,C980,Lanç!$F$3:$F$114)</f>
        <v>0</v>
      </c>
      <c r="F980" s="161">
        <f>SUMIF(Lanç!$C$115:$C$6504,C980,Lanç!$F$115:$F$6504)</f>
        <v>0</v>
      </c>
      <c r="G980" s="161">
        <f>SUMIF(Lanç!$C$115:$C$6504,C980,Lanç!$G$115:$G$6504)</f>
        <v>0</v>
      </c>
      <c r="H980" s="162">
        <f t="shared" si="56"/>
        <v>0</v>
      </c>
      <c r="I980" s="162">
        <f t="shared" si="57"/>
        <v>0</v>
      </c>
    </row>
    <row r="981" spans="1:9" hidden="1">
      <c r="A981" s="151">
        <f t="shared" si="55"/>
        <v>1</v>
      </c>
      <c r="B981" s="151" t="s">
        <v>206</v>
      </c>
      <c r="C981" s="159">
        <v>329121026</v>
      </c>
      <c r="D981" s="160" t="s">
        <v>801</v>
      </c>
      <c r="E981" s="161">
        <f>SUMIF(Lanç!$C$3:$C$114,C981,Lanç!$F$3:$F$114)</f>
        <v>0</v>
      </c>
      <c r="F981" s="161">
        <f>SUMIF(Lanç!$C$115:$C$6504,C981,Lanç!$F$115:$F$6504)</f>
        <v>0</v>
      </c>
      <c r="G981" s="161">
        <f>SUMIF(Lanç!$C$115:$C$6504,C981,Lanç!$G$115:$G$6504)</f>
        <v>0</v>
      </c>
      <c r="H981" s="162">
        <f t="shared" si="56"/>
        <v>0</v>
      </c>
      <c r="I981" s="162">
        <f t="shared" si="57"/>
        <v>0</v>
      </c>
    </row>
    <row r="982" spans="1:9" hidden="1">
      <c r="A982" s="151">
        <f t="shared" si="55"/>
        <v>1</v>
      </c>
      <c r="B982" s="151" t="s">
        <v>206</v>
      </c>
      <c r="C982" s="159">
        <v>329121027</v>
      </c>
      <c r="D982" s="160" t="s">
        <v>802</v>
      </c>
      <c r="E982" s="161">
        <f>SUMIF(Lanç!$C$3:$C$114,C982,Lanç!$F$3:$F$114)</f>
        <v>0</v>
      </c>
      <c r="F982" s="161">
        <f>SUMIF(Lanç!$C$115:$C$6504,C982,Lanç!$F$115:$F$6504)</f>
        <v>0</v>
      </c>
      <c r="G982" s="161">
        <f>SUMIF(Lanç!$C$115:$C$6504,C982,Lanç!$G$115:$G$6504)</f>
        <v>0</v>
      </c>
      <c r="H982" s="162">
        <f t="shared" si="56"/>
        <v>0</v>
      </c>
      <c r="I982" s="162">
        <f t="shared" si="57"/>
        <v>0</v>
      </c>
    </row>
    <row r="983" spans="1:9" hidden="1">
      <c r="A983" s="151">
        <f t="shared" si="55"/>
        <v>1</v>
      </c>
      <c r="B983" s="151" t="s">
        <v>206</v>
      </c>
      <c r="C983" s="159">
        <v>329121028</v>
      </c>
      <c r="D983" s="160" t="s">
        <v>803</v>
      </c>
      <c r="E983" s="161">
        <f>SUMIF(Lanç!$C$3:$C$114,C983,Lanç!$F$3:$F$114)</f>
        <v>0</v>
      </c>
      <c r="F983" s="161">
        <f>SUMIF(Lanç!$C$115:$C$6504,C983,Lanç!$F$115:$F$6504)</f>
        <v>0</v>
      </c>
      <c r="G983" s="161">
        <f>SUMIF(Lanç!$C$115:$C$6504,C983,Lanç!$G$115:$G$6504)</f>
        <v>0</v>
      </c>
      <c r="H983" s="162">
        <f t="shared" si="56"/>
        <v>0</v>
      </c>
      <c r="I983" s="162">
        <f t="shared" si="57"/>
        <v>0</v>
      </c>
    </row>
    <row r="984" spans="1:9" hidden="1">
      <c r="A984" s="151">
        <f t="shared" si="55"/>
        <v>1</v>
      </c>
      <c r="B984" s="151" t="s">
        <v>206</v>
      </c>
      <c r="C984" s="159">
        <v>329121029</v>
      </c>
      <c r="D984" s="160" t="s">
        <v>804</v>
      </c>
      <c r="E984" s="161">
        <f>SUMIF(Lanç!$C$3:$C$114,C984,Lanç!$F$3:$F$114)</f>
        <v>0</v>
      </c>
      <c r="F984" s="161">
        <f>SUMIF(Lanç!$C$115:$C$6504,C984,Lanç!$F$115:$F$6504)</f>
        <v>0</v>
      </c>
      <c r="G984" s="161">
        <f>SUMIF(Lanç!$C$115:$C$6504,C984,Lanç!$G$115:$G$6504)</f>
        <v>0</v>
      </c>
      <c r="H984" s="162">
        <f t="shared" si="56"/>
        <v>0</v>
      </c>
      <c r="I984" s="162">
        <f t="shared" si="57"/>
        <v>0</v>
      </c>
    </row>
    <row r="985" spans="1:9" hidden="1">
      <c r="A985" s="151">
        <f t="shared" si="55"/>
        <v>1</v>
      </c>
      <c r="B985" s="151" t="s">
        <v>206</v>
      </c>
      <c r="C985" s="159">
        <v>329121030</v>
      </c>
      <c r="D985" s="160" t="s">
        <v>805</v>
      </c>
      <c r="E985" s="161">
        <f>SUMIF(Lanç!$C$3:$C$114,C985,Lanç!$F$3:$F$114)</f>
        <v>0</v>
      </c>
      <c r="F985" s="161">
        <f>SUMIF(Lanç!$C$115:$C$6504,C985,Lanç!$F$115:$F$6504)</f>
        <v>0</v>
      </c>
      <c r="G985" s="161">
        <f>SUMIF(Lanç!$C$115:$C$6504,C985,Lanç!$G$115:$G$6504)</f>
        <v>0</v>
      </c>
      <c r="H985" s="162">
        <f t="shared" si="56"/>
        <v>0</v>
      </c>
      <c r="I985" s="162">
        <f t="shared" si="57"/>
        <v>0</v>
      </c>
    </row>
    <row r="986" spans="1:9" hidden="1">
      <c r="A986" s="151">
        <f t="shared" si="55"/>
        <v>1</v>
      </c>
      <c r="B986" s="151" t="s">
        <v>206</v>
      </c>
      <c r="C986" s="159">
        <v>329121031</v>
      </c>
      <c r="D986" s="160" t="s">
        <v>806</v>
      </c>
      <c r="E986" s="161">
        <f>SUMIF(Lanç!$C$3:$C$114,C986,Lanç!$F$3:$F$114)</f>
        <v>0</v>
      </c>
      <c r="F986" s="161">
        <f>SUMIF(Lanç!$C$115:$C$6504,C986,Lanç!$F$115:$F$6504)</f>
        <v>0</v>
      </c>
      <c r="G986" s="161">
        <f>SUMIF(Lanç!$C$115:$C$6504,C986,Lanç!$G$115:$G$6504)</f>
        <v>0</v>
      </c>
      <c r="H986" s="162">
        <f t="shared" si="56"/>
        <v>0</v>
      </c>
      <c r="I986" s="162">
        <f t="shared" si="57"/>
        <v>0</v>
      </c>
    </row>
    <row r="987" spans="1:9" hidden="1">
      <c r="A987" s="151">
        <f t="shared" si="55"/>
        <v>1</v>
      </c>
      <c r="B987" s="151" t="s">
        <v>206</v>
      </c>
      <c r="C987" s="159">
        <v>329121032</v>
      </c>
      <c r="D987" s="160" t="s">
        <v>807</v>
      </c>
      <c r="E987" s="161">
        <f>SUMIF(Lanç!$C$3:$C$114,C987,Lanç!$F$3:$F$114)</f>
        <v>0</v>
      </c>
      <c r="F987" s="161">
        <f>SUMIF(Lanç!$C$115:$C$6504,C987,Lanç!$F$115:$F$6504)</f>
        <v>0</v>
      </c>
      <c r="G987" s="161">
        <f>SUMIF(Lanç!$C$115:$C$6504,C987,Lanç!$G$115:$G$6504)</f>
        <v>0</v>
      </c>
      <c r="H987" s="162">
        <f t="shared" si="56"/>
        <v>0</v>
      </c>
      <c r="I987" s="162">
        <f t="shared" si="57"/>
        <v>0</v>
      </c>
    </row>
    <row r="988" spans="1:9" hidden="1">
      <c r="A988" s="151">
        <f t="shared" si="55"/>
        <v>1</v>
      </c>
      <c r="B988" s="151" t="s">
        <v>206</v>
      </c>
      <c r="C988" s="159">
        <v>329121033</v>
      </c>
      <c r="D988" s="160" t="s">
        <v>808</v>
      </c>
      <c r="E988" s="161">
        <f>SUMIF(Lanç!C3:C114,C988,Lanç!F3:F114)</f>
        <v>0</v>
      </c>
      <c r="F988" s="161">
        <f>SUMIF(Lanç!C115:C6504,C988,Lanç!F115:F6504)</f>
        <v>0</v>
      </c>
      <c r="G988" s="161">
        <f>SUMIF(Lanç!C115:C6504,C988,Lanç!G115:G6504)</f>
        <v>0</v>
      </c>
      <c r="H988" s="162">
        <f t="shared" si="56"/>
        <v>0</v>
      </c>
      <c r="I988" s="162">
        <f t="shared" si="57"/>
        <v>0</v>
      </c>
    </row>
    <row r="989" spans="1:9" hidden="1">
      <c r="A989" s="151">
        <f t="shared" si="55"/>
        <v>1</v>
      </c>
      <c r="B989" s="151" t="s">
        <v>206</v>
      </c>
      <c r="C989" s="159">
        <v>329121034</v>
      </c>
      <c r="D989" s="160" t="s">
        <v>809</v>
      </c>
      <c r="E989" s="161">
        <f>SUMIF(Lanç!C3:C114,C989,Lanç!F3:F114)</f>
        <v>0</v>
      </c>
      <c r="F989" s="161">
        <f>SUMIF(Lanç!C115:C6504,C989,Lanç!F115:F6504)</f>
        <v>0</v>
      </c>
      <c r="G989" s="161">
        <f>SUMIF(Lanç!C115:C6504,C989,Lanç!G115:G6504)</f>
        <v>0</v>
      </c>
      <c r="H989" s="162">
        <f t="shared" si="56"/>
        <v>0</v>
      </c>
      <c r="I989" s="162">
        <f t="shared" si="57"/>
        <v>0</v>
      </c>
    </row>
    <row r="990" spans="1:9" hidden="1">
      <c r="A990" s="151">
        <f t="shared" si="55"/>
        <v>1</v>
      </c>
      <c r="B990" s="151" t="s">
        <v>206</v>
      </c>
      <c r="C990" s="159">
        <v>329121142</v>
      </c>
      <c r="D990" s="160" t="s">
        <v>733</v>
      </c>
      <c r="E990" s="161">
        <f>SUMIF(Lanç!$C$3:$C$114,C990,Lanç!$F$3:$F$114)</f>
        <v>0</v>
      </c>
      <c r="F990" s="161">
        <f>SUMIF(Lanç!$C$115:$C$6504,C990,Lanç!$F$115:$F$6504)</f>
        <v>0</v>
      </c>
      <c r="G990" s="161">
        <f>SUMIF(Lanç!$C$115:$C$6504,C990,Lanç!$G$115:$G$6504)</f>
        <v>0</v>
      </c>
      <c r="H990" s="162">
        <f t="shared" si="56"/>
        <v>0</v>
      </c>
      <c r="I990" s="162">
        <f t="shared" si="57"/>
        <v>0</v>
      </c>
    </row>
    <row r="991" spans="1:9" hidden="1">
      <c r="A991" s="151">
        <f t="shared" si="55"/>
        <v>1</v>
      </c>
      <c r="B991" s="151" t="s">
        <v>206</v>
      </c>
      <c r="C991" s="159">
        <v>329121143</v>
      </c>
      <c r="D991" s="160" t="s">
        <v>810</v>
      </c>
      <c r="E991" s="161">
        <f>SUMIF(Lanç!$C$3:$C$114,C991,Lanç!$F$3:$F$114)</f>
        <v>0</v>
      </c>
      <c r="F991" s="161">
        <f>SUMIF(Lanç!$C$115:$C$6504,C991,Lanç!$F$115:$F$6504)</f>
        <v>0</v>
      </c>
      <c r="G991" s="161">
        <f>SUMIF(Lanç!$C$115:$C$6504,C991,Lanç!$G$115:$G$6504)</f>
        <v>0</v>
      </c>
      <c r="H991" s="162">
        <f t="shared" si="56"/>
        <v>0</v>
      </c>
      <c r="I991" s="162">
        <f t="shared" si="57"/>
        <v>0</v>
      </c>
    </row>
    <row r="992" spans="1:9" hidden="1">
      <c r="A992" s="151">
        <f t="shared" si="55"/>
        <v>1</v>
      </c>
      <c r="B992" s="151" t="s">
        <v>206</v>
      </c>
      <c r="C992" s="159">
        <v>329121144</v>
      </c>
      <c r="D992" s="160" t="s">
        <v>734</v>
      </c>
      <c r="E992" s="161">
        <f>SUMIF(Lanç!$C$3:$C$114,C992,Lanç!$F$3:$F$114)</f>
        <v>0</v>
      </c>
      <c r="F992" s="161">
        <f>SUMIF(Lanç!$C$115:$C$6504,C992,Lanç!$F$115:$F$6504)</f>
        <v>0</v>
      </c>
      <c r="G992" s="161">
        <f>SUMIF(Lanç!$C$115:$C$6504,C992,Lanç!$G$115:$G$6504)</f>
        <v>0</v>
      </c>
      <c r="H992" s="162">
        <f t="shared" si="56"/>
        <v>0</v>
      </c>
      <c r="I992" s="162">
        <f t="shared" si="57"/>
        <v>0</v>
      </c>
    </row>
    <row r="993" spans="1:14">
      <c r="A993" s="151">
        <f t="shared" ref="A993:A998" si="58">IF(E993+F993+G993+H993+I993=0,1,0)</f>
        <v>0</v>
      </c>
      <c r="B993" s="151" t="s">
        <v>206</v>
      </c>
      <c r="C993" s="159">
        <v>329121145</v>
      </c>
      <c r="D993" s="160" t="s">
        <v>1811</v>
      </c>
      <c r="E993" s="161">
        <f>SUMIF(Lanç!$C$3:$C$114,C993,Lanç!$F$3:$F$114)</f>
        <v>1283297.25</v>
      </c>
      <c r="F993" s="161">
        <f>SUMIF(Lanç!$C$115:$C$6504,C993,Lanç!$F$115:$F$6504)</f>
        <v>0</v>
      </c>
      <c r="G993" s="161">
        <f>SUMIF(Lanç!$C$115:$C$6504,C993,Lanç!$G$115:$G$6504)</f>
        <v>0</v>
      </c>
      <c r="H993" s="162">
        <f>(F993)-(G993)</f>
        <v>0</v>
      </c>
      <c r="I993" s="162">
        <f>(E993)+(H993)</f>
        <v>1283297.25</v>
      </c>
    </row>
    <row r="994" spans="1:14">
      <c r="A994" s="151">
        <f t="shared" si="58"/>
        <v>0</v>
      </c>
      <c r="B994" s="151" t="s">
        <v>206</v>
      </c>
      <c r="C994" s="159">
        <v>329121146</v>
      </c>
      <c r="D994" s="160" t="s">
        <v>712</v>
      </c>
      <c r="E994" s="161">
        <f>SUMIF(Lanç!$C$3:$C$114,C994,Lanç!$F$3:$F$114)</f>
        <v>144984</v>
      </c>
      <c r="F994" s="161">
        <f>SUMIF(Lanç!$C$115:$C$6504,C994,Lanç!$F$115:$F$6504)</f>
        <v>0</v>
      </c>
      <c r="G994" s="161">
        <f>SUMIF(Lanç!$C$115:$C$6504,C994,Lanç!$G$115:$G$6504)</f>
        <v>0</v>
      </c>
      <c r="H994" s="162">
        <f>(F994)-(G994)</f>
        <v>0</v>
      </c>
      <c r="I994" s="162">
        <f>(E994)+(H994)</f>
        <v>144984</v>
      </c>
    </row>
    <row r="995" spans="1:14">
      <c r="A995" s="151">
        <f t="shared" si="58"/>
        <v>0</v>
      </c>
      <c r="B995" s="151" t="s">
        <v>206</v>
      </c>
      <c r="C995" s="159">
        <v>329121147</v>
      </c>
      <c r="D995" s="160" t="s">
        <v>760</v>
      </c>
      <c r="E995" s="161">
        <f>SUMIF(Lanç!$C$3:$C$114,C995,Lanç!$F$3:$F$114)</f>
        <v>150000</v>
      </c>
      <c r="F995" s="161">
        <f>SUMIF(Lanç!$C$115:$C$6504,C995,Lanç!$F$115:$F$6504)</f>
        <v>0</v>
      </c>
      <c r="G995" s="161">
        <f>SUMIF(Lanç!$C$115:$C$6504,C995,Lanç!$G$115:$G$6504)</f>
        <v>0</v>
      </c>
      <c r="H995" s="162">
        <f>(F995)-(G995)</f>
        <v>0</v>
      </c>
      <c r="I995" s="162">
        <f>(E995)+(H995)</f>
        <v>150000</v>
      </c>
    </row>
    <row r="996" spans="1:14">
      <c r="A996" s="151">
        <f t="shared" si="58"/>
        <v>0</v>
      </c>
      <c r="B996" s="151" t="s">
        <v>206</v>
      </c>
      <c r="C996" s="159">
        <v>329121148</v>
      </c>
      <c r="D996" s="160" t="s">
        <v>1722</v>
      </c>
      <c r="E996" s="161">
        <f>SUMIF(Lanç!$C$3:$C$114,C996,Lanç!$F$3:$F$114)</f>
        <v>400000</v>
      </c>
      <c r="F996" s="161">
        <f>SUMIF(Lanç!$C$115:$C$6504,C996,Lanç!$F$115:$F$6504)</f>
        <v>0</v>
      </c>
      <c r="G996" s="161">
        <f>SUMIF(Lanç!$C$115:$C$6504,C996,Lanç!$G$115:$G$6504)</f>
        <v>0</v>
      </c>
      <c r="H996" s="162">
        <f>(F996)-(G996)</f>
        <v>0</v>
      </c>
      <c r="I996" s="162">
        <f>(E996)+(H996)</f>
        <v>400000</v>
      </c>
    </row>
    <row r="997" spans="1:14">
      <c r="A997" s="151">
        <f t="shared" si="58"/>
        <v>0</v>
      </c>
      <c r="B997" s="151" t="s">
        <v>206</v>
      </c>
      <c r="C997" s="159">
        <v>329121149</v>
      </c>
      <c r="D997" s="160" t="s">
        <v>1812</v>
      </c>
      <c r="E997" s="161">
        <f>SUMIF(Lanç!$C$3:$C$114,C997,Lanç!$F$3:$F$114)</f>
        <v>38500</v>
      </c>
      <c r="F997" s="161">
        <f>SUMIF(Lanç!$C$115:$C$6504,C997,Lanç!$F$115:$F$6504)</f>
        <v>0</v>
      </c>
      <c r="G997" s="161">
        <f>SUMIF(Lanç!$C$115:$C$6504,C997,Lanç!$G$115:$G$6504)</f>
        <v>0</v>
      </c>
      <c r="H997" s="162">
        <f>(F997)-(G997)</f>
        <v>0</v>
      </c>
      <c r="I997" s="162">
        <f>(E997)+(H997)</f>
        <v>38500</v>
      </c>
    </row>
    <row r="998" spans="1:14" hidden="1">
      <c r="A998" s="151">
        <f t="shared" si="58"/>
        <v>1</v>
      </c>
      <c r="B998" s="151" t="s">
        <v>206</v>
      </c>
      <c r="C998" s="159">
        <v>329122</v>
      </c>
      <c r="D998" s="160" t="s">
        <v>427</v>
      </c>
      <c r="E998" s="161">
        <f>SUMIF(Lanç!$C$3:$C$114,C998,Lanç!$F$3:$F$114)</f>
        <v>0</v>
      </c>
      <c r="F998" s="161">
        <f>SUMIF(Lanç!$C$115:$C$6504,C998,Lanç!$F$115:$F$6504)</f>
        <v>0</v>
      </c>
      <c r="G998" s="161">
        <f>SUMIF(Lanç!$C$115:$C$6504,C998,Lanç!$G$115:$G$6504)</f>
        <v>0</v>
      </c>
      <c r="H998" s="162">
        <f t="shared" si="56"/>
        <v>0</v>
      </c>
      <c r="I998" s="162">
        <f t="shared" si="57"/>
        <v>0</v>
      </c>
    </row>
    <row r="999" spans="1:14" hidden="1">
      <c r="A999" s="151">
        <f t="shared" si="55"/>
        <v>1</v>
      </c>
      <c r="B999" s="155" t="s">
        <v>204</v>
      </c>
      <c r="C999" s="156">
        <v>3292</v>
      </c>
      <c r="D999" s="157" t="s">
        <v>596</v>
      </c>
      <c r="E999" s="158">
        <f>SUM(E1000)</f>
        <v>0</v>
      </c>
      <c r="F999" s="158">
        <f>SUM(F1000)</f>
        <v>0</v>
      </c>
      <c r="G999" s="158">
        <f>SUM(G1000)</f>
        <v>0</v>
      </c>
      <c r="H999" s="154">
        <f t="shared" si="56"/>
        <v>0</v>
      </c>
      <c r="I999" s="154">
        <f t="shared" si="57"/>
        <v>0</v>
      </c>
      <c r="J999" s="1"/>
      <c r="K999" s="1"/>
      <c r="L999" s="1"/>
      <c r="M999" s="1"/>
      <c r="N999" s="1"/>
    </row>
    <row r="1000" spans="1:14" hidden="1">
      <c r="A1000" s="151">
        <f t="shared" ref="A1000:A1063" si="59">IF(E1000+F1000+G1000+H1000+I1000=0,1,0)</f>
        <v>1</v>
      </c>
      <c r="B1000" s="155" t="s">
        <v>204</v>
      </c>
      <c r="C1000" s="156">
        <v>32922</v>
      </c>
      <c r="D1000" s="157" t="s">
        <v>429</v>
      </c>
      <c r="E1000" s="158">
        <f>SUM(E1001:E1002)</f>
        <v>0</v>
      </c>
      <c r="F1000" s="158">
        <f>SUM(F1001:F1002)</f>
        <v>0</v>
      </c>
      <c r="G1000" s="158">
        <f>SUM(G1001:G1002)</f>
        <v>0</v>
      </c>
      <c r="H1000" s="154">
        <f t="shared" ref="H1000:H1063" si="60">(F1000)-(G1000)</f>
        <v>0</v>
      </c>
      <c r="I1000" s="154">
        <f t="shared" ref="I1000:I1063" si="61">(E1000)+(H1000)</f>
        <v>0</v>
      </c>
    </row>
    <row r="1001" spans="1:14" hidden="1">
      <c r="A1001" s="151">
        <f t="shared" si="59"/>
        <v>1</v>
      </c>
      <c r="B1001" s="151" t="s">
        <v>206</v>
      </c>
      <c r="C1001" s="159">
        <v>329221</v>
      </c>
      <c r="D1001" s="160" t="s">
        <v>425</v>
      </c>
      <c r="E1001" s="161">
        <f>SUMIF(Lanç!$C$3:$C$114,C1001,Lanç!$F$3:$F$114)</f>
        <v>0</v>
      </c>
      <c r="F1001" s="161">
        <f>SUMIF(Lanç!$C$115:$C$6504,C1001,Lanç!$F$115:$F$6504)</f>
        <v>0</v>
      </c>
      <c r="G1001" s="161">
        <f>SUMIF(Lanç!$C$115:$C$6504,C1001,Lanç!$G$115:$G$6504)</f>
        <v>0</v>
      </c>
      <c r="H1001" s="162">
        <f t="shared" si="60"/>
        <v>0</v>
      </c>
      <c r="I1001" s="162">
        <f t="shared" si="61"/>
        <v>0</v>
      </c>
    </row>
    <row r="1002" spans="1:14" hidden="1">
      <c r="A1002" s="151">
        <f t="shared" si="59"/>
        <v>1</v>
      </c>
      <c r="B1002" s="151" t="s">
        <v>206</v>
      </c>
      <c r="C1002" s="159">
        <v>329222</v>
      </c>
      <c r="D1002" s="160" t="s">
        <v>427</v>
      </c>
      <c r="E1002" s="161">
        <f>SUMIF(Lanç!$C$3:$C$114,C1002,Lanç!$F$3:$F$114)</f>
        <v>0</v>
      </c>
      <c r="F1002" s="161">
        <f>SUMIF(Lanç!$C$115:$C$6504,C1002,Lanç!$F$115:$F$6504)</f>
        <v>0</v>
      </c>
      <c r="G1002" s="161">
        <f>SUMIF(Lanç!$C$115:$C$6504,C1002,Lanç!$G$115:$G$6504)</f>
        <v>0</v>
      </c>
      <c r="H1002" s="162">
        <f t="shared" si="60"/>
        <v>0</v>
      </c>
      <c r="I1002" s="162">
        <f t="shared" si="61"/>
        <v>0</v>
      </c>
    </row>
    <row r="1003" spans="1:14" hidden="1">
      <c r="A1003" s="151">
        <f t="shared" si="59"/>
        <v>1</v>
      </c>
      <c r="B1003" s="155" t="s">
        <v>204</v>
      </c>
      <c r="C1003" s="156">
        <v>3293</v>
      </c>
      <c r="D1003" s="157" t="s">
        <v>597</v>
      </c>
      <c r="E1003" s="158">
        <f>SUM(E1004)</f>
        <v>0</v>
      </c>
      <c r="F1003" s="158">
        <f>SUM(F1004)</f>
        <v>0</v>
      </c>
      <c r="G1003" s="158">
        <f>SUM(G1004)</f>
        <v>0</v>
      </c>
      <c r="H1003" s="154">
        <f t="shared" si="60"/>
        <v>0</v>
      </c>
      <c r="I1003" s="154">
        <f t="shared" si="61"/>
        <v>0</v>
      </c>
      <c r="J1003" s="1"/>
      <c r="K1003" s="1"/>
      <c r="L1003" s="1"/>
      <c r="M1003" s="1"/>
      <c r="N1003" s="1"/>
    </row>
    <row r="1004" spans="1:14" hidden="1">
      <c r="A1004" s="151">
        <f t="shared" si="59"/>
        <v>1</v>
      </c>
      <c r="B1004" s="155" t="s">
        <v>204</v>
      </c>
      <c r="C1004" s="156">
        <v>32932</v>
      </c>
      <c r="D1004" s="157" t="s">
        <v>429</v>
      </c>
      <c r="E1004" s="158">
        <f>SUM(E1005:E1006)</f>
        <v>0</v>
      </c>
      <c r="F1004" s="158">
        <f>SUM(F1005:F1006)</f>
        <v>0</v>
      </c>
      <c r="G1004" s="158">
        <f>SUM(G1005:G1006)</f>
        <v>0</v>
      </c>
      <c r="H1004" s="154">
        <f t="shared" si="60"/>
        <v>0</v>
      </c>
      <c r="I1004" s="154">
        <f t="shared" si="61"/>
        <v>0</v>
      </c>
    </row>
    <row r="1005" spans="1:14" hidden="1">
      <c r="A1005" s="151">
        <f t="shared" si="59"/>
        <v>1</v>
      </c>
      <c r="B1005" s="151" t="s">
        <v>206</v>
      </c>
      <c r="C1005" s="159">
        <v>329321</v>
      </c>
      <c r="D1005" s="160" t="s">
        <v>425</v>
      </c>
      <c r="E1005" s="161">
        <f>SUMIF(Lanç!$C$3:$C$114,C1005,Lanç!$F$3:$F$114)</f>
        <v>0</v>
      </c>
      <c r="F1005" s="161">
        <f>SUMIF(Lanç!$C$115:$C$6504,C1005,Lanç!$F$115:$F$6504)</f>
        <v>0</v>
      </c>
      <c r="G1005" s="161">
        <f>SUMIF(Lanç!$C$115:$C$6504,C1005,Lanç!$G$115:$G$6504)</f>
        <v>0</v>
      </c>
      <c r="H1005" s="162">
        <f t="shared" si="60"/>
        <v>0</v>
      </c>
      <c r="I1005" s="162">
        <f t="shared" si="61"/>
        <v>0</v>
      </c>
    </row>
    <row r="1006" spans="1:14" hidden="1">
      <c r="A1006" s="151">
        <f t="shared" si="59"/>
        <v>1</v>
      </c>
      <c r="B1006" s="151" t="s">
        <v>206</v>
      </c>
      <c r="C1006" s="159">
        <v>329322</v>
      </c>
      <c r="D1006" s="160" t="s">
        <v>427</v>
      </c>
      <c r="E1006" s="161">
        <f>SUMIF(Lanç!$C$3:$C$114,C1006,Lanç!$F$3:$F$114)</f>
        <v>0</v>
      </c>
      <c r="F1006" s="161">
        <f>SUMIF(Lanç!$C$115:$C$6504,C1006,Lanç!$F$115:$F$6504)</f>
        <v>0</v>
      </c>
      <c r="G1006" s="161">
        <f>SUMIF(Lanç!$C$115:$C$6504,C1006,Lanç!$G$115:$G$6504)</f>
        <v>0</v>
      </c>
      <c r="H1006" s="162">
        <f t="shared" si="60"/>
        <v>0</v>
      </c>
      <c r="I1006" s="162">
        <f t="shared" si="61"/>
        <v>0</v>
      </c>
    </row>
    <row r="1007" spans="1:14" hidden="1">
      <c r="A1007" s="151">
        <f t="shared" si="59"/>
        <v>1</v>
      </c>
      <c r="B1007" s="155" t="s">
        <v>202</v>
      </c>
      <c r="C1007" s="156">
        <v>33</v>
      </c>
      <c r="D1007" s="157" t="s">
        <v>811</v>
      </c>
      <c r="E1007" s="158">
        <f>SUM(E1008,E1019,E1026,E1029)</f>
        <v>0</v>
      </c>
      <c r="F1007" s="158">
        <f>SUM(F1008,F1019,F1026,F1029)</f>
        <v>0</v>
      </c>
      <c r="G1007" s="158">
        <f>SUM(G1008,G1019,G1026,G1029)</f>
        <v>0</v>
      </c>
      <c r="H1007" s="154">
        <f t="shared" si="60"/>
        <v>0</v>
      </c>
      <c r="I1007" s="154">
        <f t="shared" si="61"/>
        <v>0</v>
      </c>
      <c r="J1007" s="1"/>
      <c r="K1007" s="1"/>
      <c r="L1007" s="1"/>
      <c r="M1007" s="1"/>
      <c r="N1007" s="1"/>
    </row>
    <row r="1008" spans="1:14" hidden="1">
      <c r="A1008" s="151">
        <f t="shared" si="59"/>
        <v>1</v>
      </c>
      <c r="B1008" s="155" t="s">
        <v>204</v>
      </c>
      <c r="C1008" s="156">
        <v>331</v>
      </c>
      <c r="D1008" s="157" t="s">
        <v>812</v>
      </c>
      <c r="E1008" s="158">
        <f>SUM(E1009,E1014)</f>
        <v>0</v>
      </c>
      <c r="F1008" s="158">
        <f>SUM(F1009,F1014)</f>
        <v>0</v>
      </c>
      <c r="G1008" s="158">
        <f>SUM(G1009,G1014)</f>
        <v>0</v>
      </c>
      <c r="H1008" s="154">
        <f t="shared" si="60"/>
        <v>0</v>
      </c>
      <c r="I1008" s="154">
        <f t="shared" si="61"/>
        <v>0</v>
      </c>
    </row>
    <row r="1009" spans="1:14" hidden="1">
      <c r="A1009" s="151">
        <f t="shared" si="59"/>
        <v>1</v>
      </c>
      <c r="B1009" s="155" t="s">
        <v>204</v>
      </c>
      <c r="C1009" s="156">
        <v>3311</v>
      </c>
      <c r="D1009" s="157" t="s">
        <v>813</v>
      </c>
      <c r="E1009" s="158">
        <f>SUM(E1010,E1012)</f>
        <v>0</v>
      </c>
      <c r="F1009" s="158">
        <f>SUM(F1010,F1012)</f>
        <v>0</v>
      </c>
      <c r="G1009" s="158">
        <f>SUM(G1010,G1012)</f>
        <v>0</v>
      </c>
      <c r="H1009" s="154">
        <f t="shared" si="60"/>
        <v>0</v>
      </c>
      <c r="I1009" s="154">
        <f t="shared" si="61"/>
        <v>0</v>
      </c>
    </row>
    <row r="1010" spans="1:14" hidden="1">
      <c r="A1010" s="151">
        <f t="shared" si="59"/>
        <v>1</v>
      </c>
      <c r="B1010" s="155" t="s">
        <v>204</v>
      </c>
      <c r="C1010" s="156">
        <v>33111</v>
      </c>
      <c r="D1010" s="157" t="s">
        <v>814</v>
      </c>
      <c r="E1010" s="158">
        <f>SUM(E1011)</f>
        <v>0</v>
      </c>
      <c r="F1010" s="158">
        <f>SUM(F1011)</f>
        <v>0</v>
      </c>
      <c r="G1010" s="158">
        <f>SUM(G1011)</f>
        <v>0</v>
      </c>
      <c r="H1010" s="154">
        <f t="shared" si="60"/>
        <v>0</v>
      </c>
      <c r="I1010" s="154">
        <f t="shared" si="61"/>
        <v>0</v>
      </c>
    </row>
    <row r="1011" spans="1:14" hidden="1">
      <c r="A1011" s="151">
        <f t="shared" si="59"/>
        <v>1</v>
      </c>
      <c r="B1011" s="151" t="s">
        <v>206</v>
      </c>
      <c r="C1011" s="159">
        <v>3311101</v>
      </c>
      <c r="D1011" s="160" t="s">
        <v>815</v>
      </c>
      <c r="E1011" s="161">
        <f>SUMIF(Lanç!$C$3:$C$114,C1011,Lanç!$F$3:$F$114)</f>
        <v>0</v>
      </c>
      <c r="F1011" s="161">
        <f>SUMIF(Lanç!$C$115:$C$6504,C1011,Lanç!$F$115:$F$6504)</f>
        <v>0</v>
      </c>
      <c r="G1011" s="161">
        <f>SUMIF(Lanç!$C$115:$C$6504,C1011,Lanç!$G$115:$G$6504)</f>
        <v>0</v>
      </c>
      <c r="H1011" s="162">
        <f t="shared" si="60"/>
        <v>0</v>
      </c>
      <c r="I1011" s="162">
        <f t="shared" si="61"/>
        <v>0</v>
      </c>
    </row>
    <row r="1012" spans="1:14" hidden="1">
      <c r="A1012" s="151">
        <f t="shared" si="59"/>
        <v>1</v>
      </c>
      <c r="B1012" s="155" t="s">
        <v>204</v>
      </c>
      <c r="C1012" s="156">
        <v>33112</v>
      </c>
      <c r="D1012" s="157" t="s">
        <v>816</v>
      </c>
      <c r="E1012" s="158">
        <f>SUM(E1013)</f>
        <v>0</v>
      </c>
      <c r="F1012" s="158">
        <f>SUM(F1013)</f>
        <v>0</v>
      </c>
      <c r="G1012" s="158">
        <f>SUM(G1013)</f>
        <v>0</v>
      </c>
      <c r="H1012" s="154">
        <f t="shared" si="60"/>
        <v>0</v>
      </c>
      <c r="I1012" s="154">
        <f t="shared" si="61"/>
        <v>0</v>
      </c>
      <c r="J1012" s="1"/>
      <c r="K1012" s="1"/>
      <c r="L1012" s="1"/>
      <c r="M1012" s="1"/>
      <c r="N1012" s="1"/>
    </row>
    <row r="1013" spans="1:14" hidden="1">
      <c r="A1013" s="151">
        <f t="shared" si="59"/>
        <v>1</v>
      </c>
      <c r="B1013" s="151" t="s">
        <v>206</v>
      </c>
      <c r="C1013" s="159">
        <v>3311201</v>
      </c>
      <c r="D1013" s="160" t="s">
        <v>817</v>
      </c>
      <c r="E1013" s="161">
        <f>SUMIF(Lanç!$C$3:$C$114,C1013,Lanç!$F$3:$F$114)</f>
        <v>0</v>
      </c>
      <c r="F1013" s="161">
        <f>SUMIF(Lanç!$C$115:$C$6504,C1013,Lanç!$F$115:$F$6504)</f>
        <v>0</v>
      </c>
      <c r="G1013" s="161">
        <f>SUMIF(Lanç!$C$115:$C$6504,C1013,Lanç!$G$115:$G$6504)</f>
        <v>0</v>
      </c>
      <c r="H1013" s="162">
        <f t="shared" si="60"/>
        <v>0</v>
      </c>
      <c r="I1013" s="162">
        <f t="shared" si="61"/>
        <v>0</v>
      </c>
    </row>
    <row r="1014" spans="1:14" hidden="1">
      <c r="A1014" s="151">
        <f t="shared" si="59"/>
        <v>1</v>
      </c>
      <c r="B1014" s="155" t="s">
        <v>204</v>
      </c>
      <c r="C1014" s="156">
        <v>3312</v>
      </c>
      <c r="D1014" s="157" t="s">
        <v>818</v>
      </c>
      <c r="E1014" s="158">
        <f>SUM(E1015,E1017)</f>
        <v>0</v>
      </c>
      <c r="F1014" s="158">
        <f>SUM(F1015,F1017)</f>
        <v>0</v>
      </c>
      <c r="G1014" s="158">
        <f>SUM(G1015,G1017)</f>
        <v>0</v>
      </c>
      <c r="H1014" s="154">
        <f t="shared" si="60"/>
        <v>0</v>
      </c>
      <c r="I1014" s="154">
        <f t="shared" si="61"/>
        <v>0</v>
      </c>
      <c r="J1014" s="1"/>
      <c r="K1014" s="1"/>
      <c r="L1014" s="1"/>
      <c r="M1014" s="1"/>
      <c r="N1014" s="1"/>
    </row>
    <row r="1015" spans="1:14" hidden="1">
      <c r="A1015" s="151">
        <f t="shared" si="59"/>
        <v>1</v>
      </c>
      <c r="B1015" s="155" t="s">
        <v>204</v>
      </c>
      <c r="C1015" s="156">
        <v>33121</v>
      </c>
      <c r="D1015" s="157" t="s">
        <v>814</v>
      </c>
      <c r="E1015" s="158">
        <f>SUM(E1016:E1016)</f>
        <v>0</v>
      </c>
      <c r="F1015" s="158">
        <f>SUM(F1016:F1016)</f>
        <v>0</v>
      </c>
      <c r="G1015" s="158">
        <f>SUM(G1016:G1016)</f>
        <v>0</v>
      </c>
      <c r="H1015" s="154">
        <f t="shared" si="60"/>
        <v>0</v>
      </c>
      <c r="I1015" s="154">
        <f t="shared" si="61"/>
        <v>0</v>
      </c>
      <c r="J1015" s="1"/>
      <c r="K1015" s="1"/>
      <c r="L1015" s="1"/>
      <c r="M1015" s="1"/>
      <c r="N1015" s="1"/>
    </row>
    <row r="1016" spans="1:14" hidden="1">
      <c r="A1016" s="151">
        <f t="shared" si="59"/>
        <v>1</v>
      </c>
      <c r="B1016" s="151" t="s">
        <v>206</v>
      </c>
      <c r="C1016" s="159">
        <v>3312101</v>
      </c>
      <c r="D1016" s="160" t="s">
        <v>819</v>
      </c>
      <c r="E1016" s="161">
        <f>SUMIF(Lanç!$C$3:$C$114,C1016,Lanç!$F$3:$F$114)</f>
        <v>0</v>
      </c>
      <c r="F1016" s="161">
        <f>SUMIF(Lanç!$C$115:$C$6504,C1016,Lanç!$F$115:$F$6504)</f>
        <v>0</v>
      </c>
      <c r="G1016" s="161">
        <f>SUMIF(Lanç!$C$115:$C$6504,C1016,Lanç!$G$115:$G$6504)</f>
        <v>0</v>
      </c>
      <c r="H1016" s="162">
        <f t="shared" si="60"/>
        <v>0</v>
      </c>
      <c r="I1016" s="162">
        <f t="shared" si="61"/>
        <v>0</v>
      </c>
    </row>
    <row r="1017" spans="1:14" hidden="1">
      <c r="A1017" s="151">
        <f t="shared" si="59"/>
        <v>1</v>
      </c>
      <c r="B1017" s="155" t="s">
        <v>204</v>
      </c>
      <c r="C1017" s="156">
        <v>33122</v>
      </c>
      <c r="D1017" s="157" t="s">
        <v>816</v>
      </c>
      <c r="E1017" s="158">
        <f>SUM(E1018)</f>
        <v>0</v>
      </c>
      <c r="F1017" s="158">
        <f>SUM(F1018)</f>
        <v>0</v>
      </c>
      <c r="G1017" s="158">
        <f>SUM(G1018)</f>
        <v>0</v>
      </c>
      <c r="H1017" s="154">
        <f t="shared" si="60"/>
        <v>0</v>
      </c>
      <c r="I1017" s="154">
        <f t="shared" si="61"/>
        <v>0</v>
      </c>
      <c r="J1017" s="1"/>
      <c r="K1017" s="1"/>
      <c r="L1017" s="1"/>
      <c r="M1017" s="1"/>
      <c r="N1017" s="1"/>
    </row>
    <row r="1018" spans="1:14" hidden="1">
      <c r="A1018" s="151">
        <f t="shared" si="59"/>
        <v>1</v>
      </c>
      <c r="B1018" s="151" t="s">
        <v>206</v>
      </c>
      <c r="C1018" s="159">
        <v>3312201</v>
      </c>
      <c r="D1018" s="160" t="s">
        <v>820</v>
      </c>
      <c r="E1018" s="161">
        <f>SUMIF(Lanç!$C$3:$C$114,C1018,Lanç!$F$3:$F$114)</f>
        <v>0</v>
      </c>
      <c r="F1018" s="161">
        <f>SUMIF(Lanç!$C$115:$C$6504,C1018,Lanç!$F$115:$F$6504)</f>
        <v>0</v>
      </c>
      <c r="G1018" s="161">
        <f>SUMIF(Lanç!$C$115:$C$6504,C1018,Lanç!$G$115:$G$6504)</f>
        <v>0</v>
      </c>
      <c r="H1018" s="162">
        <f t="shared" si="60"/>
        <v>0</v>
      </c>
      <c r="I1018" s="162">
        <f t="shared" si="61"/>
        <v>0</v>
      </c>
    </row>
    <row r="1019" spans="1:14" hidden="1">
      <c r="A1019" s="151">
        <f t="shared" si="59"/>
        <v>1</v>
      </c>
      <c r="B1019" s="155" t="s">
        <v>204</v>
      </c>
      <c r="C1019" s="156">
        <v>332</v>
      </c>
      <c r="D1019" s="157" t="s">
        <v>821</v>
      </c>
      <c r="E1019" s="158">
        <f>SUM(E1020,E1023)</f>
        <v>0</v>
      </c>
      <c r="F1019" s="158">
        <f>SUM(F1020,F1023)</f>
        <v>0</v>
      </c>
      <c r="G1019" s="158">
        <f>SUM(G1020,G1023)</f>
        <v>0</v>
      </c>
      <c r="H1019" s="154">
        <f t="shared" si="60"/>
        <v>0</v>
      </c>
      <c r="I1019" s="154">
        <f t="shared" si="61"/>
        <v>0</v>
      </c>
      <c r="J1019" s="1"/>
      <c r="K1019" s="1"/>
      <c r="L1019" s="1"/>
      <c r="M1019" s="1"/>
      <c r="N1019" s="1"/>
    </row>
    <row r="1020" spans="1:14" hidden="1">
      <c r="A1020" s="151">
        <f t="shared" si="59"/>
        <v>1</v>
      </c>
      <c r="B1020" s="155" t="s">
        <v>204</v>
      </c>
      <c r="C1020" s="156">
        <v>3321</v>
      </c>
      <c r="D1020" s="157" t="s">
        <v>822</v>
      </c>
      <c r="E1020" s="158">
        <f>SUM(E1021:E1022)</f>
        <v>0</v>
      </c>
      <c r="F1020" s="158">
        <f>SUM(F1021:F1022)</f>
        <v>0</v>
      </c>
      <c r="G1020" s="158">
        <f>SUM(G1021:G1022)</f>
        <v>0</v>
      </c>
      <c r="H1020" s="154">
        <f t="shared" si="60"/>
        <v>0</v>
      </c>
      <c r="I1020" s="154">
        <f t="shared" si="61"/>
        <v>0</v>
      </c>
      <c r="J1020" s="1"/>
      <c r="K1020" s="1"/>
      <c r="L1020" s="1"/>
      <c r="M1020" s="1"/>
      <c r="N1020" s="1"/>
    </row>
    <row r="1021" spans="1:14" hidden="1">
      <c r="A1021" s="151">
        <f t="shared" si="59"/>
        <v>1</v>
      </c>
      <c r="B1021" s="151" t="s">
        <v>206</v>
      </c>
      <c r="C1021" s="159">
        <v>33211</v>
      </c>
      <c r="D1021" s="160" t="s">
        <v>823</v>
      </c>
      <c r="E1021" s="161">
        <f>SUMIF(Lanç!$C$3:$C$114,C1021,Lanç!$F$3:$F$114)</f>
        <v>0</v>
      </c>
      <c r="F1021" s="161">
        <f>SUMIF(Lanç!$C$115:$C$6504,C1021,Lanç!$F$115:$F$6504)</f>
        <v>0</v>
      </c>
      <c r="G1021" s="161">
        <f>SUMIF(Lanç!$C$115:$C$6504,C1021,Lanç!$G$115:$G$6504)</f>
        <v>0</v>
      </c>
      <c r="H1021" s="162">
        <f t="shared" si="60"/>
        <v>0</v>
      </c>
      <c r="I1021" s="162">
        <f t="shared" si="61"/>
        <v>0</v>
      </c>
    </row>
    <row r="1022" spans="1:14" hidden="1">
      <c r="A1022" s="151">
        <f t="shared" si="59"/>
        <v>1</v>
      </c>
      <c r="B1022" s="151" t="s">
        <v>206</v>
      </c>
      <c r="C1022" s="159">
        <v>33212</v>
      </c>
      <c r="D1022" s="160" t="s">
        <v>824</v>
      </c>
      <c r="E1022" s="161">
        <f>SUMIF(Lanç!$C$3:$C$114,C1022,Lanç!$F$3:$F$114)</f>
        <v>0</v>
      </c>
      <c r="F1022" s="161">
        <f>SUMIF(Lanç!$C$115:$C$6504,C1022,Lanç!$F$115:$F$6504)</f>
        <v>0</v>
      </c>
      <c r="G1022" s="161">
        <f>SUMIF(Lanç!$C$115:$C$6504,C1022,Lanç!$G$115:$G$6504)</f>
        <v>0</v>
      </c>
      <c r="H1022" s="162">
        <f t="shared" si="60"/>
        <v>0</v>
      </c>
      <c r="I1022" s="162">
        <f t="shared" si="61"/>
        <v>0</v>
      </c>
    </row>
    <row r="1023" spans="1:14" hidden="1">
      <c r="A1023" s="151">
        <f t="shared" si="59"/>
        <v>1</v>
      </c>
      <c r="B1023" s="155" t="s">
        <v>204</v>
      </c>
      <c r="C1023" s="156">
        <v>3322</v>
      </c>
      <c r="D1023" s="157" t="s">
        <v>825</v>
      </c>
      <c r="E1023" s="158">
        <f>SUM(E1024:E1025)</f>
        <v>0</v>
      </c>
      <c r="F1023" s="158">
        <f>SUM(F1024:F1025)</f>
        <v>0</v>
      </c>
      <c r="G1023" s="158">
        <f>SUM(G1024:G1025)</f>
        <v>0</v>
      </c>
      <c r="H1023" s="154">
        <f t="shared" si="60"/>
        <v>0</v>
      </c>
      <c r="I1023" s="154">
        <f t="shared" si="61"/>
        <v>0</v>
      </c>
      <c r="J1023" s="1"/>
      <c r="K1023" s="1"/>
      <c r="L1023" s="1"/>
      <c r="M1023" s="1"/>
      <c r="N1023" s="1"/>
    </row>
    <row r="1024" spans="1:14" hidden="1">
      <c r="A1024" s="151">
        <f t="shared" si="59"/>
        <v>1</v>
      </c>
      <c r="B1024" s="151" t="s">
        <v>206</v>
      </c>
      <c r="C1024" s="159">
        <v>33221</v>
      </c>
      <c r="D1024" s="160" t="s">
        <v>823</v>
      </c>
      <c r="E1024" s="161">
        <f>SUMIF(Lanç!$C$3:$C$114,C1024,Lanç!$F$3:$F$114)</f>
        <v>0</v>
      </c>
      <c r="F1024" s="161">
        <f>SUMIF(Lanç!$C$115:$C$6504,C1024,Lanç!$F$115:$F$6504)</f>
        <v>0</v>
      </c>
      <c r="G1024" s="161">
        <f>SUMIF(Lanç!$C$115:$C$6504,C1024,Lanç!$G$115:$G$6504)</f>
        <v>0</v>
      </c>
      <c r="H1024" s="162">
        <f t="shared" si="60"/>
        <v>0</v>
      </c>
      <c r="I1024" s="162">
        <f t="shared" si="61"/>
        <v>0</v>
      </c>
    </row>
    <row r="1025" spans="1:14" hidden="1">
      <c r="A1025" s="151">
        <f t="shared" si="59"/>
        <v>1</v>
      </c>
      <c r="B1025" s="151" t="s">
        <v>206</v>
      </c>
      <c r="C1025" s="159">
        <v>33222</v>
      </c>
      <c r="D1025" s="160" t="s">
        <v>824</v>
      </c>
      <c r="E1025" s="161">
        <f>SUMIF(Lanç!$C$3:$C$114,C1025,Lanç!$F$3:$F$114)</f>
        <v>0</v>
      </c>
      <c r="F1025" s="161">
        <f>SUMIF(Lanç!$C$115:$C$6504,C1025,Lanç!$F$115:$F$6504)</f>
        <v>0</v>
      </c>
      <c r="G1025" s="161">
        <f>SUMIF(Lanç!$C$115:$C$6504,C1025,Lanç!$G$115:$G$6504)</f>
        <v>0</v>
      </c>
      <c r="H1025" s="162">
        <f t="shared" si="60"/>
        <v>0</v>
      </c>
      <c r="I1025" s="162">
        <f t="shared" si="61"/>
        <v>0</v>
      </c>
    </row>
    <row r="1026" spans="1:14" hidden="1">
      <c r="A1026" s="151">
        <f t="shared" si="59"/>
        <v>1</v>
      </c>
      <c r="B1026" s="155" t="s">
        <v>204</v>
      </c>
      <c r="C1026" s="156">
        <v>333</v>
      </c>
      <c r="D1026" s="157" t="s">
        <v>826</v>
      </c>
      <c r="E1026" s="158">
        <f>SUM(E1027:E1028)</f>
        <v>0</v>
      </c>
      <c r="F1026" s="158">
        <f>SUM(F1027:F1028)</f>
        <v>0</v>
      </c>
      <c r="G1026" s="158">
        <f>SUM(G1027:G1028)</f>
        <v>0</v>
      </c>
      <c r="H1026" s="154">
        <f t="shared" si="60"/>
        <v>0</v>
      </c>
      <c r="I1026" s="154">
        <f t="shared" si="61"/>
        <v>0</v>
      </c>
      <c r="J1026" s="1"/>
      <c r="K1026" s="1"/>
      <c r="L1026" s="1"/>
      <c r="M1026" s="1"/>
      <c r="N1026" s="1"/>
    </row>
    <row r="1027" spans="1:14" hidden="1">
      <c r="A1027" s="151">
        <f t="shared" si="59"/>
        <v>1</v>
      </c>
      <c r="B1027" s="151" t="s">
        <v>206</v>
      </c>
      <c r="C1027" s="159">
        <v>3331</v>
      </c>
      <c r="D1027" s="160" t="s">
        <v>823</v>
      </c>
      <c r="E1027" s="161">
        <f>SUMIF(Lanç!$C$3:$C$114,C1027,Lanç!$F$3:$F$114)</f>
        <v>0</v>
      </c>
      <c r="F1027" s="161">
        <f>SUMIF(Lanç!$C$115:$C$6504,C1027,Lanç!$F$115:$F$6504)</f>
        <v>0</v>
      </c>
      <c r="G1027" s="161">
        <f>SUMIF(Lanç!$C$115:$C$6504,C1027,Lanç!$G$115:$G$6504)</f>
        <v>0</v>
      </c>
      <c r="H1027" s="162">
        <f t="shared" si="60"/>
        <v>0</v>
      </c>
      <c r="I1027" s="162">
        <f t="shared" si="61"/>
        <v>0</v>
      </c>
    </row>
    <row r="1028" spans="1:14" hidden="1">
      <c r="A1028" s="151">
        <f t="shared" si="59"/>
        <v>1</v>
      </c>
      <c r="B1028" s="151" t="s">
        <v>206</v>
      </c>
      <c r="C1028" s="159">
        <v>3332</v>
      </c>
      <c r="D1028" s="160" t="s">
        <v>824</v>
      </c>
      <c r="E1028" s="161">
        <f>SUMIF(Lanç!$C$3:$C$114,C1028,Lanç!$F$3:$F$114)</f>
        <v>0</v>
      </c>
      <c r="F1028" s="161">
        <f>SUMIF(Lanç!$C$115:$C$6504,C1028,Lanç!$F$115:$F$6504)</f>
        <v>0</v>
      </c>
      <c r="G1028" s="161">
        <f>SUMIF(Lanç!$C$115:$C$6504,C1028,Lanç!$G$115:$G$6504)</f>
        <v>0</v>
      </c>
      <c r="H1028" s="162">
        <f t="shared" si="60"/>
        <v>0</v>
      </c>
      <c r="I1028" s="162">
        <f t="shared" si="61"/>
        <v>0</v>
      </c>
    </row>
    <row r="1029" spans="1:14" hidden="1">
      <c r="A1029" s="151">
        <f t="shared" si="59"/>
        <v>1</v>
      </c>
      <c r="B1029" s="155" t="s">
        <v>204</v>
      </c>
      <c r="C1029" s="156">
        <v>339</v>
      </c>
      <c r="D1029" s="157" t="s">
        <v>827</v>
      </c>
      <c r="E1029" s="158">
        <f>SUM(E1030,E1033)</f>
        <v>0</v>
      </c>
      <c r="F1029" s="158">
        <f>SUM(F1030,F1033)</f>
        <v>0</v>
      </c>
      <c r="G1029" s="158">
        <f>SUM(G1030,G1033)</f>
        <v>0</v>
      </c>
      <c r="H1029" s="154">
        <f t="shared" si="60"/>
        <v>0</v>
      </c>
      <c r="I1029" s="154">
        <f t="shared" si="61"/>
        <v>0</v>
      </c>
      <c r="J1029" s="1"/>
      <c r="K1029" s="1"/>
      <c r="L1029" s="1"/>
      <c r="M1029" s="1"/>
      <c r="N1029" s="1"/>
    </row>
    <row r="1030" spans="1:14" hidden="1">
      <c r="A1030" s="151">
        <f t="shared" si="59"/>
        <v>1</v>
      </c>
      <c r="B1030" s="155" t="s">
        <v>204</v>
      </c>
      <c r="C1030" s="156">
        <v>3391</v>
      </c>
      <c r="D1030" s="157" t="s">
        <v>813</v>
      </c>
      <c r="E1030" s="158">
        <f>SUM(E1031:E1032)</f>
        <v>0</v>
      </c>
      <c r="F1030" s="158">
        <f>SUM(F1031:F1032)</f>
        <v>0</v>
      </c>
      <c r="G1030" s="158">
        <f>SUM(G1031:G1032)</f>
        <v>0</v>
      </c>
      <c r="H1030" s="154">
        <f t="shared" si="60"/>
        <v>0</v>
      </c>
      <c r="I1030" s="154">
        <f t="shared" si="61"/>
        <v>0</v>
      </c>
    </row>
    <row r="1031" spans="1:14" hidden="1">
      <c r="A1031" s="151">
        <f t="shared" si="59"/>
        <v>1</v>
      </c>
      <c r="B1031" s="151" t="s">
        <v>206</v>
      </c>
      <c r="C1031" s="159">
        <v>33911</v>
      </c>
      <c r="D1031" s="160" t="s">
        <v>823</v>
      </c>
      <c r="E1031" s="161">
        <f>SUMIF(Lanç!$C$3:$C$114,C1031,Lanç!$F$3:$F$114)</f>
        <v>0</v>
      </c>
      <c r="F1031" s="161">
        <f>SUMIF(Lanç!$C$115:$C$6504,C1031,Lanç!$F$115:$F$6504)</f>
        <v>0</v>
      </c>
      <c r="G1031" s="161">
        <f>SUMIF(Lanç!$C$115:$C$6504,C1031,Lanç!$G$115:$G$6504)</f>
        <v>0</v>
      </c>
      <c r="H1031" s="162">
        <f t="shared" si="60"/>
        <v>0</v>
      </c>
      <c r="I1031" s="162">
        <f t="shared" si="61"/>
        <v>0</v>
      </c>
    </row>
    <row r="1032" spans="1:14" hidden="1">
      <c r="A1032" s="151">
        <f t="shared" si="59"/>
        <v>1</v>
      </c>
      <c r="B1032" s="151" t="s">
        <v>206</v>
      </c>
      <c r="C1032" s="159">
        <v>33912</v>
      </c>
      <c r="D1032" s="160" t="s">
        <v>824</v>
      </c>
      <c r="E1032" s="161">
        <f>SUMIF(Lanç!$C$3:$C$114,C1032,Lanç!$F$3:$F$114)</f>
        <v>0</v>
      </c>
      <c r="F1032" s="161">
        <f>SUMIF(Lanç!$C$115:$C$6504,C1032,Lanç!$F$115:$F$6504)</f>
        <v>0</v>
      </c>
      <c r="G1032" s="161">
        <f>SUMIF(Lanç!$C$115:$C$6504,C1032,Lanç!$G$115:$G$6504)</f>
        <v>0</v>
      </c>
      <c r="H1032" s="162">
        <f t="shared" si="60"/>
        <v>0</v>
      </c>
      <c r="I1032" s="162">
        <f t="shared" si="61"/>
        <v>0</v>
      </c>
    </row>
    <row r="1033" spans="1:14" hidden="1">
      <c r="A1033" s="151">
        <f t="shared" si="59"/>
        <v>1</v>
      </c>
      <c r="B1033" s="155" t="s">
        <v>204</v>
      </c>
      <c r="C1033" s="156">
        <v>3392</v>
      </c>
      <c r="D1033" s="157" t="s">
        <v>818</v>
      </c>
      <c r="E1033" s="158">
        <f>SUM(E1034:E1035)</f>
        <v>0</v>
      </c>
      <c r="F1033" s="158">
        <f>SUM(F1034:F1035)</f>
        <v>0</v>
      </c>
      <c r="G1033" s="158">
        <f>SUM(G1034:G1035)</f>
        <v>0</v>
      </c>
      <c r="H1033" s="154">
        <f t="shared" si="60"/>
        <v>0</v>
      </c>
      <c r="I1033" s="154">
        <f t="shared" si="61"/>
        <v>0</v>
      </c>
      <c r="J1033" s="1"/>
      <c r="K1033" s="1"/>
      <c r="L1033" s="1"/>
      <c r="M1033" s="1"/>
      <c r="N1033" s="1"/>
    </row>
    <row r="1034" spans="1:14" hidden="1">
      <c r="A1034" s="151">
        <f t="shared" si="59"/>
        <v>1</v>
      </c>
      <c r="B1034" s="151" t="s">
        <v>206</v>
      </c>
      <c r="C1034" s="159">
        <v>33921</v>
      </c>
      <c r="D1034" s="160" t="s">
        <v>823</v>
      </c>
      <c r="E1034" s="161">
        <f>SUMIF(Lanç!$C$3:$C$114,C1034,Lanç!$F$3:$F$114)</f>
        <v>0</v>
      </c>
      <c r="F1034" s="161">
        <f>SUMIF(Lanç!$C$115:$C$6504,C1034,Lanç!$F$115:$F$6504)</f>
        <v>0</v>
      </c>
      <c r="G1034" s="161">
        <f>SUMIF(Lanç!$C$115:$C$6504,C1034,Lanç!$G$115:$G$6504)</f>
        <v>0</v>
      </c>
      <c r="H1034" s="162">
        <f t="shared" si="60"/>
        <v>0</v>
      </c>
      <c r="I1034" s="162">
        <f t="shared" si="61"/>
        <v>0</v>
      </c>
    </row>
    <row r="1035" spans="1:14" hidden="1">
      <c r="A1035" s="151">
        <f t="shared" si="59"/>
        <v>1</v>
      </c>
      <c r="B1035" s="151" t="s">
        <v>206</v>
      </c>
      <c r="C1035" s="159">
        <v>33922</v>
      </c>
      <c r="D1035" s="160" t="s">
        <v>824</v>
      </c>
      <c r="E1035" s="161">
        <f>SUMIF(Lanç!$C$3:$C$114,C1035,Lanç!$F$3:$F$114)</f>
        <v>0</v>
      </c>
      <c r="F1035" s="161">
        <f>SUMIF(Lanç!$C$115:$C$6504,C1035,Lanç!$F$115:$F$6504)</f>
        <v>0</v>
      </c>
      <c r="G1035" s="161">
        <f>SUMIF(Lanç!$C$115:$C$6504,C1035,Lanç!$G$115:$G$6504)</f>
        <v>0</v>
      </c>
      <c r="H1035" s="162">
        <f t="shared" si="60"/>
        <v>0</v>
      </c>
      <c r="I1035" s="162">
        <f t="shared" si="61"/>
        <v>0</v>
      </c>
    </row>
    <row r="1036" spans="1:14">
      <c r="A1036" s="151">
        <f t="shared" si="59"/>
        <v>0</v>
      </c>
      <c r="B1036" s="155" t="s">
        <v>202</v>
      </c>
      <c r="C1036" s="156">
        <v>34</v>
      </c>
      <c r="D1036" s="157" t="s">
        <v>828</v>
      </c>
      <c r="E1036" s="158">
        <f>SUM(E1037,E1047,E1063,E1066,E1068,E1070,E1073,E1079,E1081,E1084)</f>
        <v>17158226.170000002</v>
      </c>
      <c r="F1036" s="158">
        <f>SUM(F1037,F1047,F1063,F1066,F1068,F1070,F1073,F1079,F1081,F1084)</f>
        <v>23432255</v>
      </c>
      <c r="G1036" s="158">
        <f>SUM(G1037,G1047,G1063,G1066,G1068,G1070,G1073,G1079,G1081,G1084)</f>
        <v>56850553.699999996</v>
      </c>
      <c r="H1036" s="154">
        <f t="shared" si="60"/>
        <v>-33418298.699999996</v>
      </c>
      <c r="I1036" s="154">
        <f t="shared" si="61"/>
        <v>-16260072.529999994</v>
      </c>
      <c r="J1036" s="1"/>
      <c r="K1036" s="1"/>
      <c r="L1036" s="1"/>
      <c r="M1036" s="1"/>
      <c r="N1036" s="1"/>
    </row>
    <row r="1037" spans="1:14">
      <c r="A1037" s="151">
        <f t="shared" si="59"/>
        <v>0</v>
      </c>
      <c r="B1037" s="155" t="s">
        <v>204</v>
      </c>
      <c r="C1037" s="156">
        <v>341</v>
      </c>
      <c r="D1037" s="157" t="s">
        <v>829</v>
      </c>
      <c r="E1037" s="158">
        <f>SUM(E1038:E1040)</f>
        <v>6646477.5599999996</v>
      </c>
      <c r="F1037" s="158">
        <f>SUM(F1038:F1040)</f>
        <v>0</v>
      </c>
      <c r="G1037" s="158">
        <f>SUM(G1038:G1040)</f>
        <v>0</v>
      </c>
      <c r="H1037" s="154">
        <f t="shared" si="60"/>
        <v>0</v>
      </c>
      <c r="I1037" s="154">
        <f t="shared" si="61"/>
        <v>6646477.5599999996</v>
      </c>
    </row>
    <row r="1038" spans="1:14" hidden="1">
      <c r="A1038" s="151">
        <f t="shared" si="59"/>
        <v>1</v>
      </c>
      <c r="B1038" s="151" t="s">
        <v>206</v>
      </c>
      <c r="C1038" s="159">
        <v>3411</v>
      </c>
      <c r="D1038" s="160" t="s">
        <v>830</v>
      </c>
      <c r="E1038" s="161">
        <f>SUMIF(Lanç!C3:C114,C1038,Lanç!F3:F114)</f>
        <v>0</v>
      </c>
      <c r="F1038" s="161">
        <f>SUMIF(Lanç!C115:C6504,C1038,Lanç!F115:F6504)</f>
        <v>0</v>
      </c>
      <c r="G1038" s="161">
        <f>SUMIF(Lanç!C115:C6504,C1038,Lanç!G115:G6504)</f>
        <v>0</v>
      </c>
      <c r="H1038" s="162">
        <f t="shared" si="60"/>
        <v>0</v>
      </c>
      <c r="I1038" s="162">
        <f t="shared" si="61"/>
        <v>0</v>
      </c>
    </row>
    <row r="1039" spans="1:14">
      <c r="A1039" s="151">
        <f t="shared" si="59"/>
        <v>0</v>
      </c>
      <c r="B1039" s="151" t="s">
        <v>206</v>
      </c>
      <c r="C1039" s="159">
        <v>3412</v>
      </c>
      <c r="D1039" s="160" t="s">
        <v>831</v>
      </c>
      <c r="E1039" s="161">
        <f>SUMIF(Lanç!C3:C114,C1039,Lanç!F3:F114)</f>
        <v>2324548</v>
      </c>
      <c r="F1039" s="161">
        <f>SUMIF(Lanç!C115:C6504,C1039,Lanç!F115:F6504)</f>
        <v>0</v>
      </c>
      <c r="G1039" s="161">
        <f>SUMIF(Lanç!C115:C6504,C1039,Lanç!G115:G6504)</f>
        <v>0</v>
      </c>
      <c r="H1039" s="162">
        <f t="shared" si="60"/>
        <v>0</v>
      </c>
      <c r="I1039" s="162">
        <f t="shared" si="61"/>
        <v>2324548</v>
      </c>
    </row>
    <row r="1040" spans="1:14">
      <c r="A1040" s="151">
        <f t="shared" si="59"/>
        <v>0</v>
      </c>
      <c r="B1040" s="155" t="s">
        <v>204</v>
      </c>
      <c r="C1040" s="156">
        <v>3413</v>
      </c>
      <c r="D1040" s="157" t="s">
        <v>832</v>
      </c>
      <c r="E1040" s="158">
        <f>SUM(E1041:E1046)</f>
        <v>4321929.5599999996</v>
      </c>
      <c r="F1040" s="158">
        <f>SUM(F1041:F1046)</f>
        <v>0</v>
      </c>
      <c r="G1040" s="158">
        <f>SUM(G1041:G1046)</f>
        <v>0</v>
      </c>
      <c r="H1040" s="154">
        <f t="shared" si="60"/>
        <v>0</v>
      </c>
      <c r="I1040" s="154">
        <f t="shared" si="61"/>
        <v>4321929.5599999996</v>
      </c>
      <c r="J1040" s="1"/>
      <c r="K1040" s="1"/>
      <c r="L1040" s="1"/>
      <c r="M1040" s="1"/>
      <c r="N1040" s="1"/>
    </row>
    <row r="1041" spans="1:14" hidden="1">
      <c r="A1041" s="151">
        <f t="shared" si="59"/>
        <v>1</v>
      </c>
      <c r="B1041" s="151" t="s">
        <v>206</v>
      </c>
      <c r="C1041" s="159">
        <v>34131</v>
      </c>
      <c r="D1041" s="160" t="s">
        <v>833</v>
      </c>
      <c r="E1041" s="161">
        <f>SUMIF(Lanç!$C$3:$C$114,C1041,Lanç!$F$3:$F$114)</f>
        <v>0</v>
      </c>
      <c r="F1041" s="161">
        <f>SUMIF(Lanç!$C$115:$C$6504,C1041,Lanç!$F$115:$F$6504)</f>
        <v>0</v>
      </c>
      <c r="G1041" s="161">
        <f>SUMIF(Lanç!$C$115:$C$6504,C1041,Lanç!$G$115:$G$6504)</f>
        <v>0</v>
      </c>
      <c r="H1041" s="162">
        <f t="shared" si="60"/>
        <v>0</v>
      </c>
      <c r="I1041" s="162">
        <f t="shared" si="61"/>
        <v>0</v>
      </c>
    </row>
    <row r="1042" spans="1:14" hidden="1">
      <c r="A1042" s="151">
        <f t="shared" si="59"/>
        <v>1</v>
      </c>
      <c r="B1042" s="151" t="s">
        <v>206</v>
      </c>
      <c r="C1042" s="159">
        <v>34132</v>
      </c>
      <c r="D1042" s="160" t="s">
        <v>834</v>
      </c>
      <c r="E1042" s="161">
        <f>SUMIF(Lanç!C3:C114,C1042,Lanç!F3:F114)</f>
        <v>0</v>
      </c>
      <c r="F1042" s="161">
        <f>SUMIF(Lanç!C115:C6504,C1042,Lanç!F115:F6504)</f>
        <v>0</v>
      </c>
      <c r="G1042" s="161">
        <f>SUMIF(Lanç!C115:C6504,C1042,Lanç!G115:G6504)</f>
        <v>0</v>
      </c>
      <c r="H1042" s="162">
        <f t="shared" si="60"/>
        <v>0</v>
      </c>
      <c r="I1042" s="162">
        <f t="shared" si="61"/>
        <v>0</v>
      </c>
    </row>
    <row r="1043" spans="1:14" hidden="1">
      <c r="A1043" s="151">
        <f t="shared" si="59"/>
        <v>1</v>
      </c>
      <c r="B1043" s="151" t="s">
        <v>206</v>
      </c>
      <c r="C1043" s="159">
        <v>34133</v>
      </c>
      <c r="D1043" s="160" t="s">
        <v>835</v>
      </c>
      <c r="E1043" s="161">
        <f>SUMIF(Lanç!C3:C114,C1043,Lanç!F3:F114)</f>
        <v>0</v>
      </c>
      <c r="F1043" s="161">
        <f>SUMIF(Lanç!C115:C6504,C1043,Lanç!F115:F6504)</f>
        <v>0</v>
      </c>
      <c r="G1043" s="161">
        <f>SUMIF(Lanç!C115:C6504,C1043,Lanç!G115:G6504)</f>
        <v>0</v>
      </c>
      <c r="H1043" s="162">
        <f t="shared" si="60"/>
        <v>0</v>
      </c>
      <c r="I1043" s="162">
        <f t="shared" si="61"/>
        <v>0</v>
      </c>
    </row>
    <row r="1044" spans="1:14" hidden="1">
      <c r="A1044" s="151">
        <f t="shared" si="59"/>
        <v>1</v>
      </c>
      <c r="B1044" s="151" t="s">
        <v>206</v>
      </c>
      <c r="C1044" s="159">
        <v>3415</v>
      </c>
      <c r="D1044" s="160" t="s">
        <v>836</v>
      </c>
      <c r="E1044" s="161">
        <f>SUMIF(Lanç!$C$3:$C$114,C1044,Lanç!$F$3:$F$114)</f>
        <v>0</v>
      </c>
      <c r="F1044" s="161">
        <f>SUMIF(Lanç!$C$115:$C$6504,C1044,Lanç!$F$115:$F$6504)</f>
        <v>0</v>
      </c>
      <c r="G1044" s="161">
        <f>SUMIF(Lanç!$C$115:$C$6504,C1044,Lanç!$G$115:$G$6504)</f>
        <v>0</v>
      </c>
      <c r="H1044" s="162">
        <f t="shared" si="60"/>
        <v>0</v>
      </c>
      <c r="I1044" s="162">
        <f t="shared" si="61"/>
        <v>0</v>
      </c>
    </row>
    <row r="1045" spans="1:14" hidden="1">
      <c r="A1045" s="151">
        <f t="shared" si="59"/>
        <v>1</v>
      </c>
      <c r="B1045" s="151" t="s">
        <v>206</v>
      </c>
      <c r="C1045" s="159">
        <v>3416</v>
      </c>
      <c r="D1045" s="160" t="s">
        <v>837</v>
      </c>
      <c r="E1045" s="161">
        <f>SUMIF(Lanç!$C$3:$C$114,C1045,Lanç!$F$3:$F$114)</f>
        <v>0</v>
      </c>
      <c r="F1045" s="161">
        <f>SUMIF(Lanç!$C$115:$C$6504,C1045,Lanç!$F$115:$F$6504)</f>
        <v>0</v>
      </c>
      <c r="G1045" s="161">
        <f>SUMIF(Lanç!$C$115:$C$6504,C1045,Lanç!$G$115:$G$6504)</f>
        <v>0</v>
      </c>
      <c r="H1045" s="162">
        <f t="shared" si="60"/>
        <v>0</v>
      </c>
      <c r="I1045" s="162">
        <f t="shared" si="61"/>
        <v>0</v>
      </c>
    </row>
    <row r="1046" spans="1:14">
      <c r="A1046" s="151">
        <f t="shared" si="59"/>
        <v>0</v>
      </c>
      <c r="B1046" s="151" t="s">
        <v>206</v>
      </c>
      <c r="C1046" s="159">
        <v>3417</v>
      </c>
      <c r="D1046" s="160" t="s">
        <v>838</v>
      </c>
      <c r="E1046" s="161">
        <f>SUMIF(Lanç!$C$3:$C$114,C1046,Lanç!$F$3:$F$114)</f>
        <v>4321929.5599999996</v>
      </c>
      <c r="F1046" s="161">
        <f>SUMIF(Lanç!$C$115:$C$6504,C1046,Lanç!$F$115:$F$6504)</f>
        <v>0</v>
      </c>
      <c r="G1046" s="161">
        <f>SUMIF(Lanç!$C$115:$C$6504,C1046,Lanç!$G$115:$G$6504)</f>
        <v>0</v>
      </c>
      <c r="H1046" s="162">
        <f t="shared" si="60"/>
        <v>0</v>
      </c>
      <c r="I1046" s="162">
        <f t="shared" si="61"/>
        <v>4321929.5599999996</v>
      </c>
    </row>
    <row r="1047" spans="1:14" hidden="1">
      <c r="A1047" s="151">
        <f t="shared" si="59"/>
        <v>1</v>
      </c>
      <c r="B1047" s="155" t="s">
        <v>204</v>
      </c>
      <c r="C1047" s="156">
        <v>342</v>
      </c>
      <c r="D1047" s="157" t="s">
        <v>839</v>
      </c>
      <c r="E1047" s="158">
        <f>SUM(E1048)</f>
        <v>0</v>
      </c>
      <c r="F1047" s="158">
        <f>SUM(F1048)</f>
        <v>0</v>
      </c>
      <c r="G1047" s="158">
        <f>SUM(G1048)</f>
        <v>0</v>
      </c>
      <c r="H1047" s="154">
        <f t="shared" si="60"/>
        <v>0</v>
      </c>
      <c r="I1047" s="154">
        <f t="shared" si="61"/>
        <v>0</v>
      </c>
      <c r="J1047" s="1"/>
      <c r="K1047" s="1"/>
      <c r="L1047" s="1"/>
      <c r="M1047" s="1"/>
      <c r="N1047" s="1"/>
    </row>
    <row r="1048" spans="1:14" hidden="1">
      <c r="A1048" s="151">
        <f t="shared" si="59"/>
        <v>1</v>
      </c>
      <c r="B1048" s="155" t="s">
        <v>204</v>
      </c>
      <c r="C1048" s="156">
        <v>3421</v>
      </c>
      <c r="D1048" s="157" t="s">
        <v>839</v>
      </c>
      <c r="E1048" s="158">
        <f>SUM(E1049:E1062)</f>
        <v>0</v>
      </c>
      <c r="F1048" s="158">
        <f>SUM(F1049:F1062)</f>
        <v>0</v>
      </c>
      <c r="G1048" s="158">
        <f>SUM(G1049:G1062)</f>
        <v>0</v>
      </c>
      <c r="H1048" s="154">
        <f t="shared" si="60"/>
        <v>0</v>
      </c>
      <c r="I1048" s="154">
        <f t="shared" si="61"/>
        <v>0</v>
      </c>
      <c r="J1048" s="1"/>
      <c r="K1048" s="1"/>
      <c r="L1048" s="1"/>
      <c r="M1048" s="1"/>
      <c r="N1048" s="1"/>
    </row>
    <row r="1049" spans="1:14" hidden="1">
      <c r="A1049" s="151">
        <f t="shared" si="59"/>
        <v>1</v>
      </c>
      <c r="B1049" s="151" t="s">
        <v>206</v>
      </c>
      <c r="C1049" s="159">
        <v>34211</v>
      </c>
      <c r="D1049" s="160" t="s">
        <v>840</v>
      </c>
      <c r="E1049" s="161">
        <f>SUMIF(Lanç!$C$3:$C$114,C1049,Lanç!$F$3:$F$114)</f>
        <v>0</v>
      </c>
      <c r="F1049" s="161">
        <f>SUMIF(Lanç!$C$115:$C$6504,C1049,Lanç!$F$115:$F$6504)</f>
        <v>0</v>
      </c>
      <c r="G1049" s="161">
        <f>SUMIF(Lanç!$C$115:$C$6504,C1049,Lanç!$G$115:$G$6504)</f>
        <v>0</v>
      </c>
      <c r="H1049" s="162">
        <f t="shared" si="60"/>
        <v>0</v>
      </c>
      <c r="I1049" s="162">
        <f t="shared" si="61"/>
        <v>0</v>
      </c>
    </row>
    <row r="1050" spans="1:14" hidden="1">
      <c r="A1050" s="151">
        <f t="shared" si="59"/>
        <v>1</v>
      </c>
      <c r="B1050" s="151" t="s">
        <v>206</v>
      </c>
      <c r="C1050" s="159">
        <v>342121</v>
      </c>
      <c r="D1050" s="160" t="s">
        <v>841</v>
      </c>
      <c r="E1050" s="161">
        <f>SUMIF(Lanç!$C$3:$C$114,C1050,Lanç!$F$3:$F$114)</f>
        <v>0</v>
      </c>
      <c r="F1050" s="161">
        <f>SUMIF(Lanç!$C$115:$C$6504,C1050,Lanç!$F$115:$F$6504)</f>
        <v>0</v>
      </c>
      <c r="G1050" s="161">
        <f>SUMIF(Lanç!$C$115:$C$6504,C1050,Lanç!$G$115:$G$6504)</f>
        <v>0</v>
      </c>
      <c r="H1050" s="162">
        <f t="shared" si="60"/>
        <v>0</v>
      </c>
      <c r="I1050" s="162">
        <f t="shared" si="61"/>
        <v>0</v>
      </c>
    </row>
    <row r="1051" spans="1:14" hidden="1">
      <c r="A1051" s="151">
        <f t="shared" si="59"/>
        <v>1</v>
      </c>
      <c r="B1051" s="151" t="s">
        <v>206</v>
      </c>
      <c r="C1051" s="159">
        <v>342311</v>
      </c>
      <c r="D1051" s="160" t="s">
        <v>842</v>
      </c>
      <c r="E1051" s="161">
        <f>SUMIF(Lanç!$C$3:$C$114,C1051,Lanç!$F$3:$F$114)</f>
        <v>0</v>
      </c>
      <c r="F1051" s="161">
        <f>SUMIF(Lanç!$C$115:$C$6504,C1051,Lanç!$F$115:$F$6504)</f>
        <v>0</v>
      </c>
      <c r="G1051" s="161">
        <f>SUMIF(Lanç!$C$115:$C$6504,C1051,Lanç!$G$115:$G$6504)</f>
        <v>0</v>
      </c>
      <c r="H1051" s="162">
        <f t="shared" si="60"/>
        <v>0</v>
      </c>
      <c r="I1051" s="162">
        <f t="shared" si="61"/>
        <v>0</v>
      </c>
    </row>
    <row r="1052" spans="1:14" hidden="1">
      <c r="A1052" s="151">
        <f t="shared" si="59"/>
        <v>1</v>
      </c>
      <c r="B1052" s="151" t="s">
        <v>206</v>
      </c>
      <c r="C1052" s="159">
        <v>342312</v>
      </c>
      <c r="D1052" s="160" t="s">
        <v>843</v>
      </c>
      <c r="E1052" s="161">
        <f>SUMIF(Lanç!$C$3:$C$114,C1052,Lanç!$F$3:$F$114)</f>
        <v>0</v>
      </c>
      <c r="F1052" s="161">
        <f>SUMIF(Lanç!$C$115:$C$6504,C1052,Lanç!$F$115:$F$6504)</f>
        <v>0</v>
      </c>
      <c r="G1052" s="161">
        <f>SUMIF(Lanç!$C$115:$C$6504,C1052,Lanç!$G$115:$G$6504)</f>
        <v>0</v>
      </c>
      <c r="H1052" s="162">
        <f t="shared" si="60"/>
        <v>0</v>
      </c>
      <c r="I1052" s="162">
        <f t="shared" si="61"/>
        <v>0</v>
      </c>
    </row>
    <row r="1053" spans="1:14" hidden="1">
      <c r="A1053" s="151">
        <f t="shared" si="59"/>
        <v>1</v>
      </c>
      <c r="B1053" s="151" t="s">
        <v>206</v>
      </c>
      <c r="C1053" s="159">
        <v>342313</v>
      </c>
      <c r="D1053" s="160" t="s">
        <v>844</v>
      </c>
      <c r="E1053" s="161">
        <f>SUMIF(Lanç!$C$3:$C$114,C1053,Lanç!$F$3:$F$114)</f>
        <v>0</v>
      </c>
      <c r="F1053" s="161">
        <f>SUMIF(Lanç!$C$115:$C$6504,C1053,Lanç!$F$115:$F$6504)</f>
        <v>0</v>
      </c>
      <c r="G1053" s="161">
        <f>SUMIF(Lanç!$C$115:$C$6504,C1053,Lanç!$G$115:$G$6504)</f>
        <v>0</v>
      </c>
      <c r="H1053" s="162">
        <f t="shared" si="60"/>
        <v>0</v>
      </c>
      <c r="I1053" s="162">
        <f t="shared" si="61"/>
        <v>0</v>
      </c>
    </row>
    <row r="1054" spans="1:14" hidden="1">
      <c r="A1054" s="151">
        <f t="shared" si="59"/>
        <v>1</v>
      </c>
      <c r="B1054" s="151" t="s">
        <v>206</v>
      </c>
      <c r="C1054" s="159">
        <v>342314</v>
      </c>
      <c r="D1054" s="160" t="s">
        <v>845</v>
      </c>
      <c r="E1054" s="161">
        <f>SUMIF(Lanç!$C$3:$C$114,C1054,Lanç!$F$3:$F$114)</f>
        <v>0</v>
      </c>
      <c r="F1054" s="161">
        <f>SUMIF(Lanç!$C$115:$C$6504,C1054,Lanç!$F$115:$F$6504)</f>
        <v>0</v>
      </c>
      <c r="G1054" s="161">
        <f>SUMIF(Lanç!$C$115:$C$6504,C1054,Lanç!$G$115:$G$6504)</f>
        <v>0</v>
      </c>
      <c r="H1054" s="162">
        <f t="shared" si="60"/>
        <v>0</v>
      </c>
      <c r="I1054" s="162">
        <f t="shared" si="61"/>
        <v>0</v>
      </c>
    </row>
    <row r="1055" spans="1:14" hidden="1">
      <c r="A1055" s="151">
        <f t="shared" si="59"/>
        <v>1</v>
      </c>
      <c r="B1055" s="151" t="s">
        <v>206</v>
      </c>
      <c r="C1055" s="159">
        <v>342321</v>
      </c>
      <c r="D1055" s="160" t="s">
        <v>841</v>
      </c>
      <c r="E1055" s="161">
        <f>SUMIF(Lanç!$C$3:$C$114,C1055,Lanç!$F$3:$F$114)</f>
        <v>0</v>
      </c>
      <c r="F1055" s="161">
        <f>SUMIF(Lanç!$C$115:$C$6504,C1055,Lanç!$F$115:$F$6504)</f>
        <v>0</v>
      </c>
      <c r="G1055" s="161">
        <f>SUMIF(Lanç!$C$115:$C$6504,C1055,Lanç!$G$115:$G$6504)</f>
        <v>0</v>
      </c>
      <c r="H1055" s="162">
        <f t="shared" si="60"/>
        <v>0</v>
      </c>
      <c r="I1055" s="162">
        <f t="shared" si="61"/>
        <v>0</v>
      </c>
    </row>
    <row r="1056" spans="1:14" hidden="1">
      <c r="A1056" s="151">
        <f t="shared" si="59"/>
        <v>1</v>
      </c>
      <c r="B1056" s="151" t="s">
        <v>206</v>
      </c>
      <c r="C1056" s="159">
        <v>342322</v>
      </c>
      <c r="D1056" s="160" t="s">
        <v>846</v>
      </c>
      <c r="E1056" s="161">
        <f>SUMIF(Lanç!$C$3:$C$114,C1056,Lanç!$F$3:$F$114)</f>
        <v>0</v>
      </c>
      <c r="F1056" s="161">
        <f>SUMIF(Lanç!$C$115:$C$6504,C1056,Lanç!$F$115:$F$6504)</f>
        <v>0</v>
      </c>
      <c r="G1056" s="161">
        <f>SUMIF(Lanç!$C$115:$C$6504,C1056,Lanç!$G$115:$G$6504)</f>
        <v>0</v>
      </c>
      <c r="H1056" s="162">
        <f t="shared" si="60"/>
        <v>0</v>
      </c>
      <c r="I1056" s="162">
        <f t="shared" si="61"/>
        <v>0</v>
      </c>
    </row>
    <row r="1057" spans="1:14" hidden="1">
      <c r="A1057" s="151">
        <f t="shared" si="59"/>
        <v>1</v>
      </c>
      <c r="B1057" s="151" t="s">
        <v>206</v>
      </c>
      <c r="C1057" s="159">
        <v>3424111</v>
      </c>
      <c r="D1057" s="160" t="s">
        <v>847</v>
      </c>
      <c r="E1057" s="161">
        <f>SUMIF(Lanç!$C$3:$C$114,C1057,Lanç!$F$3:$F$114)</f>
        <v>0</v>
      </c>
      <c r="F1057" s="161">
        <f>SUMIF(Lanç!$C$115:$C$6504,C1057,Lanç!$F$115:$F$6504)</f>
        <v>0</v>
      </c>
      <c r="G1057" s="161">
        <f>SUMIF(Lanç!$C$115:$C$6504,C1057,Lanç!$G$115:$G$6504)</f>
        <v>0</v>
      </c>
      <c r="H1057" s="162">
        <f t="shared" si="60"/>
        <v>0</v>
      </c>
      <c r="I1057" s="162">
        <f t="shared" si="61"/>
        <v>0</v>
      </c>
    </row>
    <row r="1058" spans="1:14" hidden="1">
      <c r="A1058" s="151">
        <f t="shared" si="59"/>
        <v>1</v>
      </c>
      <c r="B1058" s="151" t="s">
        <v>206</v>
      </c>
      <c r="C1058" s="159">
        <v>3424112</v>
      </c>
      <c r="D1058" s="160" t="s">
        <v>848</v>
      </c>
      <c r="E1058" s="161">
        <f>SUMIF(Lanç!$C$3:$C$114,C1058,Lanç!$F$3:$F$114)</f>
        <v>0</v>
      </c>
      <c r="F1058" s="161">
        <f>SUMIF(Lanç!$C$115:$C$6504,C1058,Lanç!$F$115:$F$6504)</f>
        <v>0</v>
      </c>
      <c r="G1058" s="161">
        <f>SUMIF(Lanç!$C$115:$C$6504,C1058,Lanç!$G$115:$G$6504)</f>
        <v>0</v>
      </c>
      <c r="H1058" s="162">
        <f t="shared" si="60"/>
        <v>0</v>
      </c>
      <c r="I1058" s="162">
        <f t="shared" si="61"/>
        <v>0</v>
      </c>
    </row>
    <row r="1059" spans="1:14" hidden="1">
      <c r="A1059" s="151">
        <f t="shared" si="59"/>
        <v>1</v>
      </c>
      <c r="B1059" s="151" t="s">
        <v>206</v>
      </c>
      <c r="C1059" s="159">
        <v>3424113</v>
      </c>
      <c r="D1059" s="160" t="s">
        <v>849</v>
      </c>
      <c r="E1059" s="161">
        <f>SUMIF(Lanç!$C$3:$C$114,C1059,Lanç!$F$3:$F$114)</f>
        <v>0</v>
      </c>
      <c r="F1059" s="161">
        <f>SUMIF(Lanç!$C$115:$C$6504,C1059,Lanç!$F$115:$F$6504)</f>
        <v>0</v>
      </c>
      <c r="G1059" s="161">
        <f>SUMIF(Lanç!$C$115:$C$6504,C1059,Lanç!$G$115:$G$6504)</f>
        <v>0</v>
      </c>
      <c r="H1059" s="162">
        <f t="shared" si="60"/>
        <v>0</v>
      </c>
      <c r="I1059" s="162">
        <f t="shared" si="61"/>
        <v>0</v>
      </c>
    </row>
    <row r="1060" spans="1:14" hidden="1">
      <c r="A1060" s="151">
        <f t="shared" si="59"/>
        <v>1</v>
      </c>
      <c r="B1060" s="151" t="s">
        <v>206</v>
      </c>
      <c r="C1060" s="159">
        <v>3424114</v>
      </c>
      <c r="D1060" s="160" t="s">
        <v>850</v>
      </c>
      <c r="E1060" s="161">
        <f>SUMIF(Lanç!$C$3:$C$114,C1060,Lanç!$F$3:$F$114)</f>
        <v>0</v>
      </c>
      <c r="F1060" s="161">
        <f>SUMIF(Lanç!$C$115:$C$6504,C1060,Lanç!$F$115:$F$6504)</f>
        <v>0</v>
      </c>
      <c r="G1060" s="161">
        <f>SUMIF(Lanç!$C$115:$C$6504,C1060,Lanç!$G$115:$G$6504)</f>
        <v>0</v>
      </c>
      <c r="H1060" s="162">
        <f t="shared" si="60"/>
        <v>0</v>
      </c>
      <c r="I1060" s="162">
        <f t="shared" si="61"/>
        <v>0</v>
      </c>
    </row>
    <row r="1061" spans="1:14" hidden="1">
      <c r="A1061" s="151">
        <f t="shared" si="59"/>
        <v>1</v>
      </c>
      <c r="B1061" s="151" t="s">
        <v>206</v>
      </c>
      <c r="C1061" s="159">
        <v>342421</v>
      </c>
      <c r="D1061" s="160" t="s">
        <v>851</v>
      </c>
      <c r="E1061" s="161">
        <f>SUMIF(Lanç!$C$3:$C$114,C1061,Lanç!$F$3:$F$114)</f>
        <v>0</v>
      </c>
      <c r="F1061" s="161">
        <f>SUMIF(Lanç!$C$115:$C$6504,C1061,Lanç!$F$115:$F$6504)</f>
        <v>0</v>
      </c>
      <c r="G1061" s="161">
        <f>SUMIF(Lanç!$C$115:$C$6504,C1061,Lanç!$G$115:$G$6504)</f>
        <v>0</v>
      </c>
      <c r="H1061" s="162">
        <f t="shared" si="60"/>
        <v>0</v>
      </c>
      <c r="I1061" s="162">
        <f t="shared" si="61"/>
        <v>0</v>
      </c>
    </row>
    <row r="1062" spans="1:14" hidden="1">
      <c r="A1062" s="151">
        <f t="shared" si="59"/>
        <v>1</v>
      </c>
      <c r="B1062" s="151" t="s">
        <v>206</v>
      </c>
      <c r="C1062" s="159">
        <v>342422</v>
      </c>
      <c r="D1062" s="160" t="s">
        <v>852</v>
      </c>
      <c r="E1062" s="161">
        <f>SUMIF(Lanç!$C$3:$C$114,C1062,Lanç!$F$3:$F$114)</f>
        <v>0</v>
      </c>
      <c r="F1062" s="161">
        <f>SUMIF(Lanç!$C$115:$C$6504,C1062,Lanç!$F$115:$F$6504)</f>
        <v>0</v>
      </c>
      <c r="G1062" s="161">
        <f>SUMIF(Lanç!$C$115:$C$6504,C1062,Lanç!$G$115:$G$6504)</f>
        <v>0</v>
      </c>
      <c r="H1062" s="162">
        <f t="shared" si="60"/>
        <v>0</v>
      </c>
      <c r="I1062" s="162">
        <f t="shared" si="61"/>
        <v>0</v>
      </c>
    </row>
    <row r="1063" spans="1:14">
      <c r="A1063" s="151">
        <f t="shared" si="59"/>
        <v>0</v>
      </c>
      <c r="B1063" s="155" t="s">
        <v>204</v>
      </c>
      <c r="C1063" s="156">
        <v>343</v>
      </c>
      <c r="D1063" s="157" t="s">
        <v>853</v>
      </c>
      <c r="E1063" s="158">
        <f>SUM(E1064:E1065)</f>
        <v>-606349.72</v>
      </c>
      <c r="F1063" s="158">
        <f>SUM(F1064:F1065)</f>
        <v>1587468</v>
      </c>
      <c r="G1063" s="158">
        <f>SUM(G1064:G1065)</f>
        <v>0</v>
      </c>
      <c r="H1063" s="154">
        <f t="shared" si="60"/>
        <v>1587468</v>
      </c>
      <c r="I1063" s="154">
        <f t="shared" si="61"/>
        <v>981118.28</v>
      </c>
      <c r="J1063" s="1"/>
      <c r="K1063" s="1"/>
      <c r="L1063" s="1"/>
      <c r="M1063" s="1"/>
      <c r="N1063" s="1"/>
    </row>
    <row r="1064" spans="1:14">
      <c r="A1064" s="151">
        <f t="shared" ref="A1064:A1178" si="62">IF(E1064+F1064+G1064+H1064+I1064=0,1,0)</f>
        <v>0</v>
      </c>
      <c r="B1064" s="151" t="s">
        <v>206</v>
      </c>
      <c r="C1064" s="159">
        <v>3431</v>
      </c>
      <c r="D1064" s="160" t="s">
        <v>854</v>
      </c>
      <c r="E1064" s="161">
        <f>SUMIF(Lanç!C3:C114,C1064,Lanç!F3:F114)</f>
        <v>-438097</v>
      </c>
      <c r="F1064" s="161">
        <f>SUMIF(Lanç!C115:C6504,C1064,Lanç!F115:F6504)</f>
        <v>1587468</v>
      </c>
      <c r="G1064" s="161">
        <f>SUMIF(Lanç!C115:C6504,C1064,Lanç!G115:G6504)</f>
        <v>0</v>
      </c>
      <c r="H1064" s="162">
        <f t="shared" ref="H1064:H1178" si="63">(F1064)-(G1064)</f>
        <v>1587468</v>
      </c>
      <c r="I1064" s="162">
        <f t="shared" ref="I1064:I1178" si="64">(E1064)+(H1064)</f>
        <v>1149371</v>
      </c>
    </row>
    <row r="1065" spans="1:14">
      <c r="A1065" s="151">
        <f t="shared" si="62"/>
        <v>0</v>
      </c>
      <c r="B1065" s="151" t="s">
        <v>206</v>
      </c>
      <c r="C1065" s="159">
        <v>3432</v>
      </c>
      <c r="D1065" s="160" t="s">
        <v>855</v>
      </c>
      <c r="E1065" s="161">
        <f>SUMIF(Lanç!$C$3:$C$114,C1065,Lanç!$F$3:$F$114)</f>
        <v>-168252.72</v>
      </c>
      <c r="F1065" s="161">
        <f>SUMIF(Lanç!$C$115:$C$6504,C1065,Lanç!$F$115:$F$6504)</f>
        <v>0</v>
      </c>
      <c r="G1065" s="161">
        <f>SUMIF(Lanç!$C$115:$C$6504,C1065,Lanç!$G$115:$G$6504)</f>
        <v>0</v>
      </c>
      <c r="H1065" s="162">
        <f t="shared" si="63"/>
        <v>0</v>
      </c>
      <c r="I1065" s="162">
        <f t="shared" si="64"/>
        <v>-168252.72</v>
      </c>
    </row>
    <row r="1066" spans="1:14" hidden="1">
      <c r="A1066" s="151">
        <f t="shared" si="62"/>
        <v>1</v>
      </c>
      <c r="B1066" s="155" t="s">
        <v>204</v>
      </c>
      <c r="C1066" s="156">
        <v>344</v>
      </c>
      <c r="D1066" s="157" t="s">
        <v>856</v>
      </c>
      <c r="E1066" s="158">
        <f>SUM(E1067)</f>
        <v>0</v>
      </c>
      <c r="F1066" s="158">
        <f>SUM(F1067)</f>
        <v>0</v>
      </c>
      <c r="G1066" s="158">
        <f>SUM(G1067)</f>
        <v>0</v>
      </c>
      <c r="H1066" s="154">
        <f t="shared" si="63"/>
        <v>0</v>
      </c>
      <c r="I1066" s="154">
        <f t="shared" si="64"/>
        <v>0</v>
      </c>
      <c r="J1066" s="1"/>
      <c r="K1066" s="1"/>
      <c r="L1066" s="1"/>
      <c r="M1066" s="1"/>
      <c r="N1066" s="1"/>
    </row>
    <row r="1067" spans="1:14" hidden="1">
      <c r="A1067" s="151">
        <f t="shared" si="62"/>
        <v>1</v>
      </c>
      <c r="B1067" s="151" t="s">
        <v>206</v>
      </c>
      <c r="C1067" s="159">
        <v>3441</v>
      </c>
      <c r="D1067" s="160" t="s">
        <v>856</v>
      </c>
      <c r="E1067" s="161">
        <f>SUMIF(Lanç!$C$3:$C$114,C1067,Lanç!$F$3:$F$114)</f>
        <v>0</v>
      </c>
      <c r="F1067" s="161">
        <f>SUMIF(Lanç!$C$115:$C$6504,C1067,Lanç!$F$115:$F$6504)</f>
        <v>0</v>
      </c>
      <c r="G1067" s="161">
        <f>SUMIF(Lanç!$C$115:$C$6504,C1067,Lanç!$G$115:$G$6504)</f>
        <v>0</v>
      </c>
      <c r="H1067" s="162">
        <f t="shared" si="63"/>
        <v>0</v>
      </c>
      <c r="I1067" s="162">
        <f t="shared" si="64"/>
        <v>0</v>
      </c>
    </row>
    <row r="1068" spans="1:14">
      <c r="A1068" s="151">
        <f t="shared" si="62"/>
        <v>0</v>
      </c>
      <c r="B1068" s="155" t="s">
        <v>204</v>
      </c>
      <c r="C1068" s="156">
        <v>346</v>
      </c>
      <c r="D1068" s="157" t="s">
        <v>857</v>
      </c>
      <c r="E1068" s="158">
        <f>SUM(E1069:E1069)</f>
        <v>-124556.34</v>
      </c>
      <c r="F1068" s="158">
        <f>SUM(F1069:F1069)</f>
        <v>0</v>
      </c>
      <c r="G1068" s="158">
        <f>SUM(G1069:G1069)</f>
        <v>0</v>
      </c>
      <c r="H1068" s="163">
        <f t="shared" si="63"/>
        <v>0</v>
      </c>
      <c r="I1068" s="163">
        <f t="shared" si="64"/>
        <v>-124556.34</v>
      </c>
    </row>
    <row r="1069" spans="1:14">
      <c r="A1069" s="151">
        <f t="shared" si="62"/>
        <v>0</v>
      </c>
      <c r="B1069" s="151" t="s">
        <v>206</v>
      </c>
      <c r="C1069" s="159">
        <v>3461</v>
      </c>
      <c r="D1069" s="160" t="s">
        <v>858</v>
      </c>
      <c r="E1069" s="161">
        <f>SUMIF(Lanç!C3:C114,C1069,Lanç!F3:F114)</f>
        <v>-124556.34</v>
      </c>
      <c r="F1069" s="161">
        <f>SUMIF(Lanç!C115:C6504,C1069,Lanç!F115:F6504)</f>
        <v>0</v>
      </c>
      <c r="G1069" s="161">
        <f>SUMIF(Lanç!C115:C6504,C1069,Lanç!G115:G6504)</f>
        <v>0</v>
      </c>
      <c r="H1069" s="162">
        <f t="shared" si="63"/>
        <v>0</v>
      </c>
      <c r="I1069" s="162">
        <f t="shared" si="64"/>
        <v>-124556.34</v>
      </c>
    </row>
    <row r="1070" spans="1:14">
      <c r="A1070" s="151">
        <f t="shared" si="62"/>
        <v>0</v>
      </c>
      <c r="B1070" s="155" t="s">
        <v>204</v>
      </c>
      <c r="C1070" s="156">
        <v>347</v>
      </c>
      <c r="D1070" s="157" t="s">
        <v>859</v>
      </c>
      <c r="E1070" s="158">
        <f>SUM(E1071:E1072)</f>
        <v>149300.53</v>
      </c>
      <c r="F1070" s="158">
        <f>SUM(F1071:F1072)</f>
        <v>0</v>
      </c>
      <c r="G1070" s="158">
        <f>SUM(G1071:G1072)</f>
        <v>0</v>
      </c>
      <c r="H1070" s="154">
        <f t="shared" si="63"/>
        <v>0</v>
      </c>
      <c r="I1070" s="154">
        <f t="shared" si="64"/>
        <v>149300.53</v>
      </c>
      <c r="J1070" s="1"/>
      <c r="K1070" s="1"/>
      <c r="L1070" s="1"/>
      <c r="M1070" s="1"/>
      <c r="N1070" s="1"/>
    </row>
    <row r="1071" spans="1:14">
      <c r="A1071" s="151">
        <f t="shared" si="62"/>
        <v>0</v>
      </c>
      <c r="B1071" s="155" t="s">
        <v>206</v>
      </c>
      <c r="C1071" s="159">
        <v>3471</v>
      </c>
      <c r="D1071" s="160" t="s">
        <v>860</v>
      </c>
      <c r="E1071" s="161">
        <f>SUMIF(Lanç!C3:C114,C1071,Lanç!F3:F114)</f>
        <v>149300.53</v>
      </c>
      <c r="F1071" s="161">
        <f>SUMIF(Lanç!C115:C6504,C1071,Lanç!F115:F6504)</f>
        <v>0</v>
      </c>
      <c r="G1071" s="161">
        <f>SUMIF(Lanç!C115:C6504,C1071,Lanç!G115:G6504)</f>
        <v>0</v>
      </c>
      <c r="H1071" s="162">
        <f t="shared" si="63"/>
        <v>0</v>
      </c>
      <c r="I1071" s="162">
        <f t="shared" si="64"/>
        <v>149300.53</v>
      </c>
      <c r="J1071" s="1"/>
      <c r="K1071" s="1"/>
      <c r="L1071" s="1"/>
      <c r="M1071" s="1"/>
      <c r="N1071" s="1"/>
    </row>
    <row r="1072" spans="1:14" hidden="1">
      <c r="A1072" s="151">
        <f t="shared" si="62"/>
        <v>1</v>
      </c>
      <c r="B1072" s="155" t="s">
        <v>206</v>
      </c>
      <c r="C1072" s="159">
        <v>3472</v>
      </c>
      <c r="D1072" s="160" t="s">
        <v>861</v>
      </c>
      <c r="E1072" s="161">
        <f>SUMIF(Lanç!$C$3:$C$114,C1072,Lanç!$F$3:$F$114)</f>
        <v>0</v>
      </c>
      <c r="F1072" s="161">
        <f>SUMIF(Lanç!$C$115:$C$6504,C1072,Lanç!$F$115:$F$6504)</f>
        <v>0</v>
      </c>
      <c r="G1072" s="161">
        <f>SUMIF(Lanç!$C$115:$C$6504,C1072,Lanç!$G$115:$G$6504)</f>
        <v>0</v>
      </c>
      <c r="H1072" s="162">
        <f t="shared" si="63"/>
        <v>0</v>
      </c>
      <c r="I1072" s="162">
        <f t="shared" si="64"/>
        <v>0</v>
      </c>
      <c r="J1072" s="1"/>
      <c r="K1072" s="1"/>
      <c r="L1072" s="1"/>
      <c r="M1072" s="1"/>
      <c r="N1072" s="1"/>
    </row>
    <row r="1073" spans="1:14">
      <c r="A1073" s="151">
        <f t="shared" si="62"/>
        <v>0</v>
      </c>
      <c r="B1073" s="155" t="s">
        <v>204</v>
      </c>
      <c r="C1073" s="156">
        <v>3473</v>
      </c>
      <c r="D1073" s="157" t="s">
        <v>862</v>
      </c>
      <c r="E1073" s="158">
        <f>SUM(E1074,E1076)</f>
        <v>324044.79000000015</v>
      </c>
      <c r="F1073" s="158">
        <f>SUM(F1074,F1076)</f>
        <v>0</v>
      </c>
      <c r="G1073" s="158">
        <f>SUM(G1074,G1076)</f>
        <v>0</v>
      </c>
      <c r="H1073" s="154">
        <f t="shared" si="63"/>
        <v>0</v>
      </c>
      <c r="I1073" s="154">
        <f t="shared" si="64"/>
        <v>324044.79000000015</v>
      </c>
    </row>
    <row r="1074" spans="1:14" hidden="1">
      <c r="A1074" s="151">
        <f t="shared" si="62"/>
        <v>1</v>
      </c>
      <c r="B1074" s="155" t="s">
        <v>863</v>
      </c>
      <c r="C1074" s="156">
        <v>3473109</v>
      </c>
      <c r="D1074" s="157" t="s">
        <v>864</v>
      </c>
      <c r="E1074" s="158">
        <f>SUM(E1075)</f>
        <v>0</v>
      </c>
      <c r="F1074" s="158">
        <f>SUM(F1075)</f>
        <v>0</v>
      </c>
      <c r="G1074" s="158">
        <f>SUM(G1075)</f>
        <v>0</v>
      </c>
      <c r="H1074" s="154">
        <f t="shared" si="63"/>
        <v>0</v>
      </c>
      <c r="I1074" s="154">
        <f t="shared" si="64"/>
        <v>0</v>
      </c>
    </row>
    <row r="1075" spans="1:14" hidden="1">
      <c r="A1075" s="151">
        <f t="shared" si="62"/>
        <v>1</v>
      </c>
      <c r="B1075" s="151" t="s">
        <v>206</v>
      </c>
      <c r="C1075" s="159">
        <v>34731091</v>
      </c>
      <c r="D1075" s="160" t="s">
        <v>865</v>
      </c>
      <c r="E1075" s="161">
        <f>SUMIF(Lanç!$C$3:$C$114,C1075,Lanç!$F$3:$F$114)</f>
        <v>0</v>
      </c>
      <c r="F1075" s="161">
        <f>SUMIF(Lanç!$C$115:$C$6504,C1075,Lanç!$F$115:$F$6504)</f>
        <v>0</v>
      </c>
      <c r="G1075" s="161">
        <f>SUMIF(Lanç!$C$115:$C$6504,C1075,Lanç!$G$115:$G$6504)</f>
        <v>0</v>
      </c>
      <c r="H1075" s="162">
        <f t="shared" si="63"/>
        <v>0</v>
      </c>
      <c r="I1075" s="162">
        <f t="shared" si="64"/>
        <v>0</v>
      </c>
    </row>
    <row r="1076" spans="1:14">
      <c r="A1076" s="151">
        <f t="shared" si="62"/>
        <v>0</v>
      </c>
      <c r="B1076" s="155" t="s">
        <v>204</v>
      </c>
      <c r="C1076" s="156">
        <v>3473133</v>
      </c>
      <c r="D1076" s="157" t="s">
        <v>866</v>
      </c>
      <c r="E1076" s="158">
        <f>SUM(E1077:E1078)</f>
        <v>324044.79000000015</v>
      </c>
      <c r="F1076" s="158">
        <f>SUM(F1077:F1078)</f>
        <v>0</v>
      </c>
      <c r="G1076" s="158">
        <f>SUM(G1077:G1078)</f>
        <v>0</v>
      </c>
      <c r="H1076" s="154">
        <f t="shared" si="63"/>
        <v>0</v>
      </c>
      <c r="I1076" s="154">
        <f t="shared" si="64"/>
        <v>324044.79000000015</v>
      </c>
      <c r="J1076" s="1"/>
      <c r="K1076" s="1"/>
      <c r="L1076" s="1"/>
      <c r="M1076" s="1"/>
      <c r="N1076" s="1"/>
    </row>
    <row r="1077" spans="1:14" hidden="1">
      <c r="A1077" s="151">
        <f t="shared" si="62"/>
        <v>1</v>
      </c>
      <c r="B1077" s="151" t="s">
        <v>206</v>
      </c>
      <c r="C1077" s="159">
        <v>34731333</v>
      </c>
      <c r="D1077" s="160" t="s">
        <v>867</v>
      </c>
      <c r="E1077" s="161">
        <f>SUMIF(Lanç!$C$3:$C$114,C1077,Lanç!$F$3:$F$114)</f>
        <v>0</v>
      </c>
      <c r="F1077" s="161">
        <f>SUMIF(Lanç!$C$115:$C$6504,C1077,Lanç!$F$115:$F$6504)</f>
        <v>0</v>
      </c>
      <c r="G1077" s="161">
        <f>SUMIF(Lanç!$C$115:$C$6504,C1077,Lanç!$G$115:$G$6504)</f>
        <v>0</v>
      </c>
      <c r="H1077" s="162">
        <f t="shared" si="63"/>
        <v>0</v>
      </c>
      <c r="I1077" s="162">
        <f t="shared" si="64"/>
        <v>0</v>
      </c>
    </row>
    <row r="1078" spans="1:14">
      <c r="A1078" s="151">
        <f t="shared" si="62"/>
        <v>0</v>
      </c>
      <c r="B1078" s="151" t="s">
        <v>206</v>
      </c>
      <c r="C1078" s="159">
        <v>34731334</v>
      </c>
      <c r="D1078" s="160" t="s">
        <v>868</v>
      </c>
      <c r="E1078" s="161">
        <f>SUMIF(Lanç!$C$3:$C$114,C1078,Lanç!$F$3:$F$114)</f>
        <v>324044.79000000015</v>
      </c>
      <c r="F1078" s="161">
        <f>SUMIF(Lanç!$C$115:$C$6504,C1078,Lanç!$F$115:$F$6504)</f>
        <v>0</v>
      </c>
      <c r="G1078" s="161">
        <f>SUMIF(Lanç!$C$115:$C$6504,C1078,Lanç!$G$115:$G$6504)</f>
        <v>0</v>
      </c>
      <c r="H1078" s="162">
        <f t="shared" si="63"/>
        <v>0</v>
      </c>
      <c r="I1078" s="162">
        <f t="shared" si="64"/>
        <v>324044.79000000015</v>
      </c>
    </row>
    <row r="1079" spans="1:14" hidden="1">
      <c r="A1079" s="151">
        <f t="shared" si="62"/>
        <v>1</v>
      </c>
      <c r="B1079" s="155" t="s">
        <v>204</v>
      </c>
      <c r="C1079" s="156">
        <v>348</v>
      </c>
      <c r="D1079" s="157" t="s">
        <v>869</v>
      </c>
      <c r="E1079" s="158">
        <f>SUM(E1080)</f>
        <v>0</v>
      </c>
      <c r="F1079" s="158">
        <f>SUM(F1080)</f>
        <v>0</v>
      </c>
      <c r="G1079" s="158">
        <f>SUM(G1080)</f>
        <v>0</v>
      </c>
      <c r="H1079" s="154">
        <f t="shared" si="63"/>
        <v>0</v>
      </c>
      <c r="I1079" s="154">
        <f t="shared" si="64"/>
        <v>0</v>
      </c>
      <c r="J1079" s="1"/>
      <c r="K1079" s="1"/>
      <c r="L1079" s="1"/>
      <c r="M1079" s="1"/>
      <c r="N1079" s="1"/>
    </row>
    <row r="1080" spans="1:14" hidden="1">
      <c r="A1080" s="151">
        <f t="shared" si="62"/>
        <v>1</v>
      </c>
      <c r="B1080" s="151" t="s">
        <v>206</v>
      </c>
      <c r="C1080" s="159">
        <v>3481</v>
      </c>
      <c r="D1080" s="160" t="s">
        <v>869</v>
      </c>
      <c r="E1080" s="161">
        <f>SUMIF(Lanç!$C$3:$C$114,C1080,Lanç!$F$3:$F$114)</f>
        <v>0</v>
      </c>
      <c r="F1080" s="161">
        <f>SUMIF(Lanç!$C$115:$C$6504,C1080,Lanç!$F$115:$F$6504)</f>
        <v>0</v>
      </c>
      <c r="G1080" s="161">
        <f>SUMIF(Lanç!$C$115:$C$6504,C1080,Lanç!$G$115:$G$6504)</f>
        <v>0</v>
      </c>
      <c r="H1080" s="162">
        <f t="shared" si="63"/>
        <v>0</v>
      </c>
      <c r="I1080" s="162">
        <f t="shared" si="64"/>
        <v>0</v>
      </c>
    </row>
    <row r="1081" spans="1:14">
      <c r="A1081" s="151">
        <f t="shared" si="62"/>
        <v>0</v>
      </c>
      <c r="B1081" s="155" t="s">
        <v>204</v>
      </c>
      <c r="C1081" s="156">
        <v>349</v>
      </c>
      <c r="D1081" s="157" t="s">
        <v>870</v>
      </c>
      <c r="E1081" s="158">
        <f>SUM(E1082:E1083)</f>
        <v>-28984.55</v>
      </c>
      <c r="F1081" s="158">
        <f>SUM(F1082:F1083)</f>
        <v>0</v>
      </c>
      <c r="G1081" s="158">
        <f>SUM(G1082:G1083)</f>
        <v>0</v>
      </c>
      <c r="H1081" s="154">
        <f t="shared" si="63"/>
        <v>0</v>
      </c>
      <c r="I1081" s="154">
        <f t="shared" si="64"/>
        <v>-28984.55</v>
      </c>
      <c r="J1081" s="1"/>
      <c r="K1081" s="1"/>
      <c r="L1081" s="1"/>
      <c r="M1081" s="1"/>
      <c r="N1081" s="1"/>
    </row>
    <row r="1082" spans="1:14">
      <c r="A1082" s="151">
        <f t="shared" si="62"/>
        <v>0</v>
      </c>
      <c r="B1082" s="151" t="s">
        <v>206</v>
      </c>
      <c r="C1082" s="159">
        <v>3491</v>
      </c>
      <c r="D1082" s="160" t="s">
        <v>871</v>
      </c>
      <c r="E1082" s="161">
        <f>SUMIF(Lanç!C3:C114,C1082,Lanç!F3:F114)</f>
        <v>-28984.55</v>
      </c>
      <c r="F1082" s="161">
        <f>SUMIF(Lanç!C115:C6504,C1082,Lanç!F115:F6504)</f>
        <v>0</v>
      </c>
      <c r="G1082" s="161">
        <f>SUMIF(Lanç!C115:C6504,C1082,Lanç!G115:G6504)</f>
        <v>0</v>
      </c>
      <c r="H1082" s="162">
        <f t="shared" si="63"/>
        <v>0</v>
      </c>
      <c r="I1082" s="162">
        <f t="shared" si="64"/>
        <v>-28984.55</v>
      </c>
    </row>
    <row r="1083" spans="1:14" hidden="1">
      <c r="A1083" s="151">
        <f t="shared" si="62"/>
        <v>1</v>
      </c>
      <c r="B1083" s="151" t="s">
        <v>206</v>
      </c>
      <c r="C1083" s="159">
        <v>3492</v>
      </c>
      <c r="D1083" s="160" t="s">
        <v>872</v>
      </c>
      <c r="E1083" s="161">
        <f>SUMIF(Lanç!$C$3:$C$114,C1083,Lanç!$F$3:$F$114)</f>
        <v>0</v>
      </c>
      <c r="F1083" s="161">
        <f>SUMIF(Lanç!$C$115:$C$6504,C1083,Lanç!$F$115:$F$6504)</f>
        <v>0</v>
      </c>
      <c r="G1083" s="161">
        <f>SUMIF(Lanç!$C$115:$C$6504,C1083,Lanç!$G$115:$G$6504)</f>
        <v>0</v>
      </c>
      <c r="H1083" s="162">
        <f t="shared" si="63"/>
        <v>0</v>
      </c>
      <c r="I1083" s="162">
        <f t="shared" si="64"/>
        <v>0</v>
      </c>
    </row>
    <row r="1084" spans="1:14">
      <c r="A1084" s="285">
        <f t="shared" si="62"/>
        <v>0</v>
      </c>
      <c r="B1084" s="285" t="s">
        <v>204</v>
      </c>
      <c r="C1084" s="286">
        <v>345</v>
      </c>
      <c r="D1084" s="287" t="s">
        <v>1731</v>
      </c>
      <c r="E1084" s="158">
        <f>E1085+E1089+E1096+E1102+E1118</f>
        <v>10798293.9</v>
      </c>
      <c r="F1084" s="158">
        <f>F1085+F1089+F1096+F1102+F1118</f>
        <v>21844787</v>
      </c>
      <c r="G1084" s="158">
        <f>G1085+G1089+G1096+G1102+G1118</f>
        <v>56850553.699999996</v>
      </c>
      <c r="H1084" s="154">
        <f t="shared" ref="H1084:H1126" si="65">(F1084)-(G1084)</f>
        <v>-35005766.699999996</v>
      </c>
      <c r="I1084" s="154">
        <f t="shared" ref="I1084:I1126" si="66">(E1084)+(H1084)</f>
        <v>-24207472.799999997</v>
      </c>
    </row>
    <row r="1085" spans="1:14" hidden="1">
      <c r="A1085" s="285">
        <f t="shared" si="62"/>
        <v>1</v>
      </c>
      <c r="B1085" s="285" t="s">
        <v>204</v>
      </c>
      <c r="C1085" s="286">
        <v>3451</v>
      </c>
      <c r="D1085" s="287" t="s">
        <v>1732</v>
      </c>
      <c r="E1085" s="158">
        <f>SUM(E1086:E1088)</f>
        <v>0</v>
      </c>
      <c r="F1085" s="158">
        <f>SUM(F1086:F1088)</f>
        <v>0</v>
      </c>
      <c r="G1085" s="158">
        <f>SUM(G1086:G1088)</f>
        <v>0</v>
      </c>
      <c r="H1085" s="154">
        <f t="shared" si="65"/>
        <v>0</v>
      </c>
      <c r="I1085" s="154">
        <f t="shared" si="66"/>
        <v>0</v>
      </c>
    </row>
    <row r="1086" spans="1:14" hidden="1">
      <c r="A1086" s="151">
        <f t="shared" si="62"/>
        <v>1</v>
      </c>
      <c r="B1086" s="151" t="s">
        <v>206</v>
      </c>
      <c r="C1086" s="159">
        <v>34511</v>
      </c>
      <c r="D1086" s="160" t="s">
        <v>1471</v>
      </c>
      <c r="E1086" s="161">
        <f>SUMIF(Lanç!$C$3:$C$114,C1086,Lanç!$F$3:$F$114)</f>
        <v>0</v>
      </c>
      <c r="F1086" s="161">
        <f>SUMIF(Lanç!$C$115:$C$6504,C1086,Lanç!$F$115:$F$6504)</f>
        <v>0</v>
      </c>
      <c r="G1086" s="161">
        <f>SUMIF(Lanç!$C$115:$C$6504,C1086,Lanç!$G$115:$G$6504)</f>
        <v>0</v>
      </c>
      <c r="H1086" s="162">
        <f t="shared" si="65"/>
        <v>0</v>
      </c>
      <c r="I1086" s="162">
        <f t="shared" si="66"/>
        <v>0</v>
      </c>
    </row>
    <row r="1087" spans="1:14" hidden="1">
      <c r="A1087" s="151">
        <f t="shared" si="62"/>
        <v>1</v>
      </c>
      <c r="B1087" s="151" t="s">
        <v>206</v>
      </c>
      <c r="C1087" s="159">
        <v>34512</v>
      </c>
      <c r="D1087" s="160" t="s">
        <v>1733</v>
      </c>
      <c r="E1087" s="161">
        <f>SUMIF(Lanç!$C$3:$C$114,C1087,Lanç!$F$3:$F$114)</f>
        <v>0</v>
      </c>
      <c r="F1087" s="161">
        <f>SUMIF(Lanç!$C$115:$C$6504,C1087,Lanç!$F$115:$F$6504)</f>
        <v>0</v>
      </c>
      <c r="G1087" s="161">
        <f>SUMIF(Lanç!$C$115:$C$6504,C1087,Lanç!$G$115:$G$6504)</f>
        <v>0</v>
      </c>
      <c r="H1087" s="162">
        <f t="shared" si="65"/>
        <v>0</v>
      </c>
      <c r="I1087" s="162">
        <f t="shared" si="66"/>
        <v>0</v>
      </c>
    </row>
    <row r="1088" spans="1:14" hidden="1">
      <c r="A1088" s="151">
        <f t="shared" si="62"/>
        <v>1</v>
      </c>
      <c r="B1088" s="151" t="s">
        <v>206</v>
      </c>
      <c r="C1088" s="159">
        <v>34513</v>
      </c>
      <c r="D1088" s="160" t="s">
        <v>1734</v>
      </c>
      <c r="E1088" s="161">
        <f>SUMIF(Lanç!$C$3:$C$114,C1088,Lanç!$F$3:$F$114)</f>
        <v>0</v>
      </c>
      <c r="F1088" s="161">
        <f>SUMIF(Lanç!$C$115:$C$6504,C1088,Lanç!$F$115:$F$6504)</f>
        <v>0</v>
      </c>
      <c r="G1088" s="161">
        <f>SUMIF(Lanç!$C$115:$C$6504,C1088,Lanç!$G$115:$G$6504)</f>
        <v>0</v>
      </c>
      <c r="H1088" s="162">
        <f t="shared" si="65"/>
        <v>0</v>
      </c>
      <c r="I1088" s="162">
        <f t="shared" si="66"/>
        <v>0</v>
      </c>
    </row>
    <row r="1089" spans="1:9">
      <c r="A1089" s="151">
        <f t="shared" si="62"/>
        <v>0</v>
      </c>
      <c r="B1089" s="285" t="s">
        <v>204</v>
      </c>
      <c r="C1089" s="286">
        <v>3452</v>
      </c>
      <c r="D1089" s="287" t="s">
        <v>1743</v>
      </c>
      <c r="E1089" s="158">
        <f>E1090+E1092+E1094</f>
        <v>99549.9</v>
      </c>
      <c r="F1089" s="158">
        <f>F1090+F1092+F1094</f>
        <v>0</v>
      </c>
      <c r="G1089" s="158">
        <f>G1090+G1092+G1094</f>
        <v>99549.9</v>
      </c>
      <c r="H1089" s="154">
        <f t="shared" si="65"/>
        <v>-99549.9</v>
      </c>
      <c r="I1089" s="154">
        <f t="shared" si="66"/>
        <v>0</v>
      </c>
    </row>
    <row r="1090" spans="1:9" hidden="1">
      <c r="A1090" s="285">
        <f t="shared" si="62"/>
        <v>1</v>
      </c>
      <c r="B1090" s="285" t="s">
        <v>204</v>
      </c>
      <c r="C1090" s="286">
        <v>34521</v>
      </c>
      <c r="D1090" s="287" t="s">
        <v>1744</v>
      </c>
      <c r="E1090" s="158">
        <f>SUM(E1091)</f>
        <v>0</v>
      </c>
      <c r="F1090" s="158">
        <f>SUM(F1091)</f>
        <v>0</v>
      </c>
      <c r="G1090" s="158">
        <f>SUM(G1091)</f>
        <v>0</v>
      </c>
      <c r="H1090" s="288">
        <f t="shared" si="65"/>
        <v>0</v>
      </c>
      <c r="I1090" s="288">
        <f t="shared" si="66"/>
        <v>0</v>
      </c>
    </row>
    <row r="1091" spans="1:9" hidden="1">
      <c r="A1091" s="151">
        <f t="shared" si="62"/>
        <v>1</v>
      </c>
      <c r="B1091" s="151" t="s">
        <v>206</v>
      </c>
      <c r="C1091" s="159">
        <v>34521111</v>
      </c>
      <c r="D1091" s="160" t="s">
        <v>1745</v>
      </c>
      <c r="E1091" s="161">
        <f>SUMIF(Lanç!$C$3:$C$114,C1091,Lanç!$F$3:$F$114)</f>
        <v>0</v>
      </c>
      <c r="F1091" s="161">
        <f>SUMIF(Lanç!$C$115:$C$6504,C1091,Lanç!$F$115:$F$6504)</f>
        <v>0</v>
      </c>
      <c r="G1091" s="161">
        <f>SUMIF(Lanç!$C$115:$C$6504,C1091,Lanç!$G$115:$G$6504)</f>
        <v>0</v>
      </c>
      <c r="H1091" s="162">
        <f t="shared" si="65"/>
        <v>0</v>
      </c>
      <c r="I1091" s="162">
        <f t="shared" si="66"/>
        <v>0</v>
      </c>
    </row>
    <row r="1092" spans="1:9" hidden="1">
      <c r="A1092" s="285">
        <f t="shared" si="62"/>
        <v>1</v>
      </c>
      <c r="B1092" s="285" t="s">
        <v>204</v>
      </c>
      <c r="C1092" s="286">
        <v>34523111</v>
      </c>
      <c r="D1092" s="287" t="s">
        <v>1746</v>
      </c>
      <c r="E1092" s="158">
        <f>SUM(E1093)</f>
        <v>0</v>
      </c>
      <c r="F1092" s="158">
        <f>SUM(F1093)</f>
        <v>0</v>
      </c>
      <c r="G1092" s="158">
        <f>SUM(G1093)</f>
        <v>0</v>
      </c>
      <c r="H1092" s="288">
        <f t="shared" si="65"/>
        <v>0</v>
      </c>
      <c r="I1092" s="288">
        <f t="shared" si="66"/>
        <v>0</v>
      </c>
    </row>
    <row r="1093" spans="1:9" hidden="1">
      <c r="A1093" s="151">
        <f t="shared" si="62"/>
        <v>1</v>
      </c>
      <c r="B1093" s="151" t="s">
        <v>206</v>
      </c>
      <c r="C1093" s="159">
        <v>345231111</v>
      </c>
      <c r="D1093" s="160" t="s">
        <v>1747</v>
      </c>
      <c r="E1093" s="161">
        <f>SUMIF(Lanç!$C$3:$C$114,C1093,Lanç!$F$3:$F$114)</f>
        <v>0</v>
      </c>
      <c r="F1093" s="161">
        <f>SUMIF(Lanç!$C$115:$C$6504,C1093,Lanç!$F$115:$F$6504)</f>
        <v>0</v>
      </c>
      <c r="G1093" s="161">
        <f>SUMIF(Lanç!$C$115:$C$6504,C1093,Lanç!$G$115:$G$6504)</f>
        <v>0</v>
      </c>
      <c r="H1093" s="162">
        <f t="shared" si="65"/>
        <v>0</v>
      </c>
      <c r="I1093" s="162">
        <f t="shared" si="66"/>
        <v>0</v>
      </c>
    </row>
    <row r="1094" spans="1:9">
      <c r="A1094" s="151">
        <f t="shared" si="62"/>
        <v>0</v>
      </c>
      <c r="B1094" s="285" t="s">
        <v>204</v>
      </c>
      <c r="C1094" s="286">
        <v>34523211</v>
      </c>
      <c r="D1094" s="287" t="s">
        <v>1748</v>
      </c>
      <c r="E1094" s="158">
        <f>SUM(E1095)</f>
        <v>99549.9</v>
      </c>
      <c r="F1094" s="158">
        <f>SUM(F1095)</f>
        <v>0</v>
      </c>
      <c r="G1094" s="158">
        <f>SUM(G1095)</f>
        <v>99549.9</v>
      </c>
      <c r="H1094" s="288">
        <f t="shared" si="65"/>
        <v>-99549.9</v>
      </c>
      <c r="I1094" s="288">
        <f t="shared" si="66"/>
        <v>0</v>
      </c>
    </row>
    <row r="1095" spans="1:9">
      <c r="A1095" s="151">
        <f t="shared" si="62"/>
        <v>0</v>
      </c>
      <c r="B1095" s="151" t="s">
        <v>206</v>
      </c>
      <c r="C1095" s="159">
        <v>345232111</v>
      </c>
      <c r="D1095" s="160" t="s">
        <v>1749</v>
      </c>
      <c r="E1095" s="161">
        <f>SUMIF(Lanç!$C$3:$C$114,C1095,Lanç!$F$3:$F$114)</f>
        <v>99549.9</v>
      </c>
      <c r="F1095" s="161">
        <f>SUMIF(Lanç!$C$115:$C$6504,C1095,Lanç!$F$115:$F$6504)</f>
        <v>0</v>
      </c>
      <c r="G1095" s="161">
        <f>SUMIF(Lanç!$C$115:$C$6504,C1095,Lanç!$G$115:$G$6504)</f>
        <v>99549.9</v>
      </c>
      <c r="H1095" s="162">
        <f t="shared" si="65"/>
        <v>-99549.9</v>
      </c>
      <c r="I1095" s="162">
        <f t="shared" si="66"/>
        <v>0</v>
      </c>
    </row>
    <row r="1096" spans="1:9">
      <c r="A1096" s="285">
        <f t="shared" si="62"/>
        <v>0</v>
      </c>
      <c r="B1096" s="285" t="s">
        <v>204</v>
      </c>
      <c r="C1096" s="286">
        <v>3453</v>
      </c>
      <c r="D1096" s="287" t="s">
        <v>1735</v>
      </c>
      <c r="E1096" s="158">
        <f>SUM(E1097)</f>
        <v>10698744</v>
      </c>
      <c r="F1096" s="158">
        <f>SUM(F1097)</f>
        <v>0</v>
      </c>
      <c r="G1096" s="158">
        <f>SUM(G1097)</f>
        <v>42798799.289999999</v>
      </c>
      <c r="H1096" s="154">
        <f t="shared" si="65"/>
        <v>-42798799.289999999</v>
      </c>
      <c r="I1096" s="154">
        <f t="shared" si="66"/>
        <v>-32100055.289999999</v>
      </c>
    </row>
    <row r="1097" spans="1:9">
      <c r="A1097" s="285">
        <f t="shared" si="62"/>
        <v>0</v>
      </c>
      <c r="B1097" s="285" t="s">
        <v>204</v>
      </c>
      <c r="C1097" s="286">
        <v>34531</v>
      </c>
      <c r="D1097" s="287" t="s">
        <v>1736</v>
      </c>
      <c r="E1097" s="158">
        <f>E1098+E1100</f>
        <v>10698744</v>
      </c>
      <c r="F1097" s="158">
        <f>F1098+F1100</f>
        <v>0</v>
      </c>
      <c r="G1097" s="158">
        <f>G1098+G1100</f>
        <v>42798799.289999999</v>
      </c>
      <c r="H1097" s="154">
        <f t="shared" si="65"/>
        <v>-42798799.289999999</v>
      </c>
      <c r="I1097" s="154">
        <f t="shared" si="66"/>
        <v>-32100055.289999999</v>
      </c>
    </row>
    <row r="1098" spans="1:9">
      <c r="A1098" s="285">
        <f t="shared" si="62"/>
        <v>0</v>
      </c>
      <c r="B1098" s="285" t="s">
        <v>204</v>
      </c>
      <c r="C1098" s="286">
        <v>345311</v>
      </c>
      <c r="D1098" s="287" t="s">
        <v>1737</v>
      </c>
      <c r="E1098" s="158">
        <f>SUM(E1099)</f>
        <v>0</v>
      </c>
      <c r="F1098" s="158">
        <f>SUM(F1099)</f>
        <v>0</v>
      </c>
      <c r="G1098" s="158">
        <f>SUM(G1099)</f>
        <v>16852184.16</v>
      </c>
      <c r="H1098" s="154">
        <f t="shared" si="65"/>
        <v>-16852184.16</v>
      </c>
      <c r="I1098" s="154">
        <f t="shared" si="66"/>
        <v>-16852184.16</v>
      </c>
    </row>
    <row r="1099" spans="1:9">
      <c r="A1099" s="151">
        <f>IF(E1101+F1101+G1101+H1101+I1101=0,1,0)</f>
        <v>0</v>
      </c>
      <c r="B1099" s="151" t="s">
        <v>206</v>
      </c>
      <c r="C1099" s="159">
        <v>345311111</v>
      </c>
      <c r="D1099" s="160" t="s">
        <v>1738</v>
      </c>
      <c r="E1099" s="161">
        <f>SUMIF(Lanç!$C$3:$C$114,C1099,Lanç!$F$3:$F$114)</f>
        <v>0</v>
      </c>
      <c r="F1099" s="161">
        <f>SUMIF(Lanç!$C$115:$C$6504,C1099,Lanç!$F$115:$F$6504)</f>
        <v>0</v>
      </c>
      <c r="G1099" s="161">
        <f>SUMIF(Lanç!$C$115:$C$6504,C1099,Lanç!$G$115:$G$6504)</f>
        <v>16852184.16</v>
      </c>
      <c r="H1099" s="162">
        <f t="shared" si="65"/>
        <v>-16852184.16</v>
      </c>
      <c r="I1099" s="162">
        <f t="shared" si="66"/>
        <v>-16852184.16</v>
      </c>
    </row>
    <row r="1100" spans="1:9">
      <c r="A1100" s="285">
        <f>IF(E1102+F1102+G1102+H1102+I1102=0,1,0)</f>
        <v>0</v>
      </c>
      <c r="B1100" s="285" t="s">
        <v>204</v>
      </c>
      <c r="C1100" s="286">
        <v>345312</v>
      </c>
      <c r="D1100" s="287" t="s">
        <v>1750</v>
      </c>
      <c r="E1100" s="158">
        <f>SUM(E1101)</f>
        <v>10698744</v>
      </c>
      <c r="F1100" s="158">
        <f>SUM(F1101)</f>
        <v>0</v>
      </c>
      <c r="G1100" s="158">
        <f>SUM(G1101)</f>
        <v>25946615.129999999</v>
      </c>
      <c r="H1100" s="154">
        <f t="shared" si="65"/>
        <v>-25946615.129999999</v>
      </c>
      <c r="I1100" s="154">
        <f t="shared" si="66"/>
        <v>-15247871.129999999</v>
      </c>
    </row>
    <row r="1101" spans="1:9">
      <c r="A1101" s="151">
        <f>IF(E1103+F1103+G1103+H1103+I1103=0,1,0)</f>
        <v>0</v>
      </c>
      <c r="B1101" s="151" t="s">
        <v>206</v>
      </c>
      <c r="C1101" s="159">
        <v>345312111</v>
      </c>
      <c r="D1101" s="160" t="s">
        <v>1751</v>
      </c>
      <c r="E1101" s="161">
        <f>SUMIF(Lanç!$C$3:$C$114,C1101,Lanç!$F$3:$F$114)</f>
        <v>10698744</v>
      </c>
      <c r="F1101" s="161">
        <f>SUMIF(Lanç!$C$115:$C$6504,C1101,Lanç!$F$115:$F$6504)</f>
        <v>0</v>
      </c>
      <c r="G1101" s="161">
        <f>SUMIF(Lanç!$C$115:$C$6504,C1101,Lanç!$G$115:$G$6504)</f>
        <v>25946615.129999999</v>
      </c>
      <c r="H1101" s="162">
        <f t="shared" si="65"/>
        <v>-25946615.129999999</v>
      </c>
      <c r="I1101" s="162">
        <f t="shared" si="66"/>
        <v>-15247871.129999999</v>
      </c>
    </row>
    <row r="1102" spans="1:9" hidden="1">
      <c r="A1102" s="151">
        <f>IF(E1104+F1104+G1104+H1104+I1104=0,1,0)</f>
        <v>1</v>
      </c>
      <c r="B1102" s="285" t="s">
        <v>204</v>
      </c>
      <c r="C1102" s="286">
        <v>3454</v>
      </c>
      <c r="D1102" s="287" t="s">
        <v>1739</v>
      </c>
      <c r="E1102" s="158">
        <f>SUM(E1103)</f>
        <v>0</v>
      </c>
      <c r="F1102" s="158">
        <f>SUM(F1103)</f>
        <v>21844787</v>
      </c>
      <c r="G1102" s="158">
        <f>SUM(G1103)</f>
        <v>13952204.51</v>
      </c>
      <c r="H1102" s="154">
        <f t="shared" si="65"/>
        <v>7892582.4900000002</v>
      </c>
      <c r="I1102" s="154">
        <f t="shared" si="66"/>
        <v>7892582.4900000002</v>
      </c>
    </row>
    <row r="1103" spans="1:9">
      <c r="A1103" s="285">
        <f t="shared" si="62"/>
        <v>0</v>
      </c>
      <c r="B1103" s="285" t="s">
        <v>204</v>
      </c>
      <c r="C1103" s="286">
        <v>34541</v>
      </c>
      <c r="D1103" s="287" t="s">
        <v>1740</v>
      </c>
      <c r="E1103" s="158">
        <f>E1104+E1106</f>
        <v>0</v>
      </c>
      <c r="F1103" s="158">
        <f>F1104+F1106</f>
        <v>21844787</v>
      </c>
      <c r="G1103" s="158">
        <f>G1104+G1106</f>
        <v>13952204.51</v>
      </c>
      <c r="H1103" s="154">
        <f t="shared" si="65"/>
        <v>7892582.4900000002</v>
      </c>
      <c r="I1103" s="154">
        <f t="shared" si="66"/>
        <v>7892582.4900000002</v>
      </c>
    </row>
    <row r="1104" spans="1:9" hidden="1">
      <c r="A1104" s="285">
        <f t="shared" si="62"/>
        <v>1</v>
      </c>
      <c r="B1104" s="285" t="s">
        <v>204</v>
      </c>
      <c r="C1104" s="286">
        <v>345411</v>
      </c>
      <c r="D1104" s="287" t="s">
        <v>1741</v>
      </c>
      <c r="E1104" s="158">
        <f>SUM(E1105)</f>
        <v>0</v>
      </c>
      <c r="F1104" s="158">
        <f>SUM(F1105)</f>
        <v>0</v>
      </c>
      <c r="G1104" s="158">
        <f>SUM(G1105)</f>
        <v>0</v>
      </c>
      <c r="H1104" s="154">
        <f t="shared" si="65"/>
        <v>0</v>
      </c>
      <c r="I1104" s="154">
        <f t="shared" si="66"/>
        <v>0</v>
      </c>
    </row>
    <row r="1105" spans="1:9" hidden="1">
      <c r="A1105" s="151">
        <f t="shared" si="62"/>
        <v>1</v>
      </c>
      <c r="B1105" s="151" t="s">
        <v>206</v>
      </c>
      <c r="C1105" s="159">
        <v>3454111111</v>
      </c>
      <c r="D1105" s="160" t="s">
        <v>1742</v>
      </c>
      <c r="E1105" s="161">
        <f>SUMIF(Lanç!$C$3:$C$114,C1105,Lanç!$F$3:$F$114)</f>
        <v>0</v>
      </c>
      <c r="F1105" s="161">
        <f>SUMIF(Lanç!$C$115:$C$6504,C1105,Lanç!$F$115:$F$6504)</f>
        <v>0</v>
      </c>
      <c r="G1105" s="161">
        <f>SUMIF(Lanç!$C$115:$C$6504,C1105,Lanç!$G$115:$G$6504)</f>
        <v>0</v>
      </c>
      <c r="H1105" s="162">
        <f t="shared" si="65"/>
        <v>0</v>
      </c>
      <c r="I1105" s="162">
        <f t="shared" si="66"/>
        <v>0</v>
      </c>
    </row>
    <row r="1106" spans="1:9">
      <c r="A1106" s="285">
        <f t="shared" si="62"/>
        <v>0</v>
      </c>
      <c r="B1106" s="285" t="s">
        <v>204</v>
      </c>
      <c r="C1106" s="286">
        <v>3454112</v>
      </c>
      <c r="D1106" s="287" t="s">
        <v>1752</v>
      </c>
      <c r="E1106" s="158">
        <f>SUM(E1107)</f>
        <v>0</v>
      </c>
      <c r="F1106" s="158">
        <f>SUM(F1107:F1108)</f>
        <v>21844787</v>
      </c>
      <c r="G1106" s="158">
        <f>SUM(G1107:G1108)</f>
        <v>13952204.51</v>
      </c>
      <c r="H1106" s="154">
        <f t="shared" si="65"/>
        <v>7892582.4900000002</v>
      </c>
      <c r="I1106" s="154">
        <f t="shared" si="66"/>
        <v>7892582.4900000002</v>
      </c>
    </row>
    <row r="1107" spans="1:9">
      <c r="A1107" s="151">
        <f t="shared" si="62"/>
        <v>0</v>
      </c>
      <c r="B1107" s="151" t="s">
        <v>206</v>
      </c>
      <c r="C1107" s="159">
        <v>3454112111</v>
      </c>
      <c r="D1107" s="160" t="s">
        <v>1753</v>
      </c>
      <c r="E1107" s="161">
        <f>SUMIF(Lanç!$C$3:$C$114,C1107,Lanç!$F$3:$F$114)</f>
        <v>0</v>
      </c>
      <c r="F1107" s="161">
        <f>SUMIF(Lanç!$C$115:$C$6504,C1107,Lanç!$F$115:$F$6504)</f>
        <v>21844787</v>
      </c>
      <c r="G1107" s="161">
        <f>SUMIF(Lanç!$C$115:$C$6504,C1107,Lanç!$G$115:$G$6504)</f>
        <v>13952204.51</v>
      </c>
      <c r="H1107" s="162">
        <f t="shared" si="65"/>
        <v>7892582.4900000002</v>
      </c>
      <c r="I1107" s="162">
        <f t="shared" si="66"/>
        <v>7892582.4900000002</v>
      </c>
    </row>
    <row r="1108" spans="1:9" hidden="1">
      <c r="A1108" s="285">
        <f t="shared" si="62"/>
        <v>1</v>
      </c>
      <c r="B1108" s="285" t="s">
        <v>204</v>
      </c>
      <c r="C1108" s="286">
        <v>34542</v>
      </c>
      <c r="D1108" s="287" t="s">
        <v>1754</v>
      </c>
      <c r="E1108" s="158">
        <f>E1109+E1112+E1115</f>
        <v>0</v>
      </c>
      <c r="F1108" s="158">
        <f>SUM(F1109:F1110)</f>
        <v>0</v>
      </c>
      <c r="G1108" s="158">
        <f>SUM(G1109:G1110)</f>
        <v>0</v>
      </c>
      <c r="H1108" s="154">
        <f t="shared" si="65"/>
        <v>0</v>
      </c>
      <c r="I1108" s="154">
        <f t="shared" si="66"/>
        <v>0</v>
      </c>
    </row>
    <row r="1109" spans="1:9" hidden="1">
      <c r="A1109" s="285">
        <f>IF(E1109+F1109+G1109+H1109+I1109=0,1,0)</f>
        <v>1</v>
      </c>
      <c r="B1109" s="285" t="s">
        <v>204</v>
      </c>
      <c r="C1109" s="286">
        <v>345421</v>
      </c>
      <c r="D1109" s="287" t="s">
        <v>1755</v>
      </c>
      <c r="E1109" s="158">
        <f>SUM(E1110:E1111)</f>
        <v>0</v>
      </c>
      <c r="F1109" s="158">
        <f>SUM(F1110:F1111)</f>
        <v>0</v>
      </c>
      <c r="G1109" s="158">
        <f>SUM(G1110:G1111)</f>
        <v>0</v>
      </c>
      <c r="H1109" s="154">
        <f t="shared" si="65"/>
        <v>0</v>
      </c>
      <c r="I1109" s="154">
        <f t="shared" si="66"/>
        <v>0</v>
      </c>
    </row>
    <row r="1110" spans="1:9" hidden="1">
      <c r="A1110" s="151">
        <f t="shared" si="62"/>
        <v>1</v>
      </c>
      <c r="B1110" s="151" t="s">
        <v>206</v>
      </c>
      <c r="C1110" s="159">
        <v>345421111</v>
      </c>
      <c r="D1110" s="160" t="s">
        <v>1756</v>
      </c>
      <c r="E1110" s="161">
        <f>SUMIF(Lanç!$C$3:$C$114,C1110,Lanç!$F$3:$F$114)</f>
        <v>0</v>
      </c>
      <c r="F1110" s="161">
        <f>SUMIF(Lanç!$C$115:$C$6504,C1110,Lanç!$F$115:$F$6504)</f>
        <v>0</v>
      </c>
      <c r="G1110" s="161">
        <f>SUMIF(Lanç!$C$115:$C$6504,C1110,Lanç!$G$115:$G$6504)</f>
        <v>0</v>
      </c>
      <c r="H1110" s="162">
        <f t="shared" si="65"/>
        <v>0</v>
      </c>
      <c r="I1110" s="162">
        <f t="shared" si="66"/>
        <v>0</v>
      </c>
    </row>
    <row r="1111" spans="1:9" hidden="1">
      <c r="A1111" s="151">
        <f t="shared" si="62"/>
        <v>1</v>
      </c>
      <c r="B1111" s="151" t="s">
        <v>206</v>
      </c>
      <c r="C1111" s="159">
        <v>345421121</v>
      </c>
      <c r="D1111" s="160" t="s">
        <v>1757</v>
      </c>
      <c r="E1111" s="161">
        <f>SUMIF(Lanç!$C$3:$C$114,C1111,Lanç!$F$3:$F$114)</f>
        <v>0</v>
      </c>
      <c r="F1111" s="161">
        <f>SUMIF(Lanç!$C$115:$C$6504,C1111,Lanç!$F$115:$F$6504)</f>
        <v>0</v>
      </c>
      <c r="G1111" s="161">
        <f>SUMIF(Lanç!$C$115:$C$6504,C1111,Lanç!$G$115:$G$6504)</f>
        <v>0</v>
      </c>
      <c r="H1111" s="162">
        <f t="shared" si="65"/>
        <v>0</v>
      </c>
      <c r="I1111" s="162">
        <f t="shared" si="66"/>
        <v>0</v>
      </c>
    </row>
    <row r="1112" spans="1:9" hidden="1">
      <c r="A1112" s="285">
        <f t="shared" si="62"/>
        <v>1</v>
      </c>
      <c r="B1112" s="285" t="s">
        <v>204</v>
      </c>
      <c r="C1112" s="286">
        <v>345422</v>
      </c>
      <c r="D1112" s="287" t="s">
        <v>1758</v>
      </c>
      <c r="E1112" s="158">
        <f>SUM(E1113:E1114)</f>
        <v>0</v>
      </c>
      <c r="F1112" s="158">
        <f>SUM(F1113:F1114)</f>
        <v>0</v>
      </c>
      <c r="G1112" s="158">
        <f>SUM(G1113:G1114)</f>
        <v>0</v>
      </c>
      <c r="H1112" s="154">
        <f t="shared" si="65"/>
        <v>0</v>
      </c>
      <c r="I1112" s="154">
        <f t="shared" si="66"/>
        <v>0</v>
      </c>
    </row>
    <row r="1113" spans="1:9" hidden="1">
      <c r="A1113" s="289">
        <f t="shared" si="62"/>
        <v>1</v>
      </c>
      <c r="B1113" s="151" t="s">
        <v>206</v>
      </c>
      <c r="C1113" s="159">
        <v>345422111</v>
      </c>
      <c r="D1113" s="160" t="s">
        <v>1759</v>
      </c>
      <c r="E1113" s="161">
        <f>SUMIF(Lanç!$C$3:$C$114,C1113,Lanç!$F$3:$F$114)</f>
        <v>0</v>
      </c>
      <c r="F1113" s="161">
        <f>SUMIF(Lanç!$C$115:$C$6504,C1113,Lanç!$F$115:$F$6504)</f>
        <v>0</v>
      </c>
      <c r="G1113" s="161">
        <f>SUMIF(Lanç!$C$115:$C$6504,C1113,Lanç!$G$115:$G$6504)</f>
        <v>0</v>
      </c>
      <c r="H1113" s="162">
        <f t="shared" si="65"/>
        <v>0</v>
      </c>
      <c r="I1113" s="162">
        <f t="shared" si="66"/>
        <v>0</v>
      </c>
    </row>
    <row r="1114" spans="1:9" hidden="1">
      <c r="A1114" s="289">
        <f t="shared" si="62"/>
        <v>1</v>
      </c>
      <c r="B1114" s="151" t="s">
        <v>206</v>
      </c>
      <c r="C1114" s="159">
        <v>345422121</v>
      </c>
      <c r="D1114" s="160" t="s">
        <v>1760</v>
      </c>
      <c r="E1114" s="161">
        <f>SUMIF(Lanç!$C$3:$C$114,C1114,Lanç!$F$3:$F$114)</f>
        <v>0</v>
      </c>
      <c r="F1114" s="161">
        <f>SUMIF(Lanç!$C$115:$C$6504,C1114,Lanç!$F$115:$F$6504)</f>
        <v>0</v>
      </c>
      <c r="G1114" s="161">
        <f>SUMIF(Lanç!$C$115:$C$6504,C1114,Lanç!$G$115:$G$6504)</f>
        <v>0</v>
      </c>
      <c r="H1114" s="162">
        <f t="shared" si="65"/>
        <v>0</v>
      </c>
      <c r="I1114" s="162">
        <f t="shared" si="66"/>
        <v>0</v>
      </c>
    </row>
    <row r="1115" spans="1:9" hidden="1">
      <c r="A1115" s="285">
        <f t="shared" si="62"/>
        <v>1</v>
      </c>
      <c r="B1115" s="285" t="s">
        <v>204</v>
      </c>
      <c r="C1115" s="286">
        <v>345423</v>
      </c>
      <c r="D1115" s="287" t="s">
        <v>1761</v>
      </c>
      <c r="E1115" s="158">
        <f>SUM(E1116:E1117)</f>
        <v>0</v>
      </c>
      <c r="F1115" s="158">
        <f>SUM(F1116:F1117)</f>
        <v>0</v>
      </c>
      <c r="G1115" s="158">
        <f>SUM(G1116:G1117)</f>
        <v>0</v>
      </c>
      <c r="H1115" s="154">
        <f t="shared" si="65"/>
        <v>0</v>
      </c>
      <c r="I1115" s="154">
        <f t="shared" si="66"/>
        <v>0</v>
      </c>
    </row>
    <row r="1116" spans="1:9" hidden="1">
      <c r="A1116" s="289">
        <f t="shared" si="62"/>
        <v>1</v>
      </c>
      <c r="B1116" s="151" t="s">
        <v>206</v>
      </c>
      <c r="C1116" s="159">
        <v>3454231111</v>
      </c>
      <c r="D1116" s="160" t="s">
        <v>1762</v>
      </c>
      <c r="E1116" s="161">
        <f>SUMIF(Lanç!$C$3:$C$114,C1116,Lanç!$F$3:$F$114)</f>
        <v>0</v>
      </c>
      <c r="F1116" s="161">
        <f>SUMIF(Lanç!$C$115:$C$6504,C1116,Lanç!$F$115:$F$6504)</f>
        <v>0</v>
      </c>
      <c r="G1116" s="161">
        <f>SUMIF(Lanç!$C$115:$C$6504,C1116,Lanç!$G$115:$G$6504)</f>
        <v>0</v>
      </c>
      <c r="H1116" s="162">
        <f t="shared" si="65"/>
        <v>0</v>
      </c>
      <c r="I1116" s="162">
        <f t="shared" si="66"/>
        <v>0</v>
      </c>
    </row>
    <row r="1117" spans="1:9" hidden="1">
      <c r="A1117" s="289">
        <f t="shared" si="62"/>
        <v>1</v>
      </c>
      <c r="B1117" s="151" t="s">
        <v>206</v>
      </c>
      <c r="C1117" s="159">
        <v>3454231121</v>
      </c>
      <c r="D1117" s="160" t="s">
        <v>1763</v>
      </c>
      <c r="E1117" s="161">
        <f>SUMIF(Lanç!$C$3:$C$114,C1117,Lanç!$F$3:$F$114)</f>
        <v>0</v>
      </c>
      <c r="F1117" s="161">
        <f>SUMIF(Lanç!$C$115:$C$6504,C1117,Lanç!$F$115:$F$6504)</f>
        <v>0</v>
      </c>
      <c r="G1117" s="161">
        <f>SUMIF(Lanç!$C$115:$C$6504,C1117,Lanç!$G$115:$G$6504)</f>
        <v>0</v>
      </c>
      <c r="H1117" s="162">
        <f t="shared" si="65"/>
        <v>0</v>
      </c>
      <c r="I1117" s="162">
        <f t="shared" si="66"/>
        <v>0</v>
      </c>
    </row>
    <row r="1118" spans="1:9" hidden="1">
      <c r="A1118" s="285">
        <f t="shared" si="62"/>
        <v>1</v>
      </c>
      <c r="B1118" s="285" t="s">
        <v>204</v>
      </c>
      <c r="C1118" s="286">
        <v>3455</v>
      </c>
      <c r="D1118" s="287" t="s">
        <v>1766</v>
      </c>
      <c r="E1118" s="158">
        <f>SUM(E1119:E1120)</f>
        <v>0</v>
      </c>
      <c r="F1118" s="158">
        <f>SUM(F1119:F1120)</f>
        <v>0</v>
      </c>
      <c r="G1118" s="158">
        <f>SUM(G1119:G1120)</f>
        <v>0</v>
      </c>
      <c r="H1118" s="154">
        <f t="shared" si="65"/>
        <v>0</v>
      </c>
      <c r="I1118" s="154">
        <f t="shared" si="66"/>
        <v>0</v>
      </c>
    </row>
    <row r="1119" spans="1:9" hidden="1">
      <c r="A1119" s="289">
        <f t="shared" si="62"/>
        <v>1</v>
      </c>
      <c r="B1119" s="151" t="s">
        <v>206</v>
      </c>
      <c r="C1119" s="159">
        <v>34551</v>
      </c>
      <c r="D1119" s="160" t="s">
        <v>1767</v>
      </c>
      <c r="E1119" s="161">
        <f>SUMIF(Lanç!$C$3:$C$114,C1119,Lanç!$F$3:$F$114)</f>
        <v>0</v>
      </c>
      <c r="F1119" s="161">
        <f>SUMIF(Lanç!$C$115:$C$6504,C1119,Lanç!$F$115:$F$6504)</f>
        <v>0</v>
      </c>
      <c r="G1119" s="161">
        <f>SUMIF(Lanç!$C$115:$C$6504,C1119,Lanç!$G$115:$G$6504)</f>
        <v>0</v>
      </c>
      <c r="H1119" s="162">
        <f t="shared" si="65"/>
        <v>0</v>
      </c>
      <c r="I1119" s="162">
        <f t="shared" si="66"/>
        <v>0</v>
      </c>
    </row>
    <row r="1120" spans="1:9" hidden="1">
      <c r="A1120" s="289">
        <f t="shared" si="62"/>
        <v>1</v>
      </c>
      <c r="B1120" s="151" t="s">
        <v>206</v>
      </c>
      <c r="C1120" s="159">
        <v>34552</v>
      </c>
      <c r="D1120" s="160" t="s">
        <v>1768</v>
      </c>
      <c r="E1120" s="161">
        <f>SUMIF(Lanç!$C$3:$C$114,C1120,Lanç!$F$3:$F$114)</f>
        <v>0</v>
      </c>
      <c r="F1120" s="161">
        <f>SUMIF(Lanç!$C$115:$C$6504,C1120,Lanç!$F$115:$F$6504)</f>
        <v>0</v>
      </c>
      <c r="G1120" s="161">
        <f>SUMIF(Lanç!$C$115:$C$6504,C1120,Lanç!$G$115:$G$6504)</f>
        <v>0</v>
      </c>
      <c r="H1120" s="162">
        <f t="shared" si="65"/>
        <v>0</v>
      </c>
      <c r="I1120" s="162">
        <f t="shared" si="66"/>
        <v>0</v>
      </c>
    </row>
    <row r="1121" spans="1:14" hidden="1">
      <c r="A1121" s="285">
        <f t="shared" si="62"/>
        <v>1</v>
      </c>
      <c r="B1121" s="285" t="s">
        <v>204</v>
      </c>
      <c r="C1121" s="286">
        <v>3456</v>
      </c>
      <c r="D1121" s="287" t="s">
        <v>1769</v>
      </c>
      <c r="E1121" s="158">
        <f>SUM(E1122:E1124)</f>
        <v>0</v>
      </c>
      <c r="F1121" s="158">
        <f>SUM(F1122:F1123)</f>
        <v>0</v>
      </c>
      <c r="G1121" s="158">
        <f>SUM(G1122:G1123)</f>
        <v>0</v>
      </c>
      <c r="H1121" s="154">
        <f t="shared" si="65"/>
        <v>0</v>
      </c>
      <c r="I1121" s="154">
        <f t="shared" si="66"/>
        <v>0</v>
      </c>
    </row>
    <row r="1122" spans="1:14" hidden="1">
      <c r="A1122" s="289">
        <f t="shared" si="62"/>
        <v>1</v>
      </c>
      <c r="B1122" s="151" t="s">
        <v>206</v>
      </c>
      <c r="C1122" s="159">
        <v>34561</v>
      </c>
      <c r="D1122" s="160" t="s">
        <v>1770</v>
      </c>
      <c r="E1122" s="161">
        <f>SUMIF(Lanç!$C$3:$C$114,C1122,Lanç!$F$3:$F$114)</f>
        <v>0</v>
      </c>
      <c r="F1122" s="161">
        <f>SUMIF(Lanç!$C$115:$C$6504,C1122,Lanç!$F$115:$F$6504)</f>
        <v>0</v>
      </c>
      <c r="G1122" s="161">
        <f>SUMIF(Lanç!$C$115:$C$6504,C1122,Lanç!$G$115:$G$6504)</f>
        <v>0</v>
      </c>
      <c r="H1122" s="162">
        <f t="shared" si="65"/>
        <v>0</v>
      </c>
      <c r="I1122" s="162">
        <f t="shared" si="66"/>
        <v>0</v>
      </c>
    </row>
    <row r="1123" spans="1:14" hidden="1">
      <c r="A1123" s="289">
        <f t="shared" si="62"/>
        <v>1</v>
      </c>
      <c r="B1123" s="151" t="s">
        <v>206</v>
      </c>
      <c r="C1123" s="159">
        <v>34562</v>
      </c>
      <c r="D1123" s="160" t="s">
        <v>1771</v>
      </c>
      <c r="E1123" s="161">
        <f>SUMIF(Lanç!$C$3:$C$114,C1123,Lanç!$F$3:$F$114)</f>
        <v>0</v>
      </c>
      <c r="F1123" s="161">
        <f>SUMIF(Lanç!$C$115:$C$6504,C1123,Lanç!$F$115:$F$6504)</f>
        <v>0</v>
      </c>
      <c r="G1123" s="161">
        <f>SUMIF(Lanç!$C$115:$C$6504,C1123,Lanç!$G$115:$G$6504)</f>
        <v>0</v>
      </c>
      <c r="H1123" s="162">
        <f t="shared" si="65"/>
        <v>0</v>
      </c>
      <c r="I1123" s="162">
        <f t="shared" si="66"/>
        <v>0</v>
      </c>
    </row>
    <row r="1124" spans="1:14" hidden="1">
      <c r="A1124" s="289">
        <f t="shared" si="62"/>
        <v>1</v>
      </c>
      <c r="B1124" s="151" t="s">
        <v>206</v>
      </c>
      <c r="C1124" s="159">
        <v>34563</v>
      </c>
      <c r="D1124" s="160" t="s">
        <v>1772</v>
      </c>
      <c r="E1124" s="161">
        <f>SUMIF(Lanç!$C$3:$C$114,C1124,Lanç!$F$3:$F$114)</f>
        <v>0</v>
      </c>
      <c r="F1124" s="161">
        <f>SUMIF(Lanç!$C$115:$C$6504,C1124,Lanç!$F$115:$F$6504)</f>
        <v>0</v>
      </c>
      <c r="G1124" s="161">
        <f>SUMIF(Lanç!$C$115:$C$6504,C1124,Lanç!$G$115:$G$6504)</f>
        <v>0</v>
      </c>
      <c r="H1124" s="162">
        <f t="shared" si="65"/>
        <v>0</v>
      </c>
      <c r="I1124" s="162">
        <f t="shared" si="66"/>
        <v>0</v>
      </c>
    </row>
    <row r="1125" spans="1:14" hidden="1">
      <c r="A1125" s="285">
        <f t="shared" si="62"/>
        <v>1</v>
      </c>
      <c r="B1125" s="285" t="s">
        <v>204</v>
      </c>
      <c r="C1125" s="286">
        <v>3457</v>
      </c>
      <c r="D1125" s="287" t="s">
        <v>1773</v>
      </c>
      <c r="E1125" s="158">
        <f>SUM(E1126:E1127)</f>
        <v>0</v>
      </c>
      <c r="F1125" s="158">
        <f>SUM(F1126:F1127)</f>
        <v>0</v>
      </c>
      <c r="G1125" s="158">
        <f>SUM(G1126:G1127)</f>
        <v>0</v>
      </c>
      <c r="H1125" s="154">
        <f t="shared" si="65"/>
        <v>0</v>
      </c>
      <c r="I1125" s="154">
        <f t="shared" si="66"/>
        <v>0</v>
      </c>
      <c r="J1125" s="308"/>
    </row>
    <row r="1126" spans="1:14" hidden="1">
      <c r="A1126" s="289">
        <f t="shared" si="62"/>
        <v>1</v>
      </c>
      <c r="B1126" s="151" t="s">
        <v>206</v>
      </c>
      <c r="C1126" s="159">
        <v>34571</v>
      </c>
      <c r="D1126" s="160" t="s">
        <v>1774</v>
      </c>
      <c r="E1126" s="161">
        <f>SUMIF(Lanç!$C$3:$C$114,C1126,Lanç!$F$3:$F$114)</f>
        <v>0</v>
      </c>
      <c r="F1126" s="161">
        <f>SUMIF(Lanç!$C$115:$C$6504,C1126,Lanç!$F$115:$F$6504)</f>
        <v>0</v>
      </c>
      <c r="G1126" s="161">
        <f>SUMIF(Lanç!$C$115:$C$6504,C1126,Lanç!$G$115:$G$6504)</f>
        <v>0</v>
      </c>
      <c r="H1126" s="162">
        <f t="shared" si="65"/>
        <v>0</v>
      </c>
      <c r="I1126" s="162">
        <f t="shared" si="66"/>
        <v>0</v>
      </c>
    </row>
    <row r="1127" spans="1:14" hidden="1">
      <c r="A1127" s="289">
        <f t="shared" si="62"/>
        <v>1</v>
      </c>
      <c r="B1127" s="151" t="s">
        <v>206</v>
      </c>
      <c r="C1127" s="159">
        <v>34572</v>
      </c>
      <c r="D1127" s="160" t="s">
        <v>1775</v>
      </c>
      <c r="E1127" s="161">
        <f>SUMIF(Lanç!$C$3:$C$114,C1127,Lanç!$F$3:$F$114)</f>
        <v>0</v>
      </c>
      <c r="F1127" s="161">
        <f>SUMIF(Lanç!$C$115:$C$6504,C1127,Lanç!$F$115:$F$6504)</f>
        <v>0</v>
      </c>
      <c r="G1127" s="161">
        <f>SUMIF(Lanç!$C$115:$C$6504,C1127,Lanç!$G$115:$G$6504)</f>
        <v>0</v>
      </c>
      <c r="H1127" s="162">
        <f t="shared" ref="H1127:H1132" si="67">(F1127)-(G1127)</f>
        <v>0</v>
      </c>
      <c r="I1127" s="162">
        <f t="shared" ref="I1127:I1132" si="68">(E1127)+(H1127)</f>
        <v>0</v>
      </c>
    </row>
    <row r="1128" spans="1:14" hidden="1">
      <c r="A1128" s="285">
        <f t="shared" si="62"/>
        <v>1</v>
      </c>
      <c r="B1128" s="285" t="s">
        <v>204</v>
      </c>
      <c r="C1128" s="286">
        <v>3458</v>
      </c>
      <c r="D1128" s="287" t="s">
        <v>1776</v>
      </c>
      <c r="E1128" s="158">
        <f>SUM(E1129:E1132)</f>
        <v>0</v>
      </c>
      <c r="F1128" s="158">
        <f>SUM(F1129:F1132)</f>
        <v>0</v>
      </c>
      <c r="G1128" s="158">
        <f>SUM(G1129:G1132)</f>
        <v>0</v>
      </c>
      <c r="H1128" s="154">
        <f t="shared" si="67"/>
        <v>0</v>
      </c>
      <c r="I1128" s="154">
        <f t="shared" si="68"/>
        <v>0</v>
      </c>
    </row>
    <row r="1129" spans="1:14" hidden="1">
      <c r="A1129" s="289">
        <f t="shared" si="62"/>
        <v>1</v>
      </c>
      <c r="B1129" s="151" t="s">
        <v>206</v>
      </c>
      <c r="C1129" s="159">
        <v>34581</v>
      </c>
      <c r="D1129" s="160" t="s">
        <v>1777</v>
      </c>
      <c r="E1129" s="161">
        <f>SUMIF(Lanç!$C$3:$C$114,C1129,Lanç!$F$3:$F$114)</f>
        <v>0</v>
      </c>
      <c r="F1129" s="161">
        <f>SUMIF(Lanç!$C$115:$C$6504,C1129,Lanç!$F$115:$F$6504)</f>
        <v>0</v>
      </c>
      <c r="G1129" s="161">
        <f>SUMIF(Lanç!$C$115:$C$6504,C1129,Lanç!$G$115:$G$6504)</f>
        <v>0</v>
      </c>
      <c r="H1129" s="162">
        <f t="shared" si="67"/>
        <v>0</v>
      </c>
      <c r="I1129" s="162">
        <f t="shared" si="68"/>
        <v>0</v>
      </c>
    </row>
    <row r="1130" spans="1:14" hidden="1">
      <c r="A1130" s="289">
        <f t="shared" si="62"/>
        <v>1</v>
      </c>
      <c r="B1130" s="151" t="s">
        <v>206</v>
      </c>
      <c r="C1130" s="159">
        <v>34582</v>
      </c>
      <c r="D1130" s="160" t="s">
        <v>1778</v>
      </c>
      <c r="E1130" s="161">
        <f>SUMIF(Lanç!$C$3:$C$114,C1130,Lanç!$F$3:$F$114)</f>
        <v>0</v>
      </c>
      <c r="F1130" s="161">
        <f>SUMIF(Lanç!$C$115:$C$6504,C1130,Lanç!$F$115:$F$6504)</f>
        <v>0</v>
      </c>
      <c r="G1130" s="161">
        <f>SUMIF(Lanç!$C$115:$C$6504,C1130,Lanç!$G$115:$G$6504)</f>
        <v>0</v>
      </c>
      <c r="H1130" s="162">
        <f t="shared" si="67"/>
        <v>0</v>
      </c>
      <c r="I1130" s="162">
        <f t="shared" si="68"/>
        <v>0</v>
      </c>
    </row>
    <row r="1131" spans="1:14" hidden="1">
      <c r="A1131" s="289">
        <f t="shared" si="62"/>
        <v>1</v>
      </c>
      <c r="B1131" s="151" t="s">
        <v>206</v>
      </c>
      <c r="C1131" s="159">
        <v>34583</v>
      </c>
      <c r="D1131" s="160" t="s">
        <v>1779</v>
      </c>
      <c r="E1131" s="161">
        <f>SUMIF(Lanç!$C$3:$C$114,C1131,Lanç!$F$3:$F$114)</f>
        <v>0</v>
      </c>
      <c r="F1131" s="161">
        <f>SUMIF(Lanç!$C$115:$C$6504,C1131,Lanç!$F$115:$F$6504)</f>
        <v>0</v>
      </c>
      <c r="G1131" s="161">
        <f>SUMIF(Lanç!$C$115:$C$6504,C1131,Lanç!$G$115:$G$6504)</f>
        <v>0</v>
      </c>
      <c r="H1131" s="162">
        <f t="shared" si="67"/>
        <v>0</v>
      </c>
      <c r="I1131" s="162">
        <f t="shared" si="68"/>
        <v>0</v>
      </c>
    </row>
    <row r="1132" spans="1:14" hidden="1">
      <c r="A1132" s="289">
        <f t="shared" si="62"/>
        <v>1</v>
      </c>
      <c r="B1132" s="151" t="s">
        <v>206</v>
      </c>
      <c r="C1132" s="159">
        <v>34584</v>
      </c>
      <c r="D1132" s="160" t="s">
        <v>1780</v>
      </c>
      <c r="E1132" s="161">
        <f>SUMIF(Lanç!$C$3:$C$114,C1132,Lanç!$F$3:$F$114)</f>
        <v>0</v>
      </c>
      <c r="F1132" s="161">
        <f>SUMIF(Lanç!$C$115:$C$6504,C1132,Lanç!$F$115:$F$6504)</f>
        <v>0</v>
      </c>
      <c r="G1132" s="161">
        <f>SUMIF(Lanç!$C$115:$C$6504,C1132,Lanç!$G$115:$G$6504)</f>
        <v>0</v>
      </c>
      <c r="H1132" s="162">
        <f t="shared" si="67"/>
        <v>0</v>
      </c>
      <c r="I1132" s="162">
        <f t="shared" si="68"/>
        <v>0</v>
      </c>
    </row>
    <row r="1133" spans="1:14" hidden="1">
      <c r="A1133" s="285">
        <f t="shared" si="62"/>
        <v>1</v>
      </c>
      <c r="B1133" s="285" t="s">
        <v>204</v>
      </c>
      <c r="C1133" s="286">
        <v>3459</v>
      </c>
      <c r="D1133" s="287" t="s">
        <v>1781</v>
      </c>
      <c r="E1133" s="158">
        <f>SUM(E1134)</f>
        <v>0</v>
      </c>
      <c r="F1133" s="158">
        <f>SUM(F1134:F1135)</f>
        <v>0</v>
      </c>
      <c r="G1133" s="158">
        <f>SUM(G1134:G1135)</f>
        <v>0</v>
      </c>
      <c r="H1133" s="154">
        <f>(F1133)-(G1133)</f>
        <v>0</v>
      </c>
      <c r="I1133" s="154">
        <f>(E1133)+(H1133)</f>
        <v>0</v>
      </c>
    </row>
    <row r="1134" spans="1:14" hidden="1">
      <c r="A1134" s="289">
        <f t="shared" si="62"/>
        <v>1</v>
      </c>
      <c r="B1134" s="151" t="s">
        <v>206</v>
      </c>
      <c r="C1134" s="159">
        <v>34591</v>
      </c>
      <c r="D1134" s="160" t="s">
        <v>1781</v>
      </c>
      <c r="E1134" s="161">
        <f>SUMIF(Lanç!$C$3:$C$114,C1134,Lanç!$F$3:$F$114)</f>
        <v>0</v>
      </c>
      <c r="F1134" s="161">
        <f>SUMIF(Lanç!$C$115:$C$6504,C1134,Lanç!$F$115:$F$6504)</f>
        <v>0</v>
      </c>
      <c r="G1134" s="161">
        <f>SUMIF(Lanç!$C$115:$C$6504,C1134,Lanç!$G$115:$G$6504)</f>
        <v>0</v>
      </c>
      <c r="H1134" s="162">
        <f>(F1134)-(G1134)</f>
        <v>0</v>
      </c>
      <c r="I1134" s="162">
        <f>(E1134)+(H1134)</f>
        <v>0</v>
      </c>
    </row>
    <row r="1135" spans="1:14">
      <c r="A1135" s="151">
        <f t="shared" si="62"/>
        <v>0</v>
      </c>
      <c r="B1135" s="155" t="s">
        <v>202</v>
      </c>
      <c r="C1135" s="156">
        <v>35</v>
      </c>
      <c r="D1135" s="157" t="s">
        <v>873</v>
      </c>
      <c r="E1135" s="158">
        <f>SUM(E1136,E1160)</f>
        <v>-3443669.66</v>
      </c>
      <c r="F1135" s="158">
        <f>SUM(F1136,F1160)</f>
        <v>0</v>
      </c>
      <c r="G1135" s="158">
        <f>SUM(G1136,G1160)</f>
        <v>0</v>
      </c>
      <c r="H1135" s="154">
        <f t="shared" si="63"/>
        <v>0</v>
      </c>
      <c r="I1135" s="154">
        <f t="shared" si="64"/>
        <v>-3443669.66</v>
      </c>
      <c r="J1135" s="1"/>
      <c r="K1135" s="1"/>
      <c r="L1135" s="1"/>
      <c r="M1135" s="1"/>
      <c r="N1135" s="1"/>
    </row>
    <row r="1136" spans="1:14">
      <c r="A1136" s="151">
        <f t="shared" si="62"/>
        <v>0</v>
      </c>
      <c r="B1136" s="155" t="s">
        <v>204</v>
      </c>
      <c r="C1136" s="156">
        <v>351</v>
      </c>
      <c r="D1136" s="157" t="s">
        <v>874</v>
      </c>
      <c r="E1136" s="158">
        <f>SUM(E1137,E1142,E1147,E1152)</f>
        <v>-3443669.66</v>
      </c>
      <c r="F1136" s="158">
        <f>SUM(F1137,F1142,F1147,F1152)</f>
        <v>0</v>
      </c>
      <c r="G1136" s="158">
        <f>SUM(G1137,G1142,G1147,G1152)</f>
        <v>0</v>
      </c>
      <c r="H1136" s="154">
        <f t="shared" si="63"/>
        <v>0</v>
      </c>
      <c r="I1136" s="154">
        <f t="shared" si="64"/>
        <v>-3443669.66</v>
      </c>
    </row>
    <row r="1137" spans="1:14" hidden="1">
      <c r="A1137" s="151">
        <f t="shared" si="62"/>
        <v>1</v>
      </c>
      <c r="B1137" s="155" t="s">
        <v>204</v>
      </c>
      <c r="C1137" s="156">
        <v>3511</v>
      </c>
      <c r="D1137" s="157" t="s">
        <v>875</v>
      </c>
      <c r="E1137" s="158">
        <f>SUM(E1138:E1141)</f>
        <v>0</v>
      </c>
      <c r="F1137" s="158">
        <f>SUM(F1138:F1141)</f>
        <v>0</v>
      </c>
      <c r="G1137" s="158">
        <f>SUM(G1138:G1141)</f>
        <v>0</v>
      </c>
      <c r="H1137" s="154">
        <f t="shared" si="63"/>
        <v>0</v>
      </c>
      <c r="I1137" s="154">
        <f t="shared" si="64"/>
        <v>0</v>
      </c>
    </row>
    <row r="1138" spans="1:14" hidden="1">
      <c r="A1138" s="151">
        <f t="shared" si="62"/>
        <v>1</v>
      </c>
      <c r="B1138" s="151" t="s">
        <v>206</v>
      </c>
      <c r="C1138" s="159">
        <v>35111</v>
      </c>
      <c r="D1138" s="160" t="s">
        <v>876</v>
      </c>
      <c r="E1138" s="161">
        <f>SUMIF(Lanç!$C$3:$C$114,C1138,Lanç!$F$3:$F$114)</f>
        <v>0</v>
      </c>
      <c r="F1138" s="161">
        <f>SUMIF(Lanç!$C$115:$C$6504,C1138,Lanç!$F$115:$F$6504)</f>
        <v>0</v>
      </c>
      <c r="G1138" s="161">
        <f>SUMIF(Lanç!$C$115:$C$6504,C1138,Lanç!$G$115:$G$6504)</f>
        <v>0</v>
      </c>
      <c r="H1138" s="162">
        <f t="shared" si="63"/>
        <v>0</v>
      </c>
      <c r="I1138" s="162">
        <f t="shared" si="64"/>
        <v>0</v>
      </c>
    </row>
    <row r="1139" spans="1:14" hidden="1">
      <c r="A1139" s="151">
        <f t="shared" si="62"/>
        <v>1</v>
      </c>
      <c r="B1139" s="151" t="s">
        <v>206</v>
      </c>
      <c r="C1139" s="159">
        <v>35112</v>
      </c>
      <c r="D1139" s="160" t="s">
        <v>877</v>
      </c>
      <c r="E1139" s="161">
        <f>SUMIF(Lanç!$C$3:$C$114,C1139,Lanç!$F$3:$F$114)</f>
        <v>0</v>
      </c>
      <c r="F1139" s="161">
        <f>SUMIF(Lanç!$C$115:$C$6504,C1139,Lanç!$F$115:$F$6504)</f>
        <v>0</v>
      </c>
      <c r="G1139" s="161">
        <f>SUMIF(Lanç!$C$115:$C$6504,C1139,Lanç!$G$115:$G$6504)</f>
        <v>0</v>
      </c>
      <c r="H1139" s="162">
        <f t="shared" si="63"/>
        <v>0</v>
      </c>
      <c r="I1139" s="162">
        <f t="shared" si="64"/>
        <v>0</v>
      </c>
    </row>
    <row r="1140" spans="1:14" hidden="1">
      <c r="A1140" s="151">
        <f t="shared" si="62"/>
        <v>1</v>
      </c>
      <c r="B1140" s="151" t="s">
        <v>206</v>
      </c>
      <c r="C1140" s="159">
        <v>35113</v>
      </c>
      <c r="D1140" s="160" t="s">
        <v>878</v>
      </c>
      <c r="E1140" s="161">
        <f>SUMIF(Lanç!$C$3:$C$114,C1140,Lanç!$F$3:$F$114)</f>
        <v>0</v>
      </c>
      <c r="F1140" s="161">
        <f>SUMIF(Lanç!$C$115:$C$6504,C1140,Lanç!$F$115:$F$6504)</f>
        <v>0</v>
      </c>
      <c r="G1140" s="161">
        <f>SUMIF(Lanç!$C$115:$C$6504,C1140,Lanç!$G$115:$G$6504)</f>
        <v>0</v>
      </c>
      <c r="H1140" s="162">
        <f t="shared" si="63"/>
        <v>0</v>
      </c>
      <c r="I1140" s="162">
        <f t="shared" si="64"/>
        <v>0</v>
      </c>
    </row>
    <row r="1141" spans="1:14" hidden="1">
      <c r="A1141" s="151">
        <f t="shared" si="62"/>
        <v>1</v>
      </c>
      <c r="B1141" s="151" t="s">
        <v>206</v>
      </c>
      <c r="C1141" s="159">
        <v>35114</v>
      </c>
      <c r="D1141" s="160" t="s">
        <v>265</v>
      </c>
      <c r="E1141" s="161">
        <f>SUMIF(Lanç!$C$3:$C$114,C1141,Lanç!$F$3:$F$114)</f>
        <v>0</v>
      </c>
      <c r="F1141" s="161">
        <f>SUMIF(Lanç!$C$115:$C$6504,C1141,Lanç!$F$115:$F$6504)</f>
        <v>0</v>
      </c>
      <c r="G1141" s="161">
        <f>SUMIF(Lanç!$C$115:$C$6504,C1141,Lanç!$G$115:$G$6504)</f>
        <v>0</v>
      </c>
      <c r="H1141" s="162">
        <f t="shared" si="63"/>
        <v>0</v>
      </c>
      <c r="I1141" s="162">
        <f t="shared" si="64"/>
        <v>0</v>
      </c>
    </row>
    <row r="1142" spans="1:14" hidden="1">
      <c r="A1142" s="151">
        <f t="shared" si="62"/>
        <v>1</v>
      </c>
      <c r="B1142" s="155" t="s">
        <v>204</v>
      </c>
      <c r="C1142" s="156">
        <v>3512</v>
      </c>
      <c r="D1142" s="157" t="s">
        <v>879</v>
      </c>
      <c r="E1142" s="158">
        <f>SUM(E1143:E1146)</f>
        <v>0</v>
      </c>
      <c r="F1142" s="158">
        <f>SUM(F1143:F1146)</f>
        <v>0</v>
      </c>
      <c r="G1142" s="158">
        <f>SUM(G1143:G1146)</f>
        <v>0</v>
      </c>
      <c r="H1142" s="154">
        <f t="shared" si="63"/>
        <v>0</v>
      </c>
      <c r="I1142" s="154">
        <f t="shared" si="64"/>
        <v>0</v>
      </c>
      <c r="J1142" s="1"/>
      <c r="K1142" s="1"/>
      <c r="L1142" s="1"/>
      <c r="M1142" s="1"/>
      <c r="N1142" s="1"/>
    </row>
    <row r="1143" spans="1:14" hidden="1">
      <c r="A1143" s="151">
        <f t="shared" si="62"/>
        <v>1</v>
      </c>
      <c r="B1143" s="151" t="s">
        <v>206</v>
      </c>
      <c r="C1143" s="159">
        <v>35121</v>
      </c>
      <c r="D1143" s="160" t="s">
        <v>876</v>
      </c>
      <c r="E1143" s="161">
        <f>SUMIF(Lanç!$C$3:$C$114,C1143,Lanç!$F$3:$F$114)</f>
        <v>0</v>
      </c>
      <c r="F1143" s="161">
        <f>SUMIF(Lanç!$C$115:$C$6504,C1143,Lanç!$F$115:$F$6504)</f>
        <v>0</v>
      </c>
      <c r="G1143" s="161">
        <f>SUMIF(Lanç!$C$115:$C$6504,C1143,Lanç!$G$115:$G$6504)</f>
        <v>0</v>
      </c>
      <c r="H1143" s="162">
        <f t="shared" si="63"/>
        <v>0</v>
      </c>
      <c r="I1143" s="162">
        <f t="shared" si="64"/>
        <v>0</v>
      </c>
    </row>
    <row r="1144" spans="1:14" hidden="1">
      <c r="A1144" s="151">
        <f t="shared" si="62"/>
        <v>1</v>
      </c>
      <c r="B1144" s="151" t="s">
        <v>206</v>
      </c>
      <c r="C1144" s="159">
        <v>35122</v>
      </c>
      <c r="D1144" s="160" t="s">
        <v>877</v>
      </c>
      <c r="E1144" s="161">
        <f>SUMIF(Lanç!$C$3:$C$114,C1144,Lanç!$F$3:$F$114)</f>
        <v>0</v>
      </c>
      <c r="F1144" s="161">
        <f>SUMIF(Lanç!$C$115:$C$6504,C1144,Lanç!$F$115:$F$6504)</f>
        <v>0</v>
      </c>
      <c r="G1144" s="161">
        <f>SUMIF(Lanç!$C$115:$C$6504,C1144,Lanç!$G$115:$G$6504)</f>
        <v>0</v>
      </c>
      <c r="H1144" s="162">
        <f t="shared" si="63"/>
        <v>0</v>
      </c>
      <c r="I1144" s="162">
        <f t="shared" si="64"/>
        <v>0</v>
      </c>
    </row>
    <row r="1145" spans="1:14" hidden="1">
      <c r="A1145" s="151">
        <f t="shared" si="62"/>
        <v>1</v>
      </c>
      <c r="B1145" s="151" t="s">
        <v>206</v>
      </c>
      <c r="C1145" s="159">
        <v>35123</v>
      </c>
      <c r="D1145" s="160" t="s">
        <v>878</v>
      </c>
      <c r="E1145" s="161">
        <f>SUMIF(Lanç!$C$3:$C$114,C1145,Lanç!$F$3:$F$114)</f>
        <v>0</v>
      </c>
      <c r="F1145" s="161">
        <f>SUMIF(Lanç!$C$115:$C$6504,C1145,Lanç!$F$115:$F$6504)</f>
        <v>0</v>
      </c>
      <c r="G1145" s="161">
        <f>SUMIF(Lanç!$C$115:$C$6504,C1145,Lanç!$G$115:$G$6504)</f>
        <v>0</v>
      </c>
      <c r="H1145" s="162">
        <f t="shared" si="63"/>
        <v>0</v>
      </c>
      <c r="I1145" s="162">
        <f t="shared" si="64"/>
        <v>0</v>
      </c>
    </row>
    <row r="1146" spans="1:14" hidden="1">
      <c r="A1146" s="151">
        <f t="shared" si="62"/>
        <v>1</v>
      </c>
      <c r="B1146" s="151" t="s">
        <v>206</v>
      </c>
      <c r="C1146" s="159">
        <v>35124</v>
      </c>
      <c r="D1146" s="160" t="s">
        <v>265</v>
      </c>
      <c r="E1146" s="161">
        <f>SUMIF(Lanç!$C$3:$C$114,C1146,Lanç!$F$3:$F$114)</f>
        <v>0</v>
      </c>
      <c r="F1146" s="161">
        <f>SUMIF(Lanç!$C$115:$C$6504,C1146,Lanç!$F$115:$F$6504)</f>
        <v>0</v>
      </c>
      <c r="G1146" s="161">
        <f>SUMIF(Lanç!$C$115:$C$6504,C1146,Lanç!$G$115:$G$6504)</f>
        <v>0</v>
      </c>
      <c r="H1146" s="162">
        <f t="shared" si="63"/>
        <v>0</v>
      </c>
      <c r="I1146" s="162">
        <f t="shared" si="64"/>
        <v>0</v>
      </c>
    </row>
    <row r="1147" spans="1:14" hidden="1">
      <c r="A1147" s="151">
        <f t="shared" si="62"/>
        <v>1</v>
      </c>
      <c r="B1147" s="155" t="s">
        <v>204</v>
      </c>
      <c r="C1147" s="156">
        <v>3513</v>
      </c>
      <c r="D1147" s="157" t="s">
        <v>880</v>
      </c>
      <c r="E1147" s="158">
        <f>SUM(E1148:E1151)</f>
        <v>0</v>
      </c>
      <c r="F1147" s="158">
        <f>SUM(F1148:F1151)</f>
        <v>0</v>
      </c>
      <c r="G1147" s="158">
        <f>SUM(G1148:G1151)</f>
        <v>0</v>
      </c>
      <c r="H1147" s="154">
        <f t="shared" si="63"/>
        <v>0</v>
      </c>
      <c r="I1147" s="154">
        <f t="shared" si="64"/>
        <v>0</v>
      </c>
      <c r="J1147" s="1"/>
      <c r="K1147" s="1"/>
      <c r="L1147" s="1"/>
      <c r="M1147" s="1"/>
      <c r="N1147" s="1"/>
    </row>
    <row r="1148" spans="1:14" hidden="1">
      <c r="A1148" s="151">
        <f t="shared" si="62"/>
        <v>1</v>
      </c>
      <c r="B1148" s="151" t="s">
        <v>206</v>
      </c>
      <c r="C1148" s="159">
        <v>35131</v>
      </c>
      <c r="D1148" s="160" t="s">
        <v>876</v>
      </c>
      <c r="E1148" s="161">
        <f>SUMIF(Lanç!$C$3:$C$114,C1148,Lanç!$F$3:$F$114)</f>
        <v>0</v>
      </c>
      <c r="F1148" s="161">
        <f>SUMIF(Lanç!$C$115:$C$6504,C1148,Lanç!$F$115:$F$6504)</f>
        <v>0</v>
      </c>
      <c r="G1148" s="161">
        <f>SUMIF(Lanç!$C$115:$C$6504,C1148,Lanç!$G$115:$G$6504)</f>
        <v>0</v>
      </c>
      <c r="H1148" s="162">
        <f t="shared" si="63"/>
        <v>0</v>
      </c>
      <c r="I1148" s="162">
        <f t="shared" si="64"/>
        <v>0</v>
      </c>
    </row>
    <row r="1149" spans="1:14" hidden="1">
      <c r="A1149" s="151">
        <f t="shared" si="62"/>
        <v>1</v>
      </c>
      <c r="B1149" s="151" t="s">
        <v>206</v>
      </c>
      <c r="C1149" s="159">
        <v>35132</v>
      </c>
      <c r="D1149" s="160" t="s">
        <v>877</v>
      </c>
      <c r="E1149" s="161">
        <f>SUMIF(Lanç!$C$3:$C$114,C1149,Lanç!$F$3:$F$114)</f>
        <v>0</v>
      </c>
      <c r="F1149" s="161">
        <f>SUMIF(Lanç!$C$115:$C$6504,C1149,Lanç!$F$115:$F$6504)</f>
        <v>0</v>
      </c>
      <c r="G1149" s="161">
        <f>SUMIF(Lanç!$C$115:$C$6504,C1149,Lanç!$G$115:$G$6504)</f>
        <v>0</v>
      </c>
      <c r="H1149" s="162">
        <f t="shared" si="63"/>
        <v>0</v>
      </c>
      <c r="I1149" s="162">
        <f t="shared" si="64"/>
        <v>0</v>
      </c>
    </row>
    <row r="1150" spans="1:14" hidden="1">
      <c r="A1150" s="151">
        <f t="shared" si="62"/>
        <v>1</v>
      </c>
      <c r="B1150" s="151" t="s">
        <v>206</v>
      </c>
      <c r="C1150" s="159">
        <v>35133</v>
      </c>
      <c r="D1150" s="160" t="s">
        <v>878</v>
      </c>
      <c r="E1150" s="161">
        <f>SUMIF(Lanç!$C$3:$C$114,C1150,Lanç!$F$3:$F$114)</f>
        <v>0</v>
      </c>
      <c r="F1150" s="161">
        <f>SUMIF(Lanç!$C$115:$C$6504,C1150,Lanç!$F$115:$F$6504)</f>
        <v>0</v>
      </c>
      <c r="G1150" s="161">
        <f>SUMIF(Lanç!$C$115:$C$6504,C1150,Lanç!$G$115:$G$6504)</f>
        <v>0</v>
      </c>
      <c r="H1150" s="162">
        <f t="shared" si="63"/>
        <v>0</v>
      </c>
      <c r="I1150" s="162">
        <f t="shared" si="64"/>
        <v>0</v>
      </c>
    </row>
    <row r="1151" spans="1:14" hidden="1">
      <c r="A1151" s="151">
        <f t="shared" si="62"/>
        <v>1</v>
      </c>
      <c r="B1151" s="151" t="s">
        <v>206</v>
      </c>
      <c r="C1151" s="159">
        <v>35134</v>
      </c>
      <c r="D1151" s="160" t="s">
        <v>265</v>
      </c>
      <c r="E1151" s="161">
        <f>SUMIF(Lanç!$C$3:$C$114,C1151,Lanç!$F$3:$F$114)</f>
        <v>0</v>
      </c>
      <c r="F1151" s="161">
        <f>SUMIF(Lanç!$C$115:$C$6504,C1151,Lanç!$F$115:$F$6504)</f>
        <v>0</v>
      </c>
      <c r="G1151" s="161">
        <f>SUMIF(Lanç!$C$115:$C$6504,C1151,Lanç!$G$115:$G$6504)</f>
        <v>0</v>
      </c>
      <c r="H1151" s="162">
        <f t="shared" si="63"/>
        <v>0</v>
      </c>
      <c r="I1151" s="162">
        <f t="shared" si="64"/>
        <v>0</v>
      </c>
    </row>
    <row r="1152" spans="1:14">
      <c r="A1152" s="151">
        <f t="shared" si="62"/>
        <v>0</v>
      </c>
      <c r="B1152" s="155" t="s">
        <v>204</v>
      </c>
      <c r="C1152" s="156">
        <v>3514</v>
      </c>
      <c r="D1152" s="157" t="s">
        <v>245</v>
      </c>
      <c r="E1152" s="158">
        <f>SUM(E1153:E1156)</f>
        <v>-3443669.66</v>
      </c>
      <c r="F1152" s="158">
        <f>SUM(F1153:F1156)</f>
        <v>0</v>
      </c>
      <c r="G1152" s="158">
        <f>SUM(G1153:G1156)</f>
        <v>0</v>
      </c>
      <c r="H1152" s="154">
        <f t="shared" si="63"/>
        <v>0</v>
      </c>
      <c r="I1152" s="154">
        <f t="shared" si="64"/>
        <v>-3443669.66</v>
      </c>
      <c r="J1152" s="1"/>
      <c r="K1152" s="1"/>
      <c r="L1152" s="1"/>
      <c r="M1152" s="1"/>
      <c r="N1152" s="1"/>
    </row>
    <row r="1153" spans="1:14" hidden="1">
      <c r="A1153" s="151">
        <f t="shared" si="62"/>
        <v>1</v>
      </c>
      <c r="B1153" s="151" t="s">
        <v>206</v>
      </c>
      <c r="C1153" s="159">
        <v>35141</v>
      </c>
      <c r="D1153" s="160" t="s">
        <v>876</v>
      </c>
      <c r="E1153" s="161">
        <f>SUMIF(Lanç!$C$3:$C$114,C1153,Lanç!$F$3:$F$114)</f>
        <v>0</v>
      </c>
      <c r="F1153" s="161">
        <f>SUMIF(Lanç!$C$115:$C$6504,C1153,Lanç!$F$115:$F$6504)</f>
        <v>0</v>
      </c>
      <c r="G1153" s="161">
        <f>SUMIF(Lanç!$C$115:$C$6504,C1153,Lanç!$G$115:$G$6504)</f>
        <v>0</v>
      </c>
      <c r="H1153" s="162">
        <f t="shared" si="63"/>
        <v>0</v>
      </c>
      <c r="I1153" s="162">
        <f t="shared" si="64"/>
        <v>0</v>
      </c>
    </row>
    <row r="1154" spans="1:14" hidden="1">
      <c r="A1154" s="151">
        <f t="shared" si="62"/>
        <v>1</v>
      </c>
      <c r="B1154" s="151" t="s">
        <v>206</v>
      </c>
      <c r="C1154" s="159">
        <v>35142</v>
      </c>
      <c r="D1154" s="160" t="s">
        <v>877</v>
      </c>
      <c r="E1154" s="161">
        <f>SUMIF(Lanç!$C$3:$C$114,C1154,Lanç!$F$3:$F$114)</f>
        <v>0</v>
      </c>
      <c r="F1154" s="161">
        <f>SUMIF(Lanç!$C$115:$C$6504,C1154,Lanç!$F$115:$F$6504)</f>
        <v>0</v>
      </c>
      <c r="G1154" s="161">
        <f>SUMIF(Lanç!$C$115:$C$6504,C1154,Lanç!$G$115:$G$6504)</f>
        <v>0</v>
      </c>
      <c r="H1154" s="162">
        <f t="shared" si="63"/>
        <v>0</v>
      </c>
      <c r="I1154" s="162">
        <f t="shared" si="64"/>
        <v>0</v>
      </c>
    </row>
    <row r="1155" spans="1:14" hidden="1">
      <c r="A1155" s="151">
        <f t="shared" si="62"/>
        <v>1</v>
      </c>
      <c r="B1155" s="151" t="s">
        <v>206</v>
      </c>
      <c r="C1155" s="159">
        <v>35143</v>
      </c>
      <c r="D1155" s="160" t="s">
        <v>878</v>
      </c>
      <c r="E1155" s="161">
        <f>SUMIF(Lanç!$C$3:$C$114,C1155,Lanç!$F$3:$F$114)</f>
        <v>0</v>
      </c>
      <c r="F1155" s="161">
        <f>SUMIF(Lanç!$C$115:$C$6504,C1155,Lanç!$F$115:$F$6504)</f>
        <v>0</v>
      </c>
      <c r="G1155" s="161">
        <f>SUMIF(Lanç!$C$115:$C$6504,C1155,Lanç!$G$115:$G$6504)</f>
        <v>0</v>
      </c>
      <c r="H1155" s="162">
        <f t="shared" si="63"/>
        <v>0</v>
      </c>
      <c r="I1155" s="162">
        <f t="shared" si="64"/>
        <v>0</v>
      </c>
    </row>
    <row r="1156" spans="1:14" s="57" customFormat="1">
      <c r="A1156" s="155">
        <f t="shared" si="62"/>
        <v>0</v>
      </c>
      <c r="B1156" s="155" t="s">
        <v>204</v>
      </c>
      <c r="C1156" s="156">
        <v>35144</v>
      </c>
      <c r="D1156" s="157" t="s">
        <v>265</v>
      </c>
      <c r="E1156" s="158">
        <f>SUM(E1157:E1159)</f>
        <v>-3443669.66</v>
      </c>
      <c r="F1156" s="158">
        <f>SUMIF(Lanç!C115:C6504,C1156,Lanç!F115:F6504)</f>
        <v>0</v>
      </c>
      <c r="G1156" s="158">
        <f>SUMIF(Lanç!C115:C6504,C1156,Lanç!G115:G6504)</f>
        <v>0</v>
      </c>
      <c r="H1156" s="163">
        <f t="shared" si="63"/>
        <v>0</v>
      </c>
      <c r="I1156" s="163">
        <f t="shared" si="64"/>
        <v>-3443669.66</v>
      </c>
    </row>
    <row r="1157" spans="1:14">
      <c r="A1157" s="151">
        <f t="shared" si="62"/>
        <v>0</v>
      </c>
      <c r="B1157" s="151" t="s">
        <v>206</v>
      </c>
      <c r="C1157" s="159">
        <v>351441</v>
      </c>
      <c r="D1157" s="160" t="s">
        <v>881</v>
      </c>
      <c r="E1157" s="161">
        <f>SUMIF(Lanç!C3:C114,C1157,Lanç!F3:F114)</f>
        <v>-741454.66</v>
      </c>
      <c r="F1157" s="161">
        <f>SUMIF(Lanç!C115:C6504,C1157,Lanç!F115:F6504)</f>
        <v>0</v>
      </c>
      <c r="G1157" s="161">
        <f>SUMIF(Lanç!C115:C6504,C1157,Lanç!G115:G6504)</f>
        <v>0</v>
      </c>
      <c r="H1157" s="162">
        <f t="shared" si="63"/>
        <v>0</v>
      </c>
      <c r="I1157" s="162">
        <f t="shared" si="64"/>
        <v>-741454.66</v>
      </c>
    </row>
    <row r="1158" spans="1:14" hidden="1">
      <c r="A1158" s="151">
        <f t="shared" si="62"/>
        <v>1</v>
      </c>
      <c r="B1158" s="151" t="s">
        <v>206</v>
      </c>
      <c r="C1158" s="159">
        <v>351442</v>
      </c>
      <c r="D1158" s="160" t="s">
        <v>882</v>
      </c>
      <c r="E1158" s="161">
        <f>SUMIF(Lanç!$C$3:$C$114,C1158,Lanç!$F$3:$F$114)</f>
        <v>0</v>
      </c>
      <c r="F1158" s="161">
        <f>SUMIF(Lanç!$C$115:$C$6504,C1158,Lanç!$F$115:$F$6504)</f>
        <v>0</v>
      </c>
      <c r="G1158" s="161">
        <f>SUMIF(Lanç!$C$115:$C$6504,C1158,Lanç!$G$115:$G$6504)</f>
        <v>0</v>
      </c>
      <c r="H1158" s="162">
        <f t="shared" si="63"/>
        <v>0</v>
      </c>
      <c r="I1158" s="162">
        <f t="shared" si="64"/>
        <v>0</v>
      </c>
    </row>
    <row r="1159" spans="1:14">
      <c r="A1159" s="151">
        <f t="shared" si="62"/>
        <v>0</v>
      </c>
      <c r="B1159" s="151" t="s">
        <v>206</v>
      </c>
      <c r="C1159" s="159">
        <v>351443</v>
      </c>
      <c r="D1159" s="160" t="s">
        <v>883</v>
      </c>
      <c r="E1159" s="161">
        <f>SUMIF(Lanç!C3:C114,C1159,Lanç!F3:F114)</f>
        <v>-2702215</v>
      </c>
      <c r="F1159" s="161">
        <f>SUMIF(Lanç!C115:C6504,C1159,Lanç!F115:F6504)</f>
        <v>0</v>
      </c>
      <c r="G1159" s="161">
        <f>SUMIF(Lanç!C115:C6504,C1159,Lanç!G115:G6504)</f>
        <v>0</v>
      </c>
      <c r="H1159" s="162">
        <f t="shared" si="63"/>
        <v>0</v>
      </c>
      <c r="I1159" s="162">
        <f t="shared" si="64"/>
        <v>-2702215</v>
      </c>
    </row>
    <row r="1160" spans="1:14" hidden="1">
      <c r="A1160" s="151">
        <f t="shared" si="62"/>
        <v>1</v>
      </c>
      <c r="B1160" s="155" t="s">
        <v>204</v>
      </c>
      <c r="C1160" s="156">
        <v>352</v>
      </c>
      <c r="D1160" s="157" t="s">
        <v>884</v>
      </c>
      <c r="E1160" s="158">
        <f>SUM(E1161,E1166,E1171,E1176)</f>
        <v>0</v>
      </c>
      <c r="F1160" s="158">
        <f>SUMIF(Lanç!$C$115:$C$6504,C1160,Lanç!$F$115:$F$6504)</f>
        <v>0</v>
      </c>
      <c r="G1160" s="158">
        <f>SUMIF(Lanç!$C$115:$C$6504,C1160,Lanç!$G$115:$G$6504)</f>
        <v>0</v>
      </c>
      <c r="H1160" s="154">
        <f t="shared" si="63"/>
        <v>0</v>
      </c>
      <c r="I1160" s="154">
        <f t="shared" si="64"/>
        <v>0</v>
      </c>
      <c r="J1160" s="1"/>
      <c r="K1160" s="1"/>
      <c r="L1160" s="1"/>
      <c r="M1160" s="1"/>
      <c r="N1160" s="1"/>
    </row>
    <row r="1161" spans="1:14" hidden="1">
      <c r="A1161" s="151">
        <f t="shared" si="62"/>
        <v>1</v>
      </c>
      <c r="B1161" s="155" t="s">
        <v>204</v>
      </c>
      <c r="C1161" s="156">
        <v>3521</v>
      </c>
      <c r="D1161" s="157" t="s">
        <v>875</v>
      </c>
      <c r="E1161" s="158">
        <f>SUM(E1162:E1165)</f>
        <v>0</v>
      </c>
      <c r="F1161" s="158">
        <f>SUM(F1162:F1165)</f>
        <v>0</v>
      </c>
      <c r="G1161" s="158">
        <f>SUM(G1162:G1165)</f>
        <v>0</v>
      </c>
      <c r="H1161" s="154">
        <f t="shared" si="63"/>
        <v>0</v>
      </c>
      <c r="I1161" s="154">
        <f t="shared" si="64"/>
        <v>0</v>
      </c>
      <c r="J1161" s="1"/>
      <c r="K1161" s="1"/>
      <c r="L1161" s="1"/>
      <c r="M1161" s="1"/>
      <c r="N1161" s="1"/>
    </row>
    <row r="1162" spans="1:14" hidden="1">
      <c r="A1162" s="151">
        <f t="shared" si="62"/>
        <v>1</v>
      </c>
      <c r="B1162" s="151" t="s">
        <v>206</v>
      </c>
      <c r="C1162" s="159">
        <v>35211</v>
      </c>
      <c r="D1162" s="160" t="s">
        <v>876</v>
      </c>
      <c r="E1162" s="161">
        <f>SUMIF(Lanç!$C$3:$C$114,C1162,Lanç!$F$3:$F$114)</f>
        <v>0</v>
      </c>
      <c r="F1162" s="161">
        <f>SUMIF(Lanç!$C$115:$C$6504,C1162,Lanç!$F$115:$F$6504)</f>
        <v>0</v>
      </c>
      <c r="G1162" s="161">
        <f>SUMIF(Lanç!$C$115:$C$6504,C1162,Lanç!$G$115:$G$6504)</f>
        <v>0</v>
      </c>
      <c r="H1162" s="162">
        <f t="shared" si="63"/>
        <v>0</v>
      </c>
      <c r="I1162" s="162">
        <f t="shared" si="64"/>
        <v>0</v>
      </c>
    </row>
    <row r="1163" spans="1:14" hidden="1">
      <c r="A1163" s="151">
        <f t="shared" si="62"/>
        <v>1</v>
      </c>
      <c r="B1163" s="151" t="s">
        <v>206</v>
      </c>
      <c r="C1163" s="159">
        <v>35212</v>
      </c>
      <c r="D1163" s="160" t="s">
        <v>877</v>
      </c>
      <c r="E1163" s="161">
        <f>SUMIF(Lanç!$C$3:$C$114,C1163,Lanç!$F$3:$F$114)</f>
        <v>0</v>
      </c>
      <c r="F1163" s="161">
        <f>SUMIF(Lanç!$C$115:$C$6504,C1163,Lanç!$F$115:$F$6504)</f>
        <v>0</v>
      </c>
      <c r="G1163" s="161">
        <f>SUMIF(Lanç!$C$115:$C$6504,C1163,Lanç!$G$115:$G$6504)</f>
        <v>0</v>
      </c>
      <c r="H1163" s="162">
        <f t="shared" si="63"/>
        <v>0</v>
      </c>
      <c r="I1163" s="162">
        <f t="shared" si="64"/>
        <v>0</v>
      </c>
    </row>
    <row r="1164" spans="1:14" hidden="1">
      <c r="A1164" s="151">
        <f t="shared" si="62"/>
        <v>1</v>
      </c>
      <c r="B1164" s="151" t="s">
        <v>206</v>
      </c>
      <c r="C1164" s="159">
        <v>35213</v>
      </c>
      <c r="D1164" s="160" t="s">
        <v>878</v>
      </c>
      <c r="E1164" s="161">
        <f>SUMIF(Lanç!$C$3:$C$114,C1164,Lanç!$F$3:$F$114)</f>
        <v>0</v>
      </c>
      <c r="F1164" s="161">
        <f>SUMIF(Lanç!$C$115:$C$6504,C1164,Lanç!$F$115:$F$6504)</f>
        <v>0</v>
      </c>
      <c r="G1164" s="161">
        <f>SUMIF(Lanç!$C$115:$C$6504,C1164,Lanç!$G$115:$G$6504)</f>
        <v>0</v>
      </c>
      <c r="H1164" s="162">
        <f t="shared" si="63"/>
        <v>0</v>
      </c>
      <c r="I1164" s="162">
        <f t="shared" si="64"/>
        <v>0</v>
      </c>
    </row>
    <row r="1165" spans="1:14" hidden="1">
      <c r="A1165" s="151">
        <f t="shared" si="62"/>
        <v>1</v>
      </c>
      <c r="B1165" s="151" t="s">
        <v>206</v>
      </c>
      <c r="C1165" s="159">
        <v>35214</v>
      </c>
      <c r="D1165" s="160" t="s">
        <v>265</v>
      </c>
      <c r="E1165" s="161">
        <f>SUMIF(Lanç!$C$3:$C$114,C1165,Lanç!$F$3:$F$114)</f>
        <v>0</v>
      </c>
      <c r="F1165" s="161">
        <f>SUMIF(Lanç!$C$115:$C$6504,C1165,Lanç!$F$115:$F$6504)</f>
        <v>0</v>
      </c>
      <c r="G1165" s="161">
        <f>SUMIF(Lanç!$C$115:$C$6504,C1165,Lanç!$G$115:$G$6504)</f>
        <v>0</v>
      </c>
      <c r="H1165" s="162">
        <f t="shared" si="63"/>
        <v>0</v>
      </c>
      <c r="I1165" s="162">
        <f t="shared" si="64"/>
        <v>0</v>
      </c>
    </row>
    <row r="1166" spans="1:14" hidden="1">
      <c r="A1166" s="151">
        <f t="shared" si="62"/>
        <v>1</v>
      </c>
      <c r="B1166" s="155" t="s">
        <v>204</v>
      </c>
      <c r="C1166" s="156">
        <v>3522</v>
      </c>
      <c r="D1166" s="157" t="s">
        <v>879</v>
      </c>
      <c r="E1166" s="158">
        <f>SUM(E1167:E1170)</f>
        <v>0</v>
      </c>
      <c r="F1166" s="158">
        <f>SUM(F1167:F1170)</f>
        <v>0</v>
      </c>
      <c r="G1166" s="158">
        <f>SUM(G1167:G1170)</f>
        <v>0</v>
      </c>
      <c r="H1166" s="154">
        <f t="shared" si="63"/>
        <v>0</v>
      </c>
      <c r="I1166" s="154">
        <f t="shared" si="64"/>
        <v>0</v>
      </c>
      <c r="J1166" s="1"/>
      <c r="K1166" s="1"/>
      <c r="L1166" s="1"/>
      <c r="M1166" s="1"/>
      <c r="N1166" s="1"/>
    </row>
    <row r="1167" spans="1:14" hidden="1">
      <c r="A1167" s="151">
        <f t="shared" si="62"/>
        <v>1</v>
      </c>
      <c r="B1167" s="151" t="s">
        <v>206</v>
      </c>
      <c r="C1167" s="159">
        <v>35221</v>
      </c>
      <c r="D1167" s="160" t="s">
        <v>876</v>
      </c>
      <c r="E1167" s="161">
        <f>SUMIF(Lanç!$C$3:$C$114,C1167,Lanç!$F$3:$F$114)</f>
        <v>0</v>
      </c>
      <c r="F1167" s="161">
        <f>SUMIF(Lanç!$C$115:$C$6504,C1167,Lanç!$F$115:$F$6504)</f>
        <v>0</v>
      </c>
      <c r="G1167" s="161">
        <f>SUMIF(Lanç!$C$115:$C$6504,C1167,Lanç!$G$115:$G$6504)</f>
        <v>0</v>
      </c>
      <c r="H1167" s="162">
        <f t="shared" si="63"/>
        <v>0</v>
      </c>
      <c r="I1167" s="162">
        <f t="shared" si="64"/>
        <v>0</v>
      </c>
    </row>
    <row r="1168" spans="1:14" hidden="1">
      <c r="A1168" s="151">
        <f t="shared" si="62"/>
        <v>1</v>
      </c>
      <c r="B1168" s="151" t="s">
        <v>206</v>
      </c>
      <c r="C1168" s="159">
        <v>35222</v>
      </c>
      <c r="D1168" s="160" t="s">
        <v>877</v>
      </c>
      <c r="E1168" s="161">
        <f>SUMIF(Lanç!$C$3:$C$114,C1168,Lanç!$F$3:$F$114)</f>
        <v>0</v>
      </c>
      <c r="F1168" s="161">
        <f>SUMIF(Lanç!$C$115:$C$6504,C1168,Lanç!$F$115:$F$6504)</f>
        <v>0</v>
      </c>
      <c r="G1168" s="161">
        <f>SUMIF(Lanç!$C$115:$C$6504,C1168,Lanç!$G$115:$G$6504)</f>
        <v>0</v>
      </c>
      <c r="H1168" s="162">
        <f t="shared" si="63"/>
        <v>0</v>
      </c>
      <c r="I1168" s="162">
        <f t="shared" si="64"/>
        <v>0</v>
      </c>
    </row>
    <row r="1169" spans="1:14" hidden="1">
      <c r="A1169" s="151">
        <f t="shared" si="62"/>
        <v>1</v>
      </c>
      <c r="B1169" s="151" t="s">
        <v>206</v>
      </c>
      <c r="C1169" s="159">
        <v>35223</v>
      </c>
      <c r="D1169" s="160" t="s">
        <v>878</v>
      </c>
      <c r="E1169" s="161">
        <f>SUMIF(Lanç!$C$3:$C$114,C1169,Lanç!$F$3:$F$114)</f>
        <v>0</v>
      </c>
      <c r="F1169" s="161">
        <f>SUMIF(Lanç!$C$115:$C$6504,C1169,Lanç!$F$115:$F$6504)</f>
        <v>0</v>
      </c>
      <c r="G1169" s="161">
        <f>SUMIF(Lanç!$C$115:$C$6504,C1169,Lanç!$G$115:$G$6504)</f>
        <v>0</v>
      </c>
      <c r="H1169" s="162">
        <f t="shared" si="63"/>
        <v>0</v>
      </c>
      <c r="I1169" s="162">
        <f t="shared" si="64"/>
        <v>0</v>
      </c>
    </row>
    <row r="1170" spans="1:14" hidden="1">
      <c r="A1170" s="151">
        <f t="shared" si="62"/>
        <v>1</v>
      </c>
      <c r="B1170" s="151" t="s">
        <v>206</v>
      </c>
      <c r="C1170" s="159">
        <v>35224</v>
      </c>
      <c r="D1170" s="160" t="s">
        <v>265</v>
      </c>
      <c r="E1170" s="161">
        <f>SUMIF(Lanç!$C$3:$C$114,C1170,Lanç!$F$3:$F$114)</f>
        <v>0</v>
      </c>
      <c r="F1170" s="161">
        <f>SUMIF(Lanç!$C$115:$C$6504,C1170,Lanç!$F$115:$F$6504)</f>
        <v>0</v>
      </c>
      <c r="G1170" s="161">
        <f>SUMIF(Lanç!$C$115:$C$6504,C1170,Lanç!$G$115:$G$6504)</f>
        <v>0</v>
      </c>
      <c r="H1170" s="162">
        <f t="shared" si="63"/>
        <v>0</v>
      </c>
      <c r="I1170" s="162">
        <f t="shared" si="64"/>
        <v>0</v>
      </c>
    </row>
    <row r="1171" spans="1:14" hidden="1">
      <c r="A1171" s="151">
        <f t="shared" si="62"/>
        <v>1</v>
      </c>
      <c r="B1171" s="155" t="s">
        <v>204</v>
      </c>
      <c r="C1171" s="156">
        <v>3523</v>
      </c>
      <c r="D1171" s="157" t="s">
        <v>880</v>
      </c>
      <c r="E1171" s="158">
        <f>SUM(E1172:E1175)</f>
        <v>0</v>
      </c>
      <c r="F1171" s="158">
        <f>SUM(F1172:F1175)</f>
        <v>0</v>
      </c>
      <c r="G1171" s="158">
        <f>SUM(G1172:G1175)</f>
        <v>0</v>
      </c>
      <c r="H1171" s="154">
        <f t="shared" si="63"/>
        <v>0</v>
      </c>
      <c r="I1171" s="154">
        <f t="shared" si="64"/>
        <v>0</v>
      </c>
      <c r="J1171" s="1"/>
      <c r="K1171" s="1"/>
      <c r="L1171" s="1"/>
      <c r="M1171" s="1"/>
      <c r="N1171" s="1"/>
    </row>
    <row r="1172" spans="1:14" hidden="1">
      <c r="A1172" s="151">
        <f t="shared" si="62"/>
        <v>1</v>
      </c>
      <c r="B1172" s="151" t="s">
        <v>206</v>
      </c>
      <c r="C1172" s="159">
        <v>35231</v>
      </c>
      <c r="D1172" s="160" t="s">
        <v>876</v>
      </c>
      <c r="E1172" s="161">
        <f>SUMIF(Lanç!$C$3:$C$114,C1172,Lanç!$F$3:$F$114)</f>
        <v>0</v>
      </c>
      <c r="F1172" s="161">
        <f>SUMIF(Lanç!$C$115:$C$6504,C1172,Lanç!$F$115:$F$6504)</f>
        <v>0</v>
      </c>
      <c r="G1172" s="161">
        <f>SUMIF(Lanç!$C$115:$C$6504,C1172,Lanç!$G$115:$G$6504)</f>
        <v>0</v>
      </c>
      <c r="H1172" s="162">
        <f t="shared" si="63"/>
        <v>0</v>
      </c>
      <c r="I1172" s="162">
        <f t="shared" si="64"/>
        <v>0</v>
      </c>
    </row>
    <row r="1173" spans="1:14" hidden="1">
      <c r="A1173" s="151">
        <f t="shared" si="62"/>
        <v>1</v>
      </c>
      <c r="B1173" s="151" t="s">
        <v>206</v>
      </c>
      <c r="C1173" s="159">
        <v>35232</v>
      </c>
      <c r="D1173" s="160" t="s">
        <v>877</v>
      </c>
      <c r="E1173" s="161">
        <f>SUMIF(Lanç!$C$3:$C$114,C1173,Lanç!$F$3:$F$114)</f>
        <v>0</v>
      </c>
      <c r="F1173" s="161">
        <f>SUMIF(Lanç!$C$115:$C$6504,C1173,Lanç!$F$115:$F$6504)</f>
        <v>0</v>
      </c>
      <c r="G1173" s="161">
        <f>SUMIF(Lanç!$C$115:$C$6504,C1173,Lanç!$G$115:$G$6504)</f>
        <v>0</v>
      </c>
      <c r="H1173" s="162">
        <f t="shared" si="63"/>
        <v>0</v>
      </c>
      <c r="I1173" s="162">
        <f t="shared" si="64"/>
        <v>0</v>
      </c>
    </row>
    <row r="1174" spans="1:14" hidden="1">
      <c r="A1174" s="151">
        <f t="shared" si="62"/>
        <v>1</v>
      </c>
      <c r="B1174" s="151" t="s">
        <v>206</v>
      </c>
      <c r="C1174" s="159">
        <v>35233</v>
      </c>
      <c r="D1174" s="160" t="s">
        <v>878</v>
      </c>
      <c r="E1174" s="161">
        <f>SUMIF(Lanç!$C$3:$C$114,C1174,Lanç!$F$3:$F$114)</f>
        <v>0</v>
      </c>
      <c r="F1174" s="161">
        <f>SUMIF(Lanç!$C$115:$C$6504,C1174,Lanç!$F$115:$F$6504)</f>
        <v>0</v>
      </c>
      <c r="G1174" s="161">
        <f>SUMIF(Lanç!$C$115:$C$6504,C1174,Lanç!$G$115:$G$6504)</f>
        <v>0</v>
      </c>
      <c r="H1174" s="162">
        <f t="shared" si="63"/>
        <v>0</v>
      </c>
      <c r="I1174" s="162">
        <f t="shared" si="64"/>
        <v>0</v>
      </c>
    </row>
    <row r="1175" spans="1:14" hidden="1">
      <c r="A1175" s="151">
        <f t="shared" si="62"/>
        <v>1</v>
      </c>
      <c r="B1175" s="151" t="s">
        <v>206</v>
      </c>
      <c r="C1175" s="159">
        <v>35234</v>
      </c>
      <c r="D1175" s="160" t="s">
        <v>265</v>
      </c>
      <c r="E1175" s="161">
        <f>SUMIF(Lanç!$C$3:$C$114,C1175,Lanç!$F$3:$F$114)</f>
        <v>0</v>
      </c>
      <c r="F1175" s="161">
        <f>SUMIF(Lanç!$C$115:$C$6504,C1175,Lanç!$F$115:$F$6504)</f>
        <v>0</v>
      </c>
      <c r="G1175" s="161">
        <f>SUMIF(Lanç!$C$115:$C$6504,C1175,Lanç!$G$115:$G$6504)</f>
        <v>0</v>
      </c>
      <c r="H1175" s="162">
        <f t="shared" si="63"/>
        <v>0</v>
      </c>
      <c r="I1175" s="162">
        <f t="shared" si="64"/>
        <v>0</v>
      </c>
    </row>
    <row r="1176" spans="1:14" hidden="1">
      <c r="A1176" s="151">
        <f t="shared" si="62"/>
        <v>1</v>
      </c>
      <c r="B1176" s="155" t="s">
        <v>204</v>
      </c>
      <c r="C1176" s="156">
        <v>3524</v>
      </c>
      <c r="D1176" s="157" t="s">
        <v>245</v>
      </c>
      <c r="E1176" s="158">
        <f>SUM(E1177:E1180)</f>
        <v>0</v>
      </c>
      <c r="F1176" s="158">
        <f>SUM(F1177:F1180)</f>
        <v>0</v>
      </c>
      <c r="G1176" s="158">
        <f>SUM(G1177:G1180)</f>
        <v>0</v>
      </c>
      <c r="H1176" s="154">
        <f t="shared" si="63"/>
        <v>0</v>
      </c>
      <c r="I1176" s="154">
        <f t="shared" si="64"/>
        <v>0</v>
      </c>
      <c r="J1176" s="1"/>
      <c r="K1176" s="1"/>
      <c r="L1176" s="1"/>
      <c r="M1176" s="1"/>
      <c r="N1176" s="1"/>
    </row>
    <row r="1177" spans="1:14" hidden="1">
      <c r="A1177" s="151">
        <f t="shared" si="62"/>
        <v>1</v>
      </c>
      <c r="B1177" s="151" t="s">
        <v>206</v>
      </c>
      <c r="C1177" s="159">
        <v>35241</v>
      </c>
      <c r="D1177" s="160" t="s">
        <v>876</v>
      </c>
      <c r="E1177" s="161">
        <f>SUMIF(Lanç!$C$3:$C$114,C1177,Lanç!$F$3:$F$114)</f>
        <v>0</v>
      </c>
      <c r="F1177" s="161">
        <f>SUMIF(Lanç!$C$115:$C$6504,C1177,Lanç!$F$115:$F$6504)</f>
        <v>0</v>
      </c>
      <c r="G1177" s="161">
        <f>SUMIF(Lanç!$C$115:$C$6504,C1177,Lanç!$G$115:$G$6504)</f>
        <v>0</v>
      </c>
      <c r="H1177" s="162">
        <f t="shared" si="63"/>
        <v>0</v>
      </c>
      <c r="I1177" s="162">
        <f t="shared" si="64"/>
        <v>0</v>
      </c>
    </row>
    <row r="1178" spans="1:14" hidden="1">
      <c r="A1178" s="151">
        <f t="shared" si="62"/>
        <v>1</v>
      </c>
      <c r="B1178" s="151" t="s">
        <v>206</v>
      </c>
      <c r="C1178" s="159">
        <v>35242</v>
      </c>
      <c r="D1178" s="160" t="s">
        <v>877</v>
      </c>
      <c r="E1178" s="161">
        <f>SUMIF(Lanç!$C$3:$C$114,C1178,Lanç!$F$3:$F$114)</f>
        <v>0</v>
      </c>
      <c r="F1178" s="161">
        <f>SUMIF(Lanç!$C$115:$C$6504,C1178,Lanç!$F$115:$F$6504)</f>
        <v>0</v>
      </c>
      <c r="G1178" s="161">
        <f>SUMIF(Lanç!$C$115:$C$6504,C1178,Lanç!$G$115:$G$6504)</f>
        <v>0</v>
      </c>
      <c r="H1178" s="162">
        <f t="shared" si="63"/>
        <v>0</v>
      </c>
      <c r="I1178" s="162">
        <f t="shared" si="64"/>
        <v>0</v>
      </c>
    </row>
    <row r="1179" spans="1:14" hidden="1">
      <c r="A1179" s="151">
        <f t="shared" ref="A1179:A1244" si="69">IF(E1179+F1179+G1179+H1179+I1179=0,1,0)</f>
        <v>1</v>
      </c>
      <c r="B1179" s="151" t="s">
        <v>206</v>
      </c>
      <c r="C1179" s="159">
        <v>35243</v>
      </c>
      <c r="D1179" s="160" t="s">
        <v>878</v>
      </c>
      <c r="E1179" s="161">
        <f>SUMIF(Lanç!$C$3:$C$114,C1179,Lanç!$F$3:$F$114)</f>
        <v>0</v>
      </c>
      <c r="F1179" s="161">
        <f>SUMIF(Lanç!$C$115:$C$6504,C1179,Lanç!$F$115:$F$6504)</f>
        <v>0</v>
      </c>
      <c r="G1179" s="161">
        <f>SUMIF(Lanç!$C$115:$C$6504,C1179,Lanç!$G$115:$G$6504)</f>
        <v>0</v>
      </c>
      <c r="H1179" s="162">
        <f t="shared" ref="H1179:H1243" si="70">(F1179)-(G1179)</f>
        <v>0</v>
      </c>
      <c r="I1179" s="162">
        <f t="shared" ref="I1179:I1244" si="71">(E1179)+(H1179)</f>
        <v>0</v>
      </c>
    </row>
    <row r="1180" spans="1:14" hidden="1">
      <c r="A1180" s="151">
        <f t="shared" si="69"/>
        <v>1</v>
      </c>
      <c r="B1180" s="151" t="s">
        <v>206</v>
      </c>
      <c r="C1180" s="159">
        <v>35244</v>
      </c>
      <c r="D1180" s="160" t="s">
        <v>265</v>
      </c>
      <c r="E1180" s="161">
        <f>SUMIF(Lanç!$C$3:$C$114,C1180,Lanç!$F$3:$F$114)</f>
        <v>0</v>
      </c>
      <c r="F1180" s="161">
        <f>SUMIF(Lanç!$C$115:$C$6504,C1180,Lanç!$F$115:$F$6504)</f>
        <v>0</v>
      </c>
      <c r="G1180" s="161">
        <f>SUMIF(Lanç!$C$115:$C$6504,C1180,Lanç!$G$115:$G$6504)</f>
        <v>0</v>
      </c>
      <c r="H1180" s="162">
        <f t="shared" si="70"/>
        <v>0</v>
      </c>
      <c r="I1180" s="162">
        <f t="shared" si="71"/>
        <v>0</v>
      </c>
    </row>
    <row r="1181" spans="1:14">
      <c r="A1181" s="151">
        <f t="shared" si="69"/>
        <v>0</v>
      </c>
      <c r="B1181" s="155" t="s">
        <v>202</v>
      </c>
      <c r="C1181" s="156">
        <v>36</v>
      </c>
      <c r="D1181" s="157" t="s">
        <v>885</v>
      </c>
      <c r="E1181" s="158">
        <f>SUM(E1182,E1214,E1219,E1242)</f>
        <v>-4444631.95</v>
      </c>
      <c r="F1181" s="158">
        <f>SUM(F1182,F1214,F1219,F1242)</f>
        <v>0</v>
      </c>
      <c r="G1181" s="158">
        <f>SUM(G1182,G1214,G1219,G1242)</f>
        <v>0</v>
      </c>
      <c r="H1181" s="154">
        <f t="shared" si="70"/>
        <v>0</v>
      </c>
      <c r="I1181" s="154">
        <f t="shared" si="71"/>
        <v>-4444631.95</v>
      </c>
      <c r="J1181" s="1"/>
      <c r="K1181" s="1"/>
      <c r="L1181" s="1"/>
      <c r="M1181" s="1"/>
      <c r="N1181" s="1"/>
    </row>
    <row r="1182" spans="1:14">
      <c r="A1182" s="151">
        <f t="shared" si="69"/>
        <v>0</v>
      </c>
      <c r="B1182" s="155" t="s">
        <v>204</v>
      </c>
      <c r="C1182" s="156">
        <v>361</v>
      </c>
      <c r="D1182" s="157" t="s">
        <v>886</v>
      </c>
      <c r="E1182" s="158">
        <f>SUM(E1183,E1185)</f>
        <v>-4444631.95</v>
      </c>
      <c r="F1182" s="158">
        <f>SUM(F1183,F1185)</f>
        <v>0</v>
      </c>
      <c r="G1182" s="158">
        <f>SUM(G1183,G1185)</f>
        <v>0</v>
      </c>
      <c r="H1182" s="154">
        <f t="shared" si="70"/>
        <v>0</v>
      </c>
      <c r="I1182" s="154">
        <f t="shared" si="71"/>
        <v>-4444631.95</v>
      </c>
    </row>
    <row r="1183" spans="1:14" hidden="1">
      <c r="A1183" s="151">
        <f t="shared" si="69"/>
        <v>1</v>
      </c>
      <c r="B1183" s="155" t="s">
        <v>204</v>
      </c>
      <c r="C1183" s="156">
        <v>3611</v>
      </c>
      <c r="D1183" s="157" t="s">
        <v>887</v>
      </c>
      <c r="E1183" s="158">
        <f>SUM(E1184)</f>
        <v>0</v>
      </c>
      <c r="F1183" s="158">
        <f>SUM(F1184)</f>
        <v>0</v>
      </c>
      <c r="G1183" s="158">
        <f>SUM(G1184)</f>
        <v>0</v>
      </c>
      <c r="H1183" s="154">
        <f t="shared" si="70"/>
        <v>0</v>
      </c>
      <c r="I1183" s="154">
        <f t="shared" si="71"/>
        <v>0</v>
      </c>
    </row>
    <row r="1184" spans="1:14" hidden="1">
      <c r="A1184" s="151">
        <f t="shared" si="69"/>
        <v>1</v>
      </c>
      <c r="B1184" s="151" t="s">
        <v>206</v>
      </c>
      <c r="C1184" s="159">
        <v>36111</v>
      </c>
      <c r="D1184" s="160" t="s">
        <v>887</v>
      </c>
      <c r="E1184" s="161">
        <f>SUMIF(Lanç!$C$3:$C$114,C1184,Lanç!$F$3:$F$114)</f>
        <v>0</v>
      </c>
      <c r="F1184" s="161">
        <f>SUMIF(Lanç!$C$115:$C$6504,C1184,Lanç!$F$115:$F$6504)</f>
        <v>0</v>
      </c>
      <c r="G1184" s="161">
        <f>SUMIF(Lanç!$C$115:$C$6504,C1184,Lanç!$G$115:$G$6504)</f>
        <v>0</v>
      </c>
      <c r="H1184" s="162">
        <f t="shared" si="70"/>
        <v>0</v>
      </c>
      <c r="I1184" s="162">
        <f t="shared" si="71"/>
        <v>0</v>
      </c>
    </row>
    <row r="1185" spans="1:14">
      <c r="A1185" s="151">
        <f t="shared" si="69"/>
        <v>0</v>
      </c>
      <c r="B1185" s="155" t="s">
        <v>204</v>
      </c>
      <c r="C1185" s="156">
        <v>3612</v>
      </c>
      <c r="D1185" s="157" t="s">
        <v>888</v>
      </c>
      <c r="E1185" s="158">
        <f>SUM(E1186)</f>
        <v>-4444631.95</v>
      </c>
      <c r="F1185" s="158">
        <f>SUM(F1186)</f>
        <v>0</v>
      </c>
      <c r="G1185" s="158">
        <f>SUM(G1186)</f>
        <v>0</v>
      </c>
      <c r="H1185" s="154">
        <f t="shared" si="70"/>
        <v>0</v>
      </c>
      <c r="I1185" s="154">
        <f t="shared" si="71"/>
        <v>-4444631.95</v>
      </c>
      <c r="J1185" s="1"/>
      <c r="K1185" s="1"/>
      <c r="L1185" s="1"/>
      <c r="M1185" s="1"/>
      <c r="N1185" s="1"/>
    </row>
    <row r="1186" spans="1:14" s="57" customFormat="1">
      <c r="A1186" s="155">
        <f t="shared" si="69"/>
        <v>0</v>
      </c>
      <c r="B1186" s="155" t="s">
        <v>204</v>
      </c>
      <c r="C1186" s="156">
        <v>36121</v>
      </c>
      <c r="D1186" s="157" t="s">
        <v>888</v>
      </c>
      <c r="E1186" s="158">
        <f>SUM(E1187:E1213)</f>
        <v>-4444631.95</v>
      </c>
      <c r="F1186" s="158">
        <f>SUM(F1187:F1213)</f>
        <v>0</v>
      </c>
      <c r="G1186" s="158">
        <f>SUM(G1187:G1213)</f>
        <v>0</v>
      </c>
      <c r="H1186" s="163">
        <f t="shared" si="70"/>
        <v>0</v>
      </c>
      <c r="I1186" s="163">
        <f t="shared" si="71"/>
        <v>-4444631.95</v>
      </c>
    </row>
    <row r="1187" spans="1:14" s="57" customFormat="1">
      <c r="A1187" s="151">
        <f>IF(E1187+F1187+G1187+H1187+I1187=0,1,0)</f>
        <v>0</v>
      </c>
      <c r="B1187" s="151" t="s">
        <v>206</v>
      </c>
      <c r="C1187" s="159">
        <v>3612101</v>
      </c>
      <c r="D1187" s="160" t="s">
        <v>888</v>
      </c>
      <c r="E1187" s="161">
        <f>SUMIF(Lanç!$C$3:$C$114,C1187,Lanç!$F$3:$F$114)</f>
        <v>-4444631.95</v>
      </c>
      <c r="F1187" s="161">
        <f>SUMIF(Lanç!$C$115:$C$6504,C1187,Lanç!$F$115:$F$6504)</f>
        <v>0</v>
      </c>
      <c r="G1187" s="161">
        <f>SUMIF(Lanç!$C$115:$C$6504,C1187,Lanç!$G$115:$G$6504)</f>
        <v>0</v>
      </c>
      <c r="H1187" s="162">
        <f>(F1187)-(G1187)</f>
        <v>0</v>
      </c>
      <c r="I1187" s="162">
        <f>(E1187)+(H1187)</f>
        <v>-4444631.95</v>
      </c>
    </row>
    <row r="1188" spans="1:14" hidden="1">
      <c r="A1188" s="151">
        <f t="shared" si="69"/>
        <v>1</v>
      </c>
      <c r="B1188" s="151" t="s">
        <v>206</v>
      </c>
      <c r="C1188" s="159">
        <v>361211</v>
      </c>
      <c r="D1188" s="160" t="s">
        <v>889</v>
      </c>
      <c r="E1188" s="161">
        <f>SUMIF(Lanç!$C$3:$C$114,C1188,Lanç!$F$3:$F$114)</f>
        <v>0</v>
      </c>
      <c r="F1188" s="161">
        <f>SUMIF(Lanç!$C$115:$C$6504,C1188,Lanç!$F$115:$F$6504)</f>
        <v>0</v>
      </c>
      <c r="G1188" s="161">
        <f>SUMIF(Lanç!$C$115:$C$6504,C1188,Lanç!$G$115:$G$6504)</f>
        <v>0</v>
      </c>
      <c r="H1188" s="162">
        <f t="shared" si="70"/>
        <v>0</v>
      </c>
      <c r="I1188" s="162">
        <f t="shared" si="71"/>
        <v>0</v>
      </c>
    </row>
    <row r="1189" spans="1:14" hidden="1">
      <c r="A1189" s="151">
        <f t="shared" si="69"/>
        <v>1</v>
      </c>
      <c r="B1189" s="151" t="s">
        <v>206</v>
      </c>
      <c r="C1189" s="159">
        <v>361212</v>
      </c>
      <c r="D1189" s="160" t="s">
        <v>890</v>
      </c>
      <c r="E1189" s="161">
        <f>SUMIF(Lanç!$C$3:$C$114,C1189,Lanç!$F$3:$F$114)</f>
        <v>0</v>
      </c>
      <c r="F1189" s="161">
        <f>SUMIF(Lanç!$C$115:$C$6504,C1189,Lanç!$F$115:$F$6504)</f>
        <v>0</v>
      </c>
      <c r="G1189" s="161">
        <f>SUMIF(Lanç!$C$115:$C$6504,C1189,Lanç!$G$115:$G$6504)</f>
        <v>0</v>
      </c>
      <c r="H1189" s="162">
        <f t="shared" si="70"/>
        <v>0</v>
      </c>
      <c r="I1189" s="162">
        <f t="shared" si="71"/>
        <v>0</v>
      </c>
    </row>
    <row r="1190" spans="1:14" hidden="1">
      <c r="A1190" s="151">
        <f t="shared" si="69"/>
        <v>1</v>
      </c>
      <c r="B1190" s="151" t="s">
        <v>206</v>
      </c>
      <c r="C1190" s="159">
        <v>361213</v>
      </c>
      <c r="D1190" s="160" t="s">
        <v>891</v>
      </c>
      <c r="E1190" s="161">
        <f>SUMIF(Lanç!$C$3:$C$114,C1190,Lanç!$F$3:$F$114)</f>
        <v>0</v>
      </c>
      <c r="F1190" s="161">
        <f>SUMIF(Lanç!$C$115:$C$6504,C1190,Lanç!$F$115:$F$6504)</f>
        <v>0</v>
      </c>
      <c r="G1190" s="161">
        <f>SUMIF(Lanç!$C$115:$C$6504,C1190,Lanç!$G$115:$G$6504)</f>
        <v>0</v>
      </c>
      <c r="H1190" s="162">
        <f t="shared" si="70"/>
        <v>0</v>
      </c>
      <c r="I1190" s="162">
        <f t="shared" si="71"/>
        <v>0</v>
      </c>
    </row>
    <row r="1191" spans="1:14" hidden="1">
      <c r="A1191" s="151">
        <f t="shared" si="69"/>
        <v>1</v>
      </c>
      <c r="B1191" s="151" t="s">
        <v>206</v>
      </c>
      <c r="C1191" s="159">
        <v>361214</v>
      </c>
      <c r="D1191" s="160" t="s">
        <v>892</v>
      </c>
      <c r="E1191" s="161">
        <f>SUMIF(Lanç!$C$3:$C$114,C1191,Lanç!$F$3:$F$114)</f>
        <v>0</v>
      </c>
      <c r="F1191" s="161">
        <f>SUMIF(Lanç!$C$115:$C$6504,C1191,Lanç!$F$115:$F$6504)</f>
        <v>0</v>
      </c>
      <c r="G1191" s="161">
        <f>SUMIF(Lanç!$C$115:$C$6504,C1191,Lanç!$G$115:$G$6504)</f>
        <v>0</v>
      </c>
      <c r="H1191" s="162">
        <f t="shared" si="70"/>
        <v>0</v>
      </c>
      <c r="I1191" s="162">
        <f t="shared" si="71"/>
        <v>0</v>
      </c>
    </row>
    <row r="1192" spans="1:14" hidden="1">
      <c r="A1192" s="151">
        <f t="shared" si="69"/>
        <v>1</v>
      </c>
      <c r="B1192" s="151" t="s">
        <v>206</v>
      </c>
      <c r="C1192" s="159">
        <v>361215</v>
      </c>
      <c r="D1192" s="160" t="s">
        <v>893</v>
      </c>
      <c r="E1192" s="161">
        <f>SUMIF(Lanç!$C$3:$C$114,C1192,Lanç!$F$3:$F$114)</f>
        <v>0</v>
      </c>
      <c r="F1192" s="161">
        <f>SUMIF(Lanç!$C$115:$C$6504,C1192,Lanç!$F$115:$F$6504)</f>
        <v>0</v>
      </c>
      <c r="G1192" s="161">
        <f>SUMIF(Lanç!$C$115:$C$6504,C1192,Lanç!$G$115:$G$6504)</f>
        <v>0</v>
      </c>
      <c r="H1192" s="162">
        <f t="shared" si="70"/>
        <v>0</v>
      </c>
      <c r="I1192" s="162">
        <f t="shared" si="71"/>
        <v>0</v>
      </c>
    </row>
    <row r="1193" spans="1:14" hidden="1">
      <c r="A1193" s="151">
        <f t="shared" si="69"/>
        <v>1</v>
      </c>
      <c r="B1193" s="151" t="s">
        <v>206</v>
      </c>
      <c r="C1193" s="159">
        <v>361216</v>
      </c>
      <c r="D1193" s="160" t="s">
        <v>894</v>
      </c>
      <c r="E1193" s="161">
        <f>SUMIF(Lanç!$C$3:$C$114,C1193,Lanç!$F$3:$F$114)</f>
        <v>0</v>
      </c>
      <c r="F1193" s="161">
        <f>SUMIF(Lanç!$C$115:$C$6504,C1193,Lanç!$F$115:$F$6504)</f>
        <v>0</v>
      </c>
      <c r="G1193" s="161">
        <f>SUMIF(Lanç!$C$115:$C$6504,C1193,Lanç!$G$115:$G$6504)</f>
        <v>0</v>
      </c>
      <c r="H1193" s="162">
        <f t="shared" si="70"/>
        <v>0</v>
      </c>
      <c r="I1193" s="162">
        <f t="shared" si="71"/>
        <v>0</v>
      </c>
    </row>
    <row r="1194" spans="1:14" hidden="1">
      <c r="A1194" s="151">
        <f t="shared" si="69"/>
        <v>1</v>
      </c>
      <c r="B1194" s="151" t="s">
        <v>206</v>
      </c>
      <c r="C1194" s="159">
        <v>361217</v>
      </c>
      <c r="D1194" s="160" t="s">
        <v>895</v>
      </c>
      <c r="E1194" s="161">
        <f>SUMIF(Lanç!$C$3:$C$114,C1194,Lanç!$F$3:$F$114)</f>
        <v>0</v>
      </c>
      <c r="F1194" s="161">
        <f>SUMIF(Lanç!$C$115:$C$6504,C1194,Lanç!$F$115:$F$6504)</f>
        <v>0</v>
      </c>
      <c r="G1194" s="161">
        <f>SUMIF(Lanç!$C$115:$C$6504,C1194,Lanç!$G$115:$G$6504)</f>
        <v>0</v>
      </c>
      <c r="H1194" s="162">
        <f t="shared" si="70"/>
        <v>0</v>
      </c>
      <c r="I1194" s="162">
        <f t="shared" si="71"/>
        <v>0</v>
      </c>
    </row>
    <row r="1195" spans="1:14" hidden="1">
      <c r="A1195" s="151">
        <f t="shared" si="69"/>
        <v>1</v>
      </c>
      <c r="B1195" s="151" t="s">
        <v>206</v>
      </c>
      <c r="C1195" s="159">
        <v>361218</v>
      </c>
      <c r="D1195" s="160" t="s">
        <v>896</v>
      </c>
      <c r="E1195" s="161">
        <f>SUMIF(Lanç!$C$3:$C$114,C1195,Lanç!$F$3:$F$114)</f>
        <v>0</v>
      </c>
      <c r="F1195" s="161">
        <f>SUMIF(Lanç!$C$115:$C$6504,C1195,Lanç!$F$115:$F$6504)</f>
        <v>0</v>
      </c>
      <c r="G1195" s="161">
        <f>SUMIF(Lanç!$C$115:$C$6504,C1195,Lanç!$G$115:$G$6504)</f>
        <v>0</v>
      </c>
      <c r="H1195" s="162">
        <f t="shared" si="70"/>
        <v>0</v>
      </c>
      <c r="I1195" s="162">
        <f t="shared" si="71"/>
        <v>0</v>
      </c>
    </row>
    <row r="1196" spans="1:14" hidden="1">
      <c r="A1196" s="151">
        <f t="shared" si="69"/>
        <v>1</v>
      </c>
      <c r="B1196" s="151" t="s">
        <v>206</v>
      </c>
      <c r="C1196" s="159">
        <v>361219</v>
      </c>
      <c r="D1196" s="160" t="s">
        <v>897</v>
      </c>
      <c r="E1196" s="161">
        <f>SUMIF(Lanç!$C$3:$C$114,C1196,Lanç!$F$3:$F$114)</f>
        <v>0</v>
      </c>
      <c r="F1196" s="161">
        <f>SUMIF(Lanç!$C$115:$C$6504,C1196,Lanç!$F$115:$F$6504)</f>
        <v>0</v>
      </c>
      <c r="G1196" s="161">
        <f>SUMIF(Lanç!$C$115:$C$6504,C1196,Lanç!$G$115:$G$6504)</f>
        <v>0</v>
      </c>
      <c r="H1196" s="162">
        <f t="shared" si="70"/>
        <v>0</v>
      </c>
      <c r="I1196" s="162">
        <f t="shared" si="71"/>
        <v>0</v>
      </c>
    </row>
    <row r="1197" spans="1:14" hidden="1">
      <c r="A1197" s="151">
        <f t="shared" si="69"/>
        <v>1</v>
      </c>
      <c r="B1197" s="151" t="s">
        <v>206</v>
      </c>
      <c r="C1197" s="159">
        <v>361220</v>
      </c>
      <c r="D1197" s="160" t="s">
        <v>898</v>
      </c>
      <c r="E1197" s="161">
        <f>SUMIF(Lanç!$C$3:$C$114,C1197,Lanç!$F$3:$F$114)</f>
        <v>0</v>
      </c>
      <c r="F1197" s="161">
        <f>SUMIF(Lanç!$C$115:$C$6504,C1197,Lanç!$F$115:$F$6504)</f>
        <v>0</v>
      </c>
      <c r="G1197" s="161">
        <f>SUMIF(Lanç!$C$115:$C$6504,C1197,Lanç!$G$115:$G$6504)</f>
        <v>0</v>
      </c>
      <c r="H1197" s="162">
        <f t="shared" si="70"/>
        <v>0</v>
      </c>
      <c r="I1197" s="162">
        <f t="shared" si="71"/>
        <v>0</v>
      </c>
    </row>
    <row r="1198" spans="1:14" hidden="1">
      <c r="A1198" s="151">
        <f t="shared" si="69"/>
        <v>1</v>
      </c>
      <c r="B1198" s="151" t="s">
        <v>206</v>
      </c>
      <c r="C1198" s="159">
        <v>361221</v>
      </c>
      <c r="D1198" s="160" t="s">
        <v>899</v>
      </c>
      <c r="E1198" s="161">
        <f>SUMIF(Lanç!$C$3:$C$114,C1198,Lanç!$F$3:$F$114)</f>
        <v>0</v>
      </c>
      <c r="F1198" s="161">
        <f>SUMIF(Lanç!$C$115:$C$6504,C1198,Lanç!$F$115:$F$6504)</f>
        <v>0</v>
      </c>
      <c r="G1198" s="161">
        <f>SUMIF(Lanç!$C$115:$C$6504,C1198,Lanç!$G$115:$G$6504)</f>
        <v>0</v>
      </c>
      <c r="H1198" s="162">
        <f t="shared" si="70"/>
        <v>0</v>
      </c>
      <c r="I1198" s="162">
        <f t="shared" si="71"/>
        <v>0</v>
      </c>
    </row>
    <row r="1199" spans="1:14" hidden="1">
      <c r="A1199" s="151">
        <f t="shared" si="69"/>
        <v>1</v>
      </c>
      <c r="B1199" s="151" t="s">
        <v>206</v>
      </c>
      <c r="C1199" s="159">
        <v>361222</v>
      </c>
      <c r="D1199" s="160" t="s">
        <v>900</v>
      </c>
      <c r="E1199" s="161">
        <f>SUMIF(Lanç!$C$3:$C$114,C1199,Lanç!$F$3:$F$114)</f>
        <v>0</v>
      </c>
      <c r="F1199" s="161">
        <f>SUMIF(Lanç!$C$115:$C$6504,C1199,Lanç!$F$115:$F$6504)</f>
        <v>0</v>
      </c>
      <c r="G1199" s="161">
        <f>SUMIF(Lanç!$C$115:$C$6504,C1199,Lanç!$G$115:$G$6504)</f>
        <v>0</v>
      </c>
      <c r="H1199" s="162">
        <f t="shared" si="70"/>
        <v>0</v>
      </c>
      <c r="I1199" s="162">
        <f t="shared" si="71"/>
        <v>0</v>
      </c>
    </row>
    <row r="1200" spans="1:14" hidden="1">
      <c r="A1200" s="151">
        <f t="shared" si="69"/>
        <v>1</v>
      </c>
      <c r="B1200" s="151" t="s">
        <v>206</v>
      </c>
      <c r="C1200" s="159">
        <v>361223</v>
      </c>
      <c r="D1200" s="160" t="s">
        <v>901</v>
      </c>
      <c r="E1200" s="161">
        <f>SUMIF(Lanç!C3:C114,C1200,Lanç!F3:F114)</f>
        <v>0</v>
      </c>
      <c r="F1200" s="161">
        <f>SUMIF(Lanç!C115:C6504,C1200,Lanç!F115:F6504)</f>
        <v>0</v>
      </c>
      <c r="G1200" s="161">
        <f>SUMIF(Lanç!C115:C6504,C1200,Lanç!G115:G6504)</f>
        <v>0</v>
      </c>
      <c r="H1200" s="162">
        <f t="shared" si="70"/>
        <v>0</v>
      </c>
      <c r="I1200" s="162">
        <f t="shared" si="71"/>
        <v>0</v>
      </c>
    </row>
    <row r="1201" spans="1:14" hidden="1">
      <c r="A1201" s="151">
        <f t="shared" si="69"/>
        <v>1</v>
      </c>
      <c r="B1201" s="151" t="s">
        <v>206</v>
      </c>
      <c r="C1201" s="159">
        <v>361224</v>
      </c>
      <c r="D1201" s="160" t="s">
        <v>902</v>
      </c>
      <c r="E1201" s="161">
        <f>SUMIF(Lanç!C3:C114,C1201,Lanç!F3:F114)</f>
        <v>0</v>
      </c>
      <c r="F1201" s="161">
        <f>SUMIF(Lanç!C115:C6504,C1201,Lanç!F115:F6504)</f>
        <v>0</v>
      </c>
      <c r="G1201" s="161">
        <f>SUMIF(Lanç!C115:C6504,C1201,Lanç!G115:G6504)</f>
        <v>0</v>
      </c>
      <c r="H1201" s="162">
        <f t="shared" si="70"/>
        <v>0</v>
      </c>
      <c r="I1201" s="162">
        <f t="shared" si="71"/>
        <v>0</v>
      </c>
    </row>
    <row r="1202" spans="1:14" hidden="1">
      <c r="A1202" s="151">
        <f t="shared" si="69"/>
        <v>1</v>
      </c>
      <c r="B1202" s="151" t="s">
        <v>206</v>
      </c>
      <c r="C1202" s="159">
        <v>361225</v>
      </c>
      <c r="D1202" s="160" t="s">
        <v>903</v>
      </c>
      <c r="E1202" s="161">
        <f>SUMIF(Lanç!$C$3:$C$114,C1202,Lanç!$F$3:$F$114)</f>
        <v>0</v>
      </c>
      <c r="F1202" s="161">
        <f>SUMIF(Lanç!$C$115:$C$6504,C1202,Lanç!$F$115:$F$6504)</f>
        <v>0</v>
      </c>
      <c r="G1202" s="161">
        <f>SUMIF(Lanç!$C$115:$C$6504,C1202,Lanç!$G$115:$G$6504)</f>
        <v>0</v>
      </c>
      <c r="H1202" s="162">
        <f t="shared" si="70"/>
        <v>0</v>
      </c>
      <c r="I1202" s="162">
        <f t="shared" si="71"/>
        <v>0</v>
      </c>
    </row>
    <row r="1203" spans="1:14" hidden="1">
      <c r="A1203" s="151">
        <f t="shared" si="69"/>
        <v>1</v>
      </c>
      <c r="B1203" s="151" t="s">
        <v>206</v>
      </c>
      <c r="C1203" s="159">
        <v>361227</v>
      </c>
      <c r="D1203" s="160" t="s">
        <v>904</v>
      </c>
      <c r="E1203" s="161">
        <f>SUMIF(Lanç!$C$3:$C$114,C1203,Lanç!$F$3:$F$114)</f>
        <v>0</v>
      </c>
      <c r="F1203" s="161">
        <f>SUMIF(Lanç!$C$115:$C$6504,C1203,Lanç!$F$115:$F$6504)</f>
        <v>0</v>
      </c>
      <c r="G1203" s="161">
        <f>SUMIF(Lanç!$C$115:$C$6504,C1203,Lanç!$G$115:$G$6504)</f>
        <v>0</v>
      </c>
      <c r="H1203" s="162">
        <f t="shared" si="70"/>
        <v>0</v>
      </c>
      <c r="I1203" s="162">
        <f t="shared" si="71"/>
        <v>0</v>
      </c>
    </row>
    <row r="1204" spans="1:14" hidden="1">
      <c r="A1204" s="151">
        <f t="shared" si="69"/>
        <v>1</v>
      </c>
      <c r="B1204" s="151" t="s">
        <v>206</v>
      </c>
      <c r="C1204" s="159">
        <v>361228</v>
      </c>
      <c r="D1204" s="160" t="s">
        <v>905</v>
      </c>
      <c r="E1204" s="161">
        <f>SUMIF(Lanç!C3:C114,C1204,Lanç!F3:F114)</f>
        <v>0</v>
      </c>
      <c r="F1204" s="161">
        <f>SUMIF(Lanç!C115:C6504,C1204,Lanç!F115:F6504)</f>
        <v>0</v>
      </c>
      <c r="G1204" s="161">
        <f>SUMIF(Lanç!C115:C6504,C1204,Lanç!G115:G6504)</f>
        <v>0</v>
      </c>
      <c r="H1204" s="162">
        <f t="shared" si="70"/>
        <v>0</v>
      </c>
      <c r="I1204" s="162">
        <f t="shared" si="71"/>
        <v>0</v>
      </c>
    </row>
    <row r="1205" spans="1:14" hidden="1">
      <c r="A1205" s="151">
        <f t="shared" si="69"/>
        <v>1</v>
      </c>
      <c r="B1205" s="151" t="s">
        <v>206</v>
      </c>
      <c r="C1205" s="159">
        <v>361230</v>
      </c>
      <c r="D1205" s="160" t="s">
        <v>906</v>
      </c>
      <c r="E1205" s="161">
        <f>SUMIF(Lanç!$C$3:$C$114,C1205,Lanç!$F$3:$F$114)</f>
        <v>0</v>
      </c>
      <c r="F1205" s="161">
        <f>SUMIF(Lanç!$C$115:$C$6504,C1205,Lanç!$F$115:$F$6504)</f>
        <v>0</v>
      </c>
      <c r="G1205" s="161">
        <f>SUMIF(Lanç!$C$115:$C$6504,C1205,Lanç!$G$115:$G$6504)</f>
        <v>0</v>
      </c>
      <c r="H1205" s="162">
        <f t="shared" si="70"/>
        <v>0</v>
      </c>
      <c r="I1205" s="162">
        <f t="shared" si="71"/>
        <v>0</v>
      </c>
    </row>
    <row r="1206" spans="1:14" hidden="1">
      <c r="A1206" s="151">
        <f t="shared" si="69"/>
        <v>1</v>
      </c>
      <c r="B1206" s="151" t="s">
        <v>206</v>
      </c>
      <c r="C1206" s="159">
        <v>361232</v>
      </c>
      <c r="D1206" s="160" t="s">
        <v>907</v>
      </c>
      <c r="E1206" s="161">
        <f>SUMIF(Lanç!$C$3:$C$114,C1206,Lanç!$F$3:$F$114)</f>
        <v>0</v>
      </c>
      <c r="F1206" s="161">
        <f>SUMIF(Lanç!$C$115:$C$6504,C1206,Lanç!$F$115:$F$6504)</f>
        <v>0</v>
      </c>
      <c r="G1206" s="161">
        <f>SUMIF(Lanç!$C$115:$C$6504,C1206,Lanç!$G$115:$G$6504)</f>
        <v>0</v>
      </c>
      <c r="H1206" s="162">
        <f t="shared" si="70"/>
        <v>0</v>
      </c>
      <c r="I1206" s="162">
        <f t="shared" si="71"/>
        <v>0</v>
      </c>
    </row>
    <row r="1207" spans="1:14" hidden="1">
      <c r="A1207" s="151">
        <f t="shared" si="69"/>
        <v>1</v>
      </c>
      <c r="B1207" s="151" t="s">
        <v>206</v>
      </c>
      <c r="C1207" s="159">
        <v>361233</v>
      </c>
      <c r="D1207" s="160" t="s">
        <v>908</v>
      </c>
      <c r="E1207" s="161">
        <f>SUMIF(Lanç!C3:C114,C1207,Lanç!F3:F114)</f>
        <v>0</v>
      </c>
      <c r="F1207" s="161">
        <f>SUMIF(Lanç!C115:C6504,C1207,Lanç!F115:F6504)</f>
        <v>0</v>
      </c>
      <c r="G1207" s="161">
        <f>SUMIF(Lanç!C115:C6504,C1207,Lanç!G115:G6504)</f>
        <v>0</v>
      </c>
      <c r="H1207" s="162">
        <f t="shared" si="70"/>
        <v>0</v>
      </c>
      <c r="I1207" s="162">
        <f t="shared" si="71"/>
        <v>0</v>
      </c>
    </row>
    <row r="1208" spans="1:14" hidden="1">
      <c r="A1208" s="151">
        <f t="shared" si="69"/>
        <v>1</v>
      </c>
      <c r="B1208" s="151" t="s">
        <v>206</v>
      </c>
      <c r="C1208" s="159">
        <v>361234</v>
      </c>
      <c r="D1208" s="160" t="s">
        <v>909</v>
      </c>
      <c r="E1208" s="161">
        <f>SUMIF(Lanç!C3:C114,C1208,Lanç!F3:F114)</f>
        <v>0</v>
      </c>
      <c r="F1208" s="161">
        <f>SUMIF(Lanç!C115:C6504,C1208,Lanç!F115:F6504)</f>
        <v>0</v>
      </c>
      <c r="G1208" s="161">
        <f>SUMIF(Lanç!C115:C6504,C1208,Lanç!G115:G6504)</f>
        <v>0</v>
      </c>
      <c r="H1208" s="162">
        <f t="shared" si="70"/>
        <v>0</v>
      </c>
      <c r="I1208" s="162">
        <f t="shared" si="71"/>
        <v>0</v>
      </c>
    </row>
    <row r="1209" spans="1:14" hidden="1">
      <c r="A1209" s="151">
        <f t="shared" si="69"/>
        <v>1</v>
      </c>
      <c r="B1209" s="151" t="s">
        <v>206</v>
      </c>
      <c r="C1209" s="159">
        <v>361235</v>
      </c>
      <c r="D1209" s="160" t="s">
        <v>910</v>
      </c>
      <c r="E1209" s="161">
        <f>SUMIF(Lanç!C3:C114,C1209,Lanç!F3:F114)</f>
        <v>0</v>
      </c>
      <c r="F1209" s="161">
        <f>SUMIF(Lanç!C115:C6504,C1209,Lanç!F115:F6504)</f>
        <v>0</v>
      </c>
      <c r="G1209" s="161">
        <f>SUMIF(Lanç!C115:C6504,C1209,Lanç!G115:G6504)</f>
        <v>0</v>
      </c>
      <c r="H1209" s="162">
        <f t="shared" si="70"/>
        <v>0</v>
      </c>
      <c r="I1209" s="162">
        <f t="shared" si="71"/>
        <v>0</v>
      </c>
    </row>
    <row r="1210" spans="1:14" hidden="1">
      <c r="A1210" s="151">
        <f t="shared" si="69"/>
        <v>1</v>
      </c>
      <c r="B1210" s="151" t="s">
        <v>206</v>
      </c>
      <c r="C1210" s="159">
        <v>361236</v>
      </c>
      <c r="D1210" s="160" t="s">
        <v>911</v>
      </c>
      <c r="E1210" s="161">
        <f>SUMIF(Lanç!C3:C114,C1210,Lanç!F3:F114)</f>
        <v>0</v>
      </c>
      <c r="F1210" s="161">
        <f>SUMIF(Lanç!C115:C6504,C1210,Lanç!F115:F6504)</f>
        <v>0</v>
      </c>
      <c r="G1210" s="161">
        <f>SUMIF(Lanç!C115:C6504,C1210,Lanç!G115:G6504)</f>
        <v>0</v>
      </c>
      <c r="H1210" s="162">
        <f t="shared" si="70"/>
        <v>0</v>
      </c>
      <c r="I1210" s="162">
        <f t="shared" si="71"/>
        <v>0</v>
      </c>
    </row>
    <row r="1211" spans="1:14" hidden="1">
      <c r="A1211" s="151">
        <f t="shared" si="69"/>
        <v>1</v>
      </c>
      <c r="B1211" s="151" t="s">
        <v>206</v>
      </c>
      <c r="C1211" s="159">
        <v>361237</v>
      </c>
      <c r="D1211" s="160" t="s">
        <v>912</v>
      </c>
      <c r="E1211" s="161">
        <f>SUMIF(Lanç!$C$3:$C$114,C1211,Lanç!$F$3:$F$114)</f>
        <v>0</v>
      </c>
      <c r="F1211" s="161">
        <f>SUMIF(Lanç!$C$115:$C$6504,C1211,Lanç!$F$115:$F$6504)</f>
        <v>0</v>
      </c>
      <c r="G1211" s="161">
        <f>SUMIF(Lanç!$C$115:$C$6504,C1211,Lanç!$G$115:$G$6504)</f>
        <v>0</v>
      </c>
      <c r="H1211" s="162">
        <f t="shared" si="70"/>
        <v>0</v>
      </c>
      <c r="I1211" s="162">
        <f t="shared" si="71"/>
        <v>0</v>
      </c>
    </row>
    <row r="1212" spans="1:14" hidden="1">
      <c r="A1212" s="151">
        <f t="shared" si="69"/>
        <v>1</v>
      </c>
      <c r="B1212" s="151" t="s">
        <v>206</v>
      </c>
      <c r="C1212" s="159">
        <v>361238</v>
      </c>
      <c r="D1212" s="160" t="s">
        <v>913</v>
      </c>
      <c r="E1212" s="161">
        <f>SUMIF(Lanç!$C$3:$C$114,C1212,Lanç!$F$3:$F$114)</f>
        <v>0</v>
      </c>
      <c r="F1212" s="161">
        <f>SUMIF(Lanç!$C$115:$C$6504,C1212,Lanç!$F$115:$F$6504)</f>
        <v>0</v>
      </c>
      <c r="G1212" s="161">
        <f>SUMIF(Lanç!$C$115:$C$6504,C1212,Lanç!$G$115:$G$6504)</f>
        <v>0</v>
      </c>
      <c r="H1212" s="162">
        <f t="shared" si="70"/>
        <v>0</v>
      </c>
      <c r="I1212" s="162">
        <f t="shared" si="71"/>
        <v>0</v>
      </c>
    </row>
    <row r="1213" spans="1:14" hidden="1">
      <c r="A1213" s="151">
        <f t="shared" si="69"/>
        <v>1</v>
      </c>
      <c r="B1213" s="151" t="s">
        <v>206</v>
      </c>
      <c r="C1213" s="159">
        <v>361239</v>
      </c>
      <c r="D1213" s="160" t="s">
        <v>914</v>
      </c>
      <c r="E1213" s="161">
        <f>SUMIF(Lanç!$C$3:$C$114,C1213,Lanç!$F$3:$F$114)</f>
        <v>0</v>
      </c>
      <c r="F1213" s="161">
        <f>SUMIF(Lanç!$C$115:$C$6504,C1213,Lanç!$F$115:$F$6504)</f>
        <v>0</v>
      </c>
      <c r="G1213" s="161">
        <f>SUMIF(Lanç!$C$115:$C$6504,C1213,Lanç!$G$115:$G$6504)</f>
        <v>0</v>
      </c>
      <c r="H1213" s="162">
        <f t="shared" si="70"/>
        <v>0</v>
      </c>
      <c r="I1213" s="162">
        <f t="shared" si="71"/>
        <v>0</v>
      </c>
    </row>
    <row r="1214" spans="1:14" hidden="1">
      <c r="A1214" s="151">
        <f t="shared" si="69"/>
        <v>1</v>
      </c>
      <c r="B1214" s="155" t="s">
        <v>204</v>
      </c>
      <c r="C1214" s="156">
        <v>362</v>
      </c>
      <c r="D1214" s="157" t="s">
        <v>915</v>
      </c>
      <c r="E1214" s="158">
        <f>SUM(E1215,E1217)</f>
        <v>0</v>
      </c>
      <c r="F1214" s="158">
        <f>SUMIF(Lanç!$C$115:$C$6504,C1214,Lanç!$F$115:$F$6504)</f>
        <v>0</v>
      </c>
      <c r="G1214" s="158">
        <f>SUMIF(Lanç!$C$115:$C$6504,C1214,Lanç!$G$115:$G$6504)</f>
        <v>0</v>
      </c>
      <c r="H1214" s="154">
        <f t="shared" si="70"/>
        <v>0</v>
      </c>
      <c r="I1214" s="154">
        <f t="shared" si="71"/>
        <v>0</v>
      </c>
      <c r="J1214" s="1"/>
      <c r="K1214" s="1"/>
      <c r="L1214" s="1"/>
      <c r="M1214" s="1"/>
      <c r="N1214" s="1"/>
    </row>
    <row r="1215" spans="1:14" hidden="1">
      <c r="A1215" s="151">
        <f t="shared" si="69"/>
        <v>1</v>
      </c>
      <c r="B1215" s="155" t="s">
        <v>204</v>
      </c>
      <c r="C1215" s="156">
        <v>3621</v>
      </c>
      <c r="D1215" s="157" t="s">
        <v>916</v>
      </c>
      <c r="E1215" s="158">
        <f>SUM(E1216)</f>
        <v>0</v>
      </c>
      <c r="F1215" s="158">
        <f>SUM(F1216)</f>
        <v>0</v>
      </c>
      <c r="G1215" s="158">
        <f>SUM(G1216)</f>
        <v>0</v>
      </c>
      <c r="H1215" s="154">
        <f t="shared" si="70"/>
        <v>0</v>
      </c>
      <c r="I1215" s="154">
        <f t="shared" si="71"/>
        <v>0</v>
      </c>
      <c r="J1215" s="1"/>
      <c r="K1215" s="1"/>
      <c r="L1215" s="1"/>
      <c r="M1215" s="1"/>
      <c r="N1215" s="1"/>
    </row>
    <row r="1216" spans="1:14" hidden="1">
      <c r="A1216" s="151">
        <f t="shared" si="69"/>
        <v>1</v>
      </c>
      <c r="B1216" s="151" t="s">
        <v>206</v>
      </c>
      <c r="C1216" s="159">
        <v>36211</v>
      </c>
      <c r="D1216" s="160" t="s">
        <v>916</v>
      </c>
      <c r="E1216" s="161">
        <f>SUMIF(Lanç!$C$3:$C$114,C1216,Lanç!$F$3:$F$114)</f>
        <v>0</v>
      </c>
      <c r="F1216" s="161">
        <f>SUMIF(Lanç!$C$115:$C$6504,C1216,Lanç!$F$115:$F$6504)</f>
        <v>0</v>
      </c>
      <c r="G1216" s="161">
        <f>SUMIF(Lanç!$C$115:$C$6504,C1216,Lanç!$G$115:$G$6504)</f>
        <v>0</v>
      </c>
      <c r="H1216" s="162">
        <f t="shared" si="70"/>
        <v>0</v>
      </c>
      <c r="I1216" s="162">
        <f t="shared" si="71"/>
        <v>0</v>
      </c>
    </row>
    <row r="1217" spans="1:14" hidden="1">
      <c r="A1217" s="151">
        <f t="shared" si="69"/>
        <v>1</v>
      </c>
      <c r="B1217" s="155" t="s">
        <v>204</v>
      </c>
      <c r="C1217" s="156">
        <v>3622</v>
      </c>
      <c r="D1217" s="157" t="s">
        <v>888</v>
      </c>
      <c r="E1217" s="158">
        <f>SUM(E1218)</f>
        <v>0</v>
      </c>
      <c r="F1217" s="158">
        <f>SUM(F1218)</f>
        <v>0</v>
      </c>
      <c r="G1217" s="158">
        <f>SUM(G1218)</f>
        <v>0</v>
      </c>
      <c r="H1217" s="154">
        <f t="shared" si="70"/>
        <v>0</v>
      </c>
      <c r="I1217" s="154">
        <f t="shared" si="71"/>
        <v>0</v>
      </c>
      <c r="J1217" s="1"/>
      <c r="K1217" s="1"/>
      <c r="L1217" s="1"/>
      <c r="M1217" s="1"/>
      <c r="N1217" s="1"/>
    </row>
    <row r="1218" spans="1:14" hidden="1">
      <c r="A1218" s="151">
        <f t="shared" si="69"/>
        <v>1</v>
      </c>
      <c r="B1218" s="151" t="s">
        <v>206</v>
      </c>
      <c r="C1218" s="159">
        <v>36221</v>
      </c>
      <c r="D1218" s="160" t="s">
        <v>888</v>
      </c>
      <c r="E1218" s="161">
        <f>SUMIF(Lanç!$C$3:$C$114,C1218,Lanç!$F$3:$F$114)</f>
        <v>0</v>
      </c>
      <c r="F1218" s="161">
        <f>SUMIF(Lanç!$C$115:$C$6504,C1218,Lanç!$F$115:$F$6504)</f>
        <v>0</v>
      </c>
      <c r="G1218" s="161">
        <f>SUMIF(Lanç!$C$115:$C$6504,C1218,Lanç!$G$115:$G$6504)</f>
        <v>0</v>
      </c>
      <c r="H1218" s="162">
        <f t="shared" si="70"/>
        <v>0</v>
      </c>
      <c r="I1218" s="162">
        <f t="shared" si="71"/>
        <v>0</v>
      </c>
    </row>
    <row r="1219" spans="1:14" hidden="1">
      <c r="A1219" s="151">
        <f t="shared" si="69"/>
        <v>1</v>
      </c>
      <c r="B1219" s="155" t="s">
        <v>204</v>
      </c>
      <c r="C1219" s="156">
        <v>363</v>
      </c>
      <c r="D1219" s="157" t="s">
        <v>917</v>
      </c>
      <c r="E1219" s="158">
        <f>SUM(E1220)</f>
        <v>0</v>
      </c>
      <c r="F1219" s="158">
        <f>SUM(F1220)</f>
        <v>0</v>
      </c>
      <c r="G1219" s="158">
        <f>SUM(G1220)</f>
        <v>0</v>
      </c>
      <c r="H1219" s="154">
        <f t="shared" si="70"/>
        <v>0</v>
      </c>
      <c r="I1219" s="154">
        <f t="shared" si="71"/>
        <v>0</v>
      </c>
      <c r="J1219" s="1"/>
      <c r="K1219" s="1"/>
      <c r="L1219" s="1"/>
      <c r="M1219" s="1"/>
      <c r="N1219" s="1"/>
    </row>
    <row r="1220" spans="1:14" s="57" customFormat="1" hidden="1">
      <c r="A1220" s="155">
        <f t="shared" si="69"/>
        <v>1</v>
      </c>
      <c r="B1220" s="155" t="s">
        <v>204</v>
      </c>
      <c r="C1220" s="156">
        <v>3631</v>
      </c>
      <c r="D1220" s="157" t="s">
        <v>917</v>
      </c>
      <c r="E1220" s="158">
        <f>SUM(E1221:E1241)</f>
        <v>0</v>
      </c>
      <c r="F1220" s="158">
        <f>SUM(F1221:F1241)</f>
        <v>0</v>
      </c>
      <c r="G1220" s="158">
        <f>SUM(G1221:G1241)</f>
        <v>0</v>
      </c>
      <c r="H1220" s="163">
        <f t="shared" si="70"/>
        <v>0</v>
      </c>
      <c r="I1220" s="163">
        <f t="shared" si="71"/>
        <v>0</v>
      </c>
    </row>
    <row r="1221" spans="1:14" hidden="1">
      <c r="A1221" s="151">
        <f t="shared" si="69"/>
        <v>1</v>
      </c>
      <c r="B1221" s="151" t="s">
        <v>206</v>
      </c>
      <c r="C1221" s="159">
        <v>363101</v>
      </c>
      <c r="D1221" s="317" t="s">
        <v>917</v>
      </c>
      <c r="E1221" s="161">
        <f>SUMIF(Lanç!$C$3:$C$114,C1221,Lanç!$F$3:$F$114)</f>
        <v>0</v>
      </c>
      <c r="F1221" s="161">
        <f>SUMIF(Lanç!$C$115:$C$6504,C1221,Lanç!$F$115:$F$6504)</f>
        <v>0</v>
      </c>
      <c r="G1221" s="161">
        <f>SUMIF(Lanç!$C$115:$C$6504,C1221,Lanç!$G$115:$G$6504)</f>
        <v>0</v>
      </c>
      <c r="H1221" s="162">
        <f t="shared" si="70"/>
        <v>0</v>
      </c>
      <c r="I1221" s="162">
        <f t="shared" si="71"/>
        <v>0</v>
      </c>
    </row>
    <row r="1222" spans="1:14" hidden="1">
      <c r="A1222" s="151">
        <f>IF(E1222+F1222+G1222+H1222+I1222=0,1,0)</f>
        <v>1</v>
      </c>
      <c r="B1222" s="151" t="s">
        <v>206</v>
      </c>
      <c r="C1222" s="159">
        <v>36311</v>
      </c>
      <c r="D1222" s="160" t="s">
        <v>893</v>
      </c>
      <c r="E1222" s="161">
        <f>SUMIF(Lanç!$C$3:$C$114,C1222,Lanç!$F$3:$F$114)</f>
        <v>0</v>
      </c>
      <c r="F1222" s="161">
        <f>SUMIF(Lanç!$C$115:$C$6504,C1222,Lanç!$F$115:$F$6504)</f>
        <v>0</v>
      </c>
      <c r="G1222" s="161">
        <f>SUMIF(Lanç!$C$115:$C$6504,C1222,Lanç!$G$115:$G$6504)</f>
        <v>0</v>
      </c>
      <c r="H1222" s="162">
        <f>(F1222)-(G1222)</f>
        <v>0</v>
      </c>
      <c r="I1222" s="162">
        <f>(E1222)+(H1222)</f>
        <v>0</v>
      </c>
    </row>
    <row r="1223" spans="1:14" hidden="1">
      <c r="A1223" s="151">
        <f t="shared" si="69"/>
        <v>1</v>
      </c>
      <c r="B1223" s="151" t="s">
        <v>206</v>
      </c>
      <c r="C1223" s="159">
        <v>36312</v>
      </c>
      <c r="D1223" s="160" t="s">
        <v>889</v>
      </c>
      <c r="E1223" s="161">
        <f>SUMIF(Lanç!$C$3:$C$114,C1223,Lanç!$F$3:$F$114)</f>
        <v>0</v>
      </c>
      <c r="F1223" s="161">
        <f>SUMIF(Lanç!$C$115:$C$6504,C1223,Lanç!$F$115:$F$6504)</f>
        <v>0</v>
      </c>
      <c r="G1223" s="161">
        <f>SUMIF(Lanç!$C$115:$C$6504,C1223,Lanç!$G$115:$G$6504)</f>
        <v>0</v>
      </c>
      <c r="H1223" s="162">
        <f t="shared" si="70"/>
        <v>0</v>
      </c>
      <c r="I1223" s="162">
        <f t="shared" si="71"/>
        <v>0</v>
      </c>
    </row>
    <row r="1224" spans="1:14" hidden="1">
      <c r="A1224" s="151">
        <f t="shared" si="69"/>
        <v>1</v>
      </c>
      <c r="B1224" s="151" t="s">
        <v>206</v>
      </c>
      <c r="C1224" s="159">
        <v>36313</v>
      </c>
      <c r="D1224" s="160" t="s">
        <v>891</v>
      </c>
      <c r="E1224" s="161">
        <f>SUMIF(Lanç!$C$3:$C$114,C1224,Lanç!$F$3:$F$114)</f>
        <v>0</v>
      </c>
      <c r="F1224" s="161">
        <f>SUMIF(Lanç!$C$115:$C$6504,C1224,Lanç!$F$115:$F$6504)</f>
        <v>0</v>
      </c>
      <c r="G1224" s="161">
        <f>SUMIF(Lanç!$C$115:$C$6504,C1224,Lanç!$G$115:$G$6504)</f>
        <v>0</v>
      </c>
      <c r="H1224" s="162">
        <f t="shared" si="70"/>
        <v>0</v>
      </c>
      <c r="I1224" s="162">
        <f t="shared" si="71"/>
        <v>0</v>
      </c>
    </row>
    <row r="1225" spans="1:14" hidden="1">
      <c r="A1225" s="151">
        <f t="shared" si="69"/>
        <v>1</v>
      </c>
      <c r="B1225" s="151" t="s">
        <v>206</v>
      </c>
      <c r="C1225" s="159">
        <v>36314</v>
      </c>
      <c r="D1225" s="160" t="s">
        <v>501</v>
      </c>
      <c r="E1225" s="161">
        <f>SUMIF(Lanç!$C$3:$C$114,C1225,Lanç!$F$3:$F$114)</f>
        <v>0</v>
      </c>
      <c r="F1225" s="161">
        <f>SUMIF(Lanç!$C$115:$C$6504,C1225,Lanç!$F$115:$F$6504)</f>
        <v>0</v>
      </c>
      <c r="G1225" s="161">
        <f>SUMIF(Lanç!$C$115:$C$6504,C1225,Lanç!$G$115:$G$6504)</f>
        <v>0</v>
      </c>
      <c r="H1225" s="162">
        <f t="shared" si="70"/>
        <v>0</v>
      </c>
      <c r="I1225" s="162">
        <f t="shared" si="71"/>
        <v>0</v>
      </c>
    </row>
    <row r="1226" spans="1:14" hidden="1">
      <c r="A1226" s="151">
        <f t="shared" si="69"/>
        <v>1</v>
      </c>
      <c r="B1226" s="151" t="s">
        <v>206</v>
      </c>
      <c r="C1226" s="159">
        <v>36315</v>
      </c>
      <c r="D1226" s="160" t="s">
        <v>895</v>
      </c>
      <c r="E1226" s="161">
        <f>SUMIF(Lanç!$C$3:$C$114,C1226,Lanç!$F$3:$F$114)</f>
        <v>0</v>
      </c>
      <c r="F1226" s="161">
        <f>SUMIF(Lanç!$C$115:$C$6504,C1226,Lanç!$F$115:$F$6504)</f>
        <v>0</v>
      </c>
      <c r="G1226" s="161">
        <f>SUMIF(Lanç!$C$115:$C$6504,C1226,Lanç!$G$115:$G$6504)</f>
        <v>0</v>
      </c>
      <c r="H1226" s="162">
        <f t="shared" si="70"/>
        <v>0</v>
      </c>
      <c r="I1226" s="162">
        <f t="shared" si="71"/>
        <v>0</v>
      </c>
    </row>
    <row r="1227" spans="1:14" hidden="1">
      <c r="A1227" s="151">
        <f t="shared" si="69"/>
        <v>1</v>
      </c>
      <c r="B1227" s="151" t="s">
        <v>206</v>
      </c>
      <c r="C1227" s="159">
        <v>36317</v>
      </c>
      <c r="D1227" s="160" t="s">
        <v>900</v>
      </c>
      <c r="E1227" s="161">
        <f>SUMIF(Lanç!$C$3:$C$114,C1227,Lanç!$F$3:$F$114)</f>
        <v>0</v>
      </c>
      <c r="F1227" s="161">
        <f>SUMIF(Lanç!$C$115:$C$6504,C1227,Lanç!$F$115:$F$6504)</f>
        <v>0</v>
      </c>
      <c r="G1227" s="161">
        <f>SUMIF(Lanç!$C$115:$C$6504,C1227,Lanç!$G$115:$G$6504)</f>
        <v>0</v>
      </c>
      <c r="H1227" s="162">
        <f t="shared" si="70"/>
        <v>0</v>
      </c>
      <c r="I1227" s="162">
        <f t="shared" si="71"/>
        <v>0</v>
      </c>
    </row>
    <row r="1228" spans="1:14" hidden="1">
      <c r="A1228" s="151">
        <f t="shared" si="69"/>
        <v>1</v>
      </c>
      <c r="B1228" s="151" t="s">
        <v>206</v>
      </c>
      <c r="C1228" s="159">
        <v>36318</v>
      </c>
      <c r="D1228" s="160" t="s">
        <v>896</v>
      </c>
      <c r="E1228" s="161">
        <f>SUMIF(Lanç!$C$3:$C$114,C1228,Lanç!$F$3:$F$114)</f>
        <v>0</v>
      </c>
      <c r="F1228" s="161">
        <f>SUMIF(Lanç!$C$115:$C$6504,C1228,Lanç!$F$115:$F$6504)</f>
        <v>0</v>
      </c>
      <c r="G1228" s="161">
        <f>SUMIF(Lanç!$C$115:$C$6504,C1228,Lanç!$G$115:$G$6504)</f>
        <v>0</v>
      </c>
      <c r="H1228" s="162">
        <f t="shared" si="70"/>
        <v>0</v>
      </c>
      <c r="I1228" s="162">
        <f t="shared" si="71"/>
        <v>0</v>
      </c>
    </row>
    <row r="1229" spans="1:14" hidden="1">
      <c r="A1229" s="151">
        <f t="shared" si="69"/>
        <v>1</v>
      </c>
      <c r="B1229" s="151" t="s">
        <v>206</v>
      </c>
      <c r="C1229" s="159">
        <v>36321</v>
      </c>
      <c r="D1229" s="160" t="s">
        <v>902</v>
      </c>
      <c r="E1229" s="161">
        <f>SUMIF(Lanç!$C$3:$C$114,C1229,Lanç!$F$3:$F$114)</f>
        <v>0</v>
      </c>
      <c r="F1229" s="161">
        <f>SUMIF(Lanç!$C$115:$C$6504,C1229,Lanç!$F$115:$F$6504)</f>
        <v>0</v>
      </c>
      <c r="G1229" s="161">
        <f>SUMIF(Lanç!$C$115:$C$6504,C1229,Lanç!$G$115:$G$6504)</f>
        <v>0</v>
      </c>
      <c r="H1229" s="162">
        <f t="shared" si="70"/>
        <v>0</v>
      </c>
      <c r="I1229" s="162">
        <f t="shared" si="71"/>
        <v>0</v>
      </c>
    </row>
    <row r="1230" spans="1:14" hidden="1">
      <c r="A1230" s="151">
        <f t="shared" si="69"/>
        <v>1</v>
      </c>
      <c r="B1230" s="151" t="s">
        <v>206</v>
      </c>
      <c r="C1230" s="159">
        <v>36322</v>
      </c>
      <c r="D1230" s="160" t="s">
        <v>918</v>
      </c>
      <c r="E1230" s="161">
        <f>SUMIF(Lanç!$C$3:$C$114,C1230,Lanç!$F$3:$F$114)</f>
        <v>0</v>
      </c>
      <c r="F1230" s="161">
        <f>SUMIF(Lanç!$C$115:$C$6504,C1230,Lanç!$F$115:$F$6504)</f>
        <v>0</v>
      </c>
      <c r="G1230" s="161">
        <f>SUMIF(Lanç!$C$115:$C$6504,C1230,Lanç!$G$115:$G$6504)</f>
        <v>0</v>
      </c>
      <c r="H1230" s="162">
        <f t="shared" si="70"/>
        <v>0</v>
      </c>
      <c r="I1230" s="162">
        <f t="shared" si="71"/>
        <v>0</v>
      </c>
    </row>
    <row r="1231" spans="1:14" hidden="1">
      <c r="A1231" s="151">
        <f t="shared" si="69"/>
        <v>1</v>
      </c>
      <c r="B1231" s="151" t="s">
        <v>206</v>
      </c>
      <c r="C1231" s="159">
        <v>36323</v>
      </c>
      <c r="D1231" s="160" t="s">
        <v>919</v>
      </c>
      <c r="E1231" s="161">
        <f>SUMIF(Lanç!$C$3:$C$114,C1231,Lanç!$F$3:$F$114)</f>
        <v>0</v>
      </c>
      <c r="F1231" s="161">
        <f>SUMIF(Lanç!$C$115:$C$6504,C1231,Lanç!$F$115:$F$6504)</f>
        <v>0</v>
      </c>
      <c r="G1231" s="161">
        <f>SUMIF(Lanç!$C$115:$C$6504,C1231,Lanç!$G$115:$G$6504)</f>
        <v>0</v>
      </c>
      <c r="H1231" s="162">
        <f t="shared" si="70"/>
        <v>0</v>
      </c>
      <c r="I1231" s="162">
        <f t="shared" si="71"/>
        <v>0</v>
      </c>
    </row>
    <row r="1232" spans="1:14" hidden="1">
      <c r="A1232" s="151">
        <f t="shared" si="69"/>
        <v>1</v>
      </c>
      <c r="B1232" s="151" t="s">
        <v>206</v>
      </c>
      <c r="C1232" s="159">
        <v>36324</v>
      </c>
      <c r="D1232" s="160" t="s">
        <v>920</v>
      </c>
      <c r="E1232" s="161">
        <f>SUMIF(Lanç!$C$3:$C$114,C1232,Lanç!$F$3:$F$114)</f>
        <v>0</v>
      </c>
      <c r="F1232" s="161">
        <f>SUMIF(Lanç!$C$115:$C$6504,C1232,Lanç!$F$115:$F$6504)</f>
        <v>0</v>
      </c>
      <c r="G1232" s="161">
        <f>SUMIF(Lanç!$C$115:$C$6504,C1232,Lanç!$G$115:$G$6504)</f>
        <v>0</v>
      </c>
      <c r="H1232" s="162">
        <f t="shared" si="70"/>
        <v>0</v>
      </c>
      <c r="I1232" s="162">
        <f t="shared" si="71"/>
        <v>0</v>
      </c>
    </row>
    <row r="1233" spans="1:14" hidden="1">
      <c r="A1233" s="151">
        <f t="shared" si="69"/>
        <v>1</v>
      </c>
      <c r="B1233" s="151" t="s">
        <v>206</v>
      </c>
      <c r="C1233" s="159">
        <v>36325</v>
      </c>
      <c r="D1233" s="160" t="s">
        <v>904</v>
      </c>
      <c r="E1233" s="161">
        <f>SUMIF(Lanç!$C$3:$C$114,C1233,Lanç!$F$3:$F$114)</f>
        <v>0</v>
      </c>
      <c r="F1233" s="161">
        <f>SUMIF(Lanç!$C$115:$C$6504,C1233,Lanç!$F$115:$F$6504)</f>
        <v>0</v>
      </c>
      <c r="G1233" s="161">
        <f>SUMIF(Lanç!$C$115:$C$6504,C1233,Lanç!$G$115:$G$6504)</f>
        <v>0</v>
      </c>
      <c r="H1233" s="162">
        <f t="shared" si="70"/>
        <v>0</v>
      </c>
      <c r="I1233" s="162">
        <f t="shared" si="71"/>
        <v>0</v>
      </c>
    </row>
    <row r="1234" spans="1:14" hidden="1">
      <c r="A1234" s="151">
        <f t="shared" si="69"/>
        <v>1</v>
      </c>
      <c r="B1234" s="151" t="s">
        <v>206</v>
      </c>
      <c r="C1234" s="159">
        <v>36326</v>
      </c>
      <c r="D1234" s="160" t="s">
        <v>921</v>
      </c>
      <c r="E1234" s="161">
        <f>SUMIF(Lanç!$C$3:$C$114,C1234,Lanç!$F$3:$F$114)</f>
        <v>0</v>
      </c>
      <c r="F1234" s="161">
        <f>SUMIF(Lanç!$C$115:$C$6504,C1234,Lanç!$F$115:$F$6504)</f>
        <v>0</v>
      </c>
      <c r="G1234" s="161">
        <f>SUMIF(Lanç!$C$115:$C$6504,C1234,Lanç!$G$115:$G$6504)</f>
        <v>0</v>
      </c>
      <c r="H1234" s="162">
        <f t="shared" si="70"/>
        <v>0</v>
      </c>
      <c r="I1234" s="162">
        <f t="shared" si="71"/>
        <v>0</v>
      </c>
    </row>
    <row r="1235" spans="1:14" hidden="1">
      <c r="A1235" s="151">
        <f t="shared" si="69"/>
        <v>1</v>
      </c>
      <c r="B1235" s="151" t="s">
        <v>206</v>
      </c>
      <c r="C1235" s="159">
        <v>36327</v>
      </c>
      <c r="D1235" s="160" t="s">
        <v>907</v>
      </c>
      <c r="E1235" s="161">
        <f>SUMIF(Lanç!$C$3:$C$114,C1235,Lanç!$F$3:$F$114)</f>
        <v>0</v>
      </c>
      <c r="F1235" s="161">
        <f>SUMIF(Lanç!$C$115:$C$6504,C1235,Lanç!$F$115:$F$6504)</f>
        <v>0</v>
      </c>
      <c r="G1235" s="161">
        <f>SUMIF(Lanç!$C$115:$C$6504,C1235,Lanç!$G$115:$G$6504)</f>
        <v>0</v>
      </c>
      <c r="H1235" s="162">
        <f t="shared" si="70"/>
        <v>0</v>
      </c>
      <c r="I1235" s="162">
        <f t="shared" si="71"/>
        <v>0</v>
      </c>
    </row>
    <row r="1236" spans="1:14" hidden="1">
      <c r="A1236" s="151">
        <f t="shared" si="69"/>
        <v>1</v>
      </c>
      <c r="B1236" s="151" t="s">
        <v>206</v>
      </c>
      <c r="C1236" s="159">
        <v>36328</v>
      </c>
      <c r="D1236" s="160" t="s">
        <v>922</v>
      </c>
      <c r="E1236" s="161">
        <f>SUMIF(Lanç!$C$3:$C$114,C1236,Lanç!$F$3:$F$114)</f>
        <v>0</v>
      </c>
      <c r="F1236" s="161">
        <f>SUMIF(Lanç!$C$115:$C$6504,C1236,Lanç!$F$115:$F$6504)</f>
        <v>0</v>
      </c>
      <c r="G1236" s="161">
        <f>SUMIF(Lanç!$C$115:$C$6504,C1236,Lanç!$G$115:$G$6504)</f>
        <v>0</v>
      </c>
      <c r="H1236" s="162">
        <f t="shared" si="70"/>
        <v>0</v>
      </c>
      <c r="I1236" s="162">
        <f t="shared" si="71"/>
        <v>0</v>
      </c>
    </row>
    <row r="1237" spans="1:14" hidden="1">
      <c r="A1237" s="151">
        <f t="shared" si="69"/>
        <v>1</v>
      </c>
      <c r="B1237" s="151" t="s">
        <v>206</v>
      </c>
      <c r="C1237" s="159">
        <v>36329</v>
      </c>
      <c r="D1237" s="160" t="s">
        <v>923</v>
      </c>
      <c r="E1237" s="161">
        <f>SUMIF(Lanç!$C$3:$C$114,C1237,Lanç!$F$3:$F$114)</f>
        <v>0</v>
      </c>
      <c r="F1237" s="161">
        <f>SUMIF(Lanç!$C$115:$C$6504,C1237,Lanç!$F$115:$F$6504)</f>
        <v>0</v>
      </c>
      <c r="G1237" s="161">
        <f>SUMIF(Lanç!$C$115:$C$6504,C1237,Lanç!$G$115:$G$6504)</f>
        <v>0</v>
      </c>
      <c r="H1237" s="162">
        <f t="shared" si="70"/>
        <v>0</v>
      </c>
      <c r="I1237" s="162">
        <f t="shared" si="71"/>
        <v>0</v>
      </c>
    </row>
    <row r="1238" spans="1:14" hidden="1">
      <c r="A1238" s="151">
        <f t="shared" si="69"/>
        <v>1</v>
      </c>
      <c r="B1238" s="151" t="s">
        <v>206</v>
      </c>
      <c r="C1238" s="159">
        <v>36330</v>
      </c>
      <c r="D1238" s="160" t="s">
        <v>924</v>
      </c>
      <c r="E1238" s="161">
        <f>SUMIF(Lanç!$C$3:$C$114,C1238,Lanç!$F$3:$F$114)</f>
        <v>0</v>
      </c>
      <c r="F1238" s="161">
        <f>SUMIF(Lanç!$C$115:$C$6504,C1238,Lanç!$F$115:$F$6504)</f>
        <v>0</v>
      </c>
      <c r="G1238" s="161">
        <f>SUMIF(Lanç!$C$115:$C$6504,C1238,Lanç!$G$115:$G$6504)</f>
        <v>0</v>
      </c>
      <c r="H1238" s="162">
        <f t="shared" si="70"/>
        <v>0</v>
      </c>
      <c r="I1238" s="162">
        <f t="shared" si="71"/>
        <v>0</v>
      </c>
    </row>
    <row r="1239" spans="1:14" hidden="1">
      <c r="A1239" s="151">
        <f t="shared" si="69"/>
        <v>1</v>
      </c>
      <c r="B1239" s="151" t="s">
        <v>206</v>
      </c>
      <c r="C1239" s="159">
        <v>36331</v>
      </c>
      <c r="D1239" s="160" t="s">
        <v>925</v>
      </c>
      <c r="E1239" s="161">
        <f>SUMIF(Lanç!$C$3:$C$114,C1239,Lanç!$F$3:$F$114)</f>
        <v>0</v>
      </c>
      <c r="F1239" s="161">
        <f>SUMIF(Lanç!$C$115:$C$6504,C1239,Lanç!$F$115:$F$6504)</f>
        <v>0</v>
      </c>
      <c r="G1239" s="161">
        <f>SUMIF(Lanç!$C$115:$C$6504,C1239,Lanç!$G$115:$G$6504)</f>
        <v>0</v>
      </c>
      <c r="H1239" s="162">
        <f t="shared" si="70"/>
        <v>0</v>
      </c>
      <c r="I1239" s="162">
        <f t="shared" si="71"/>
        <v>0</v>
      </c>
    </row>
    <row r="1240" spans="1:14" hidden="1">
      <c r="A1240" s="151">
        <f t="shared" si="69"/>
        <v>1</v>
      </c>
      <c r="B1240" s="151" t="s">
        <v>206</v>
      </c>
      <c r="C1240" s="159">
        <v>3651</v>
      </c>
      <c r="D1240" s="160"/>
      <c r="E1240" s="161">
        <f>SUMIF(Lanç!$C$3:$C$114,C1240,Lanç!$F$3:$F$114)</f>
        <v>0</v>
      </c>
      <c r="F1240" s="161">
        <f>SUMIF(Lanç!$C$115:$C$6504,C1240,Lanç!$F$115:$F$6504)</f>
        <v>0</v>
      </c>
      <c r="G1240" s="161">
        <f>SUMIF(Lanç!$C$115:$C$6504,C1240,Lanç!$G$115:$G$6504)</f>
        <v>0</v>
      </c>
      <c r="H1240" s="162">
        <f t="shared" si="70"/>
        <v>0</v>
      </c>
      <c r="I1240" s="162">
        <f t="shared" si="71"/>
        <v>0</v>
      </c>
    </row>
    <row r="1241" spans="1:14" hidden="1">
      <c r="A1241" s="151">
        <f t="shared" si="69"/>
        <v>1</v>
      </c>
      <c r="B1241" s="151" t="s">
        <v>206</v>
      </c>
      <c r="C1241" s="159">
        <v>3671</v>
      </c>
      <c r="D1241" s="160" t="s">
        <v>269</v>
      </c>
      <c r="E1241" s="161">
        <f>SUMIF(Lanç!$C$3:$C$114,C1241,Lanç!$F$3:$F$114)</f>
        <v>0</v>
      </c>
      <c r="F1241" s="161">
        <f>SUMIF(Lanç!$C$115:$C$6504,C1241,Lanç!$F$115:$F$6504)</f>
        <v>0</v>
      </c>
      <c r="G1241" s="161">
        <f>SUMIF(Lanç!$C$115:$C$6504,C1241,Lanç!$G$115:$G$6504)</f>
        <v>0</v>
      </c>
      <c r="H1241" s="162">
        <f t="shared" si="70"/>
        <v>0</v>
      </c>
      <c r="I1241" s="162">
        <f t="shared" si="71"/>
        <v>0</v>
      </c>
    </row>
    <row r="1242" spans="1:14" hidden="1">
      <c r="A1242" s="151">
        <f t="shared" si="69"/>
        <v>1</v>
      </c>
      <c r="B1242" s="155" t="s">
        <v>204</v>
      </c>
      <c r="C1242" s="156">
        <v>369</v>
      </c>
      <c r="D1242" s="157" t="s">
        <v>926</v>
      </c>
      <c r="E1242" s="158">
        <f>SUM(E1243)</f>
        <v>0</v>
      </c>
      <c r="F1242" s="158">
        <f>SUM(F1243)</f>
        <v>0</v>
      </c>
      <c r="G1242" s="158">
        <f>SUM(G1243)</f>
        <v>0</v>
      </c>
      <c r="H1242" s="154">
        <f t="shared" si="70"/>
        <v>0</v>
      </c>
      <c r="I1242" s="154">
        <f t="shared" si="71"/>
        <v>0</v>
      </c>
      <c r="J1242" s="1"/>
      <c r="K1242" s="1"/>
      <c r="L1242" s="1"/>
      <c r="M1242" s="1"/>
      <c r="N1242" s="1"/>
    </row>
    <row r="1243" spans="1:14" hidden="1">
      <c r="A1243" s="151">
        <f t="shared" si="69"/>
        <v>1</v>
      </c>
      <c r="B1243" s="151" t="s">
        <v>206</v>
      </c>
      <c r="C1243" s="159">
        <v>3691</v>
      </c>
      <c r="D1243" s="160" t="s">
        <v>926</v>
      </c>
      <c r="E1243" s="161">
        <f>SUMIF(Lanç!$C$3:$C$114,C1243,Lanç!$F$3:$F$114)</f>
        <v>0</v>
      </c>
      <c r="F1243" s="161">
        <f>SUMIF(Lanç!$C$115:$C$6504,C1243,Lanç!$F$115:$F$6504)</f>
        <v>0</v>
      </c>
      <c r="G1243" s="161">
        <f>SUMIF(Lanç!$C$115:$C$6504,C1243,Lanç!$G$115:$G$6504)</f>
        <v>0</v>
      </c>
      <c r="H1243" s="162">
        <f t="shared" si="70"/>
        <v>0</v>
      </c>
      <c r="I1243" s="162">
        <f t="shared" si="71"/>
        <v>0</v>
      </c>
    </row>
    <row r="1244" spans="1:14">
      <c r="A1244" s="151">
        <f t="shared" si="69"/>
        <v>0</v>
      </c>
      <c r="B1244" s="155" t="s">
        <v>202</v>
      </c>
      <c r="C1244" s="156">
        <v>37</v>
      </c>
      <c r="D1244" s="157" t="s">
        <v>927</v>
      </c>
      <c r="E1244" s="158">
        <f>SUM(E1245,E1267,E1280,E1284,E1294,E1302,E1309,E1311,E1321)</f>
        <v>-11672382.609999999</v>
      </c>
      <c r="F1244" s="158">
        <f>SUM(F1245,F1267,F1280,F1284,F1294,F1302,F1309,F1311,F1321)</f>
        <v>0</v>
      </c>
      <c r="G1244" s="158">
        <f>SUM(G1245,G1267,G1280,G1284,G1294,G1302,G1309,G1311,G1321)</f>
        <v>0</v>
      </c>
      <c r="H1244" s="154">
        <f>(F1244)-(G1244)</f>
        <v>0</v>
      </c>
      <c r="I1244" s="154">
        <f t="shared" si="71"/>
        <v>-11672382.609999999</v>
      </c>
      <c r="J1244" s="1"/>
      <c r="K1244" s="1"/>
      <c r="L1244" s="1"/>
      <c r="M1244" s="1"/>
      <c r="N1244" s="1"/>
    </row>
    <row r="1245" spans="1:14">
      <c r="A1245" s="151">
        <f t="shared" ref="A1245:A1308" si="72">IF(E1245+F1245+G1245+H1245+I1245=0,1,0)</f>
        <v>0</v>
      </c>
      <c r="B1245" s="155" t="s">
        <v>204</v>
      </c>
      <c r="C1245" s="156">
        <v>371</v>
      </c>
      <c r="D1245" s="157" t="s">
        <v>928</v>
      </c>
      <c r="E1245" s="158">
        <f>SUM(E1246,E1257,E1259,E1263)</f>
        <v>-9345414.3100000005</v>
      </c>
      <c r="F1245" s="158">
        <f>SUM(F1246,F1257,F1259,F1263)</f>
        <v>0</v>
      </c>
      <c r="G1245" s="158">
        <f>SUM(G1246,G1257,G1259,G1263)</f>
        <v>0</v>
      </c>
      <c r="H1245" s="154">
        <f t="shared" ref="H1245:H1308" si="73">(F1245)-(G1245)</f>
        <v>0</v>
      </c>
      <c r="I1245" s="154">
        <f t="shared" ref="I1245:I1308" si="74">(E1245)+(H1245)</f>
        <v>-9345414.3100000005</v>
      </c>
    </row>
    <row r="1246" spans="1:14">
      <c r="A1246" s="151">
        <f t="shared" si="72"/>
        <v>0</v>
      </c>
      <c r="B1246" s="155" t="s">
        <v>204</v>
      </c>
      <c r="C1246" s="156">
        <v>3711</v>
      </c>
      <c r="D1246" s="157" t="s">
        <v>929</v>
      </c>
      <c r="E1246" s="158">
        <f>SUM(E1247)</f>
        <v>-9345414.3100000005</v>
      </c>
      <c r="F1246" s="158">
        <f>SUM(F1247)</f>
        <v>0</v>
      </c>
      <c r="G1246" s="158">
        <f>SUM(G1247)</f>
        <v>0</v>
      </c>
      <c r="H1246" s="154">
        <f t="shared" si="73"/>
        <v>0</v>
      </c>
      <c r="I1246" s="154">
        <f t="shared" si="74"/>
        <v>-9345414.3100000005</v>
      </c>
    </row>
    <row r="1247" spans="1:14">
      <c r="A1247" s="151">
        <f t="shared" si="72"/>
        <v>0</v>
      </c>
      <c r="B1247" s="155" t="s">
        <v>204</v>
      </c>
      <c r="C1247" s="156">
        <v>37112</v>
      </c>
      <c r="D1247" s="157" t="s">
        <v>429</v>
      </c>
      <c r="E1247" s="158">
        <f>SUM(E1248,E1257)</f>
        <v>-9345414.3100000005</v>
      </c>
      <c r="F1247" s="158">
        <f>SUM(F1248)</f>
        <v>0</v>
      </c>
      <c r="G1247" s="158">
        <f>SUM(G1248)</f>
        <v>0</v>
      </c>
      <c r="H1247" s="154">
        <f t="shared" si="73"/>
        <v>0</v>
      </c>
      <c r="I1247" s="154">
        <f t="shared" si="74"/>
        <v>-9345414.3100000005</v>
      </c>
    </row>
    <row r="1248" spans="1:14">
      <c r="A1248" s="151">
        <f t="shared" si="72"/>
        <v>0</v>
      </c>
      <c r="B1248" s="155" t="s">
        <v>204</v>
      </c>
      <c r="C1248" s="156">
        <v>371121</v>
      </c>
      <c r="D1248" s="157" t="s">
        <v>425</v>
      </c>
      <c r="E1248" s="158">
        <f>SUM(E1249:E1256)</f>
        <v>-9345414.3100000005</v>
      </c>
      <c r="F1248" s="158">
        <f>SUM(F1249:F1256)</f>
        <v>0</v>
      </c>
      <c r="G1248" s="158">
        <f>SUM(G1249:G1256)</f>
        <v>0</v>
      </c>
      <c r="H1248" s="154">
        <f t="shared" si="73"/>
        <v>0</v>
      </c>
      <c r="I1248" s="154">
        <f t="shared" si="74"/>
        <v>-9345414.3100000005</v>
      </c>
    </row>
    <row r="1249" spans="1:14" hidden="1">
      <c r="A1249" s="151">
        <f t="shared" si="72"/>
        <v>1</v>
      </c>
      <c r="B1249" s="151" t="s">
        <v>206</v>
      </c>
      <c r="C1249" s="159">
        <v>371121001</v>
      </c>
      <c r="D1249" s="160" t="s">
        <v>269</v>
      </c>
      <c r="E1249" s="161">
        <f>SUMIF(Lanç!$C$3:$C$114,C1249,Lanç!$F$3:$F$114)</f>
        <v>0</v>
      </c>
      <c r="F1249" s="161">
        <f>SUMIF(Lanç!$C$115:$C$6504,C1249,Lanç!$F$115:$F$6504)</f>
        <v>0</v>
      </c>
      <c r="G1249" s="161">
        <f>SUMIF(Lanç!$C$115:$C$6504,C1249,Lanç!$G$115:$G$6504)</f>
        <v>0</v>
      </c>
      <c r="H1249" s="162">
        <f t="shared" si="73"/>
        <v>0</v>
      </c>
      <c r="I1249" s="162">
        <f t="shared" si="74"/>
        <v>0</v>
      </c>
    </row>
    <row r="1250" spans="1:14">
      <c r="A1250" s="151">
        <f t="shared" si="72"/>
        <v>0</v>
      </c>
      <c r="B1250" s="151" t="s">
        <v>206</v>
      </c>
      <c r="C1250" s="159">
        <v>371121002</v>
      </c>
      <c r="D1250" s="160" t="s">
        <v>930</v>
      </c>
      <c r="E1250" s="161">
        <f>SUMIF(Lanç!C3:C114,C1250,Lanç!F3:F114)</f>
        <v>-1721241.68</v>
      </c>
      <c r="F1250" s="161">
        <f>SUMIF(Lanç!C115:C6504,C1250,Lanç!F115:F6504)</f>
        <v>0</v>
      </c>
      <c r="G1250" s="161">
        <f>SUMIF(Lanç!C115:C6504,C1250,Lanç!G115:G6504)</f>
        <v>0</v>
      </c>
      <c r="H1250" s="162">
        <f t="shared" si="73"/>
        <v>0</v>
      </c>
      <c r="I1250" s="162">
        <f t="shared" si="74"/>
        <v>-1721241.68</v>
      </c>
    </row>
    <row r="1251" spans="1:14" hidden="1">
      <c r="A1251" s="151">
        <f t="shared" si="72"/>
        <v>1</v>
      </c>
      <c r="B1251" s="151" t="s">
        <v>206</v>
      </c>
      <c r="C1251" s="159">
        <v>371121003</v>
      </c>
      <c r="D1251" s="160" t="s">
        <v>931</v>
      </c>
      <c r="E1251" s="161">
        <f>SUMIF(Lanç!$C$3:$C$114,C1251,Lanç!$F$3:$F$114)</f>
        <v>0</v>
      </c>
      <c r="F1251" s="161">
        <f>SUMIF(Lanç!$C$115:$C$6504,C1251,Lanç!$F$115:$F$6504)</f>
        <v>0</v>
      </c>
      <c r="G1251" s="161">
        <f>SUMIF(Lanç!$C$115:$C$6504,C1251,Lanç!$G$115:$G$6504)</f>
        <v>0</v>
      </c>
      <c r="H1251" s="162">
        <f t="shared" si="73"/>
        <v>0</v>
      </c>
      <c r="I1251" s="162">
        <f t="shared" si="74"/>
        <v>0</v>
      </c>
    </row>
    <row r="1252" spans="1:14">
      <c r="A1252" s="151">
        <f t="shared" si="72"/>
        <v>0</v>
      </c>
      <c r="B1252" s="151" t="s">
        <v>206</v>
      </c>
      <c r="C1252" s="159">
        <v>371121004</v>
      </c>
      <c r="D1252" s="160" t="s">
        <v>932</v>
      </c>
      <c r="E1252" s="161">
        <f>SUMIF(Lanç!$C$3:$C$114,C1252,Lanç!$F$3:$F$114)</f>
        <v>-11373943.42</v>
      </c>
      <c r="F1252" s="161">
        <f>SUMIF(Lanç!$C$115:$C$6504,C1252,Lanç!$F$115:$F$6504)</f>
        <v>0</v>
      </c>
      <c r="G1252" s="161">
        <f>SUMIF(Lanç!$C$115:$C$6504,C1252,Lanç!$G$115:$G$6504)</f>
        <v>0</v>
      </c>
      <c r="H1252" s="162">
        <f t="shared" si="73"/>
        <v>0</v>
      </c>
      <c r="I1252" s="162">
        <f t="shared" si="74"/>
        <v>-11373943.42</v>
      </c>
    </row>
    <row r="1253" spans="1:14">
      <c r="A1253" s="151">
        <f t="shared" si="72"/>
        <v>0</v>
      </c>
      <c r="B1253" s="151" t="s">
        <v>206</v>
      </c>
      <c r="C1253" s="159">
        <v>371121005</v>
      </c>
      <c r="D1253" s="160" t="s">
        <v>933</v>
      </c>
      <c r="E1253" s="161">
        <f>SUMIF(Lanç!$C$3:$C$114,C1253,Lanç!$F$3:$F$114)</f>
        <v>363821.03</v>
      </c>
      <c r="F1253" s="161">
        <f>SUMIF(Lanç!$C$115:$C$6504,C1253,Lanç!$F$115:$F$6504)</f>
        <v>0</v>
      </c>
      <c r="G1253" s="161">
        <f>SUMIF(Lanç!$C$115:$C$6504,C1253,Lanç!$G$115:$G$6504)</f>
        <v>0</v>
      </c>
      <c r="H1253" s="162">
        <f t="shared" si="73"/>
        <v>0</v>
      </c>
      <c r="I1253" s="162">
        <f t="shared" si="74"/>
        <v>363821.03</v>
      </c>
    </row>
    <row r="1254" spans="1:14">
      <c r="A1254" s="151">
        <f t="shared" si="72"/>
        <v>0</v>
      </c>
      <c r="B1254" s="151" t="s">
        <v>206</v>
      </c>
      <c r="C1254" s="159">
        <v>371121006</v>
      </c>
      <c r="D1254" s="160" t="s">
        <v>934</v>
      </c>
      <c r="E1254" s="161">
        <f>SUMIF(Lanç!$C$3:$C$114,C1254,Lanç!$F$3:$F$114)</f>
        <v>1008005.25</v>
      </c>
      <c r="F1254" s="161">
        <f>SUMIF(Lanç!$C$115:$C$6504,C1254,Lanç!$F$115:$F$6504)</f>
        <v>0</v>
      </c>
      <c r="G1254" s="161">
        <f>SUMIF(Lanç!$C$115:$C$6504,C1254,Lanç!$G$115:$G$6504)</f>
        <v>0</v>
      </c>
      <c r="H1254" s="162">
        <f t="shared" si="73"/>
        <v>0</v>
      </c>
      <c r="I1254" s="162">
        <f t="shared" si="74"/>
        <v>1008005.25</v>
      </c>
    </row>
    <row r="1255" spans="1:14">
      <c r="A1255" s="151">
        <f t="shared" si="72"/>
        <v>0</v>
      </c>
      <c r="B1255" s="151" t="s">
        <v>206</v>
      </c>
      <c r="C1255" s="159">
        <v>371121007</v>
      </c>
      <c r="D1255" s="160" t="s">
        <v>935</v>
      </c>
      <c r="E1255" s="161">
        <f>SUMIF(Lanç!$C$3:$C$114,C1255,Lanç!$F$3:$F$114)</f>
        <v>725214.2</v>
      </c>
      <c r="F1255" s="161">
        <f>SUMIF(Lanç!$C$115:$C$6504,C1255,Lanç!$F$115:$F$6504)</f>
        <v>0</v>
      </c>
      <c r="G1255" s="161">
        <f>SUMIF(Lanç!$C$115:$C$6504,C1255,Lanç!$G$115:$G$6504)</f>
        <v>0</v>
      </c>
      <c r="H1255" s="162">
        <f t="shared" si="73"/>
        <v>0</v>
      </c>
      <c r="I1255" s="162">
        <f t="shared" si="74"/>
        <v>725214.2</v>
      </c>
    </row>
    <row r="1256" spans="1:14">
      <c r="A1256" s="151">
        <f t="shared" si="72"/>
        <v>0</v>
      </c>
      <c r="B1256" s="151" t="s">
        <v>206</v>
      </c>
      <c r="C1256" s="159">
        <v>371121008</v>
      </c>
      <c r="D1256" s="160" t="s">
        <v>936</v>
      </c>
      <c r="E1256" s="161">
        <f>SUMIF(Lanç!$C$3:$C$114,C1256,Lanç!$F$3:$F$114)</f>
        <v>1652730.31</v>
      </c>
      <c r="F1256" s="161">
        <f>SUMIF(Lanç!$C$115:$C$6504,C1256,Lanç!$F$115:$F$6504)</f>
        <v>0</v>
      </c>
      <c r="G1256" s="161">
        <f>SUMIF(Lanç!$C$115:$C$6504,C1256,Lanç!$G$115:$G$6504)</f>
        <v>0</v>
      </c>
      <c r="H1256" s="162">
        <f t="shared" si="73"/>
        <v>0</v>
      </c>
      <c r="I1256" s="162">
        <f t="shared" si="74"/>
        <v>1652730.31</v>
      </c>
    </row>
    <row r="1257" spans="1:14" s="57" customFormat="1" hidden="1">
      <c r="A1257" s="155">
        <f t="shared" si="72"/>
        <v>1</v>
      </c>
      <c r="B1257" s="155" t="s">
        <v>204</v>
      </c>
      <c r="C1257" s="156">
        <v>371122</v>
      </c>
      <c r="D1257" s="157" t="s">
        <v>427</v>
      </c>
      <c r="E1257" s="158">
        <f>SUM(E1258)</f>
        <v>0</v>
      </c>
      <c r="F1257" s="158">
        <f>SUM(F1258)</f>
        <v>0</v>
      </c>
      <c r="G1257" s="158">
        <f>SUM(G1258)</f>
        <v>0</v>
      </c>
      <c r="H1257" s="163">
        <f t="shared" si="73"/>
        <v>0</v>
      </c>
      <c r="I1257" s="163">
        <f t="shared" si="74"/>
        <v>0</v>
      </c>
    </row>
    <row r="1258" spans="1:14" s="57" customFormat="1" hidden="1">
      <c r="A1258" s="151">
        <f t="shared" si="72"/>
        <v>1</v>
      </c>
      <c r="B1258" s="151" t="s">
        <v>206</v>
      </c>
      <c r="C1258" s="159">
        <v>371122001</v>
      </c>
      <c r="D1258" s="160" t="s">
        <v>937</v>
      </c>
      <c r="E1258" s="161">
        <f>SUMIF(Lanç!$C$3:$C$114,C1258,Lanç!$F$3:$F$114)</f>
        <v>0</v>
      </c>
      <c r="F1258" s="161">
        <f>SUMIF(Lanç!$C$115:$C$6504,C1258,Lanç!$F$115:$F$6504)</f>
        <v>0</v>
      </c>
      <c r="G1258" s="161">
        <f>SUMIF(Lanç!$C$115:$C$6504,C1258,Lanç!$G$115:$G$6504)</f>
        <v>0</v>
      </c>
      <c r="H1258" s="162">
        <f t="shared" si="73"/>
        <v>0</v>
      </c>
      <c r="I1258" s="162">
        <f t="shared" si="74"/>
        <v>0</v>
      </c>
    </row>
    <row r="1259" spans="1:14" hidden="1">
      <c r="A1259" s="151">
        <f t="shared" si="72"/>
        <v>1</v>
      </c>
      <c r="B1259" s="155" t="s">
        <v>204</v>
      </c>
      <c r="C1259" s="156">
        <v>3712</v>
      </c>
      <c r="D1259" s="157" t="s">
        <v>938</v>
      </c>
      <c r="E1259" s="158">
        <f>SUM(E1260)</f>
        <v>0</v>
      </c>
      <c r="F1259" s="158">
        <f>SUM(F1260)</f>
        <v>0</v>
      </c>
      <c r="G1259" s="158">
        <f>SUM(G1260)</f>
        <v>0</v>
      </c>
      <c r="H1259" s="154">
        <f t="shared" si="73"/>
        <v>0</v>
      </c>
      <c r="I1259" s="154">
        <f t="shared" si="74"/>
        <v>0</v>
      </c>
      <c r="J1259" s="1"/>
      <c r="K1259" s="1"/>
      <c r="L1259" s="1"/>
      <c r="M1259" s="1"/>
      <c r="N1259" s="1"/>
    </row>
    <row r="1260" spans="1:14" hidden="1">
      <c r="A1260" s="151">
        <f t="shared" si="72"/>
        <v>1</v>
      </c>
      <c r="B1260" s="155" t="s">
        <v>204</v>
      </c>
      <c r="C1260" s="156">
        <v>37122</v>
      </c>
      <c r="D1260" s="157" t="s">
        <v>429</v>
      </c>
      <c r="E1260" s="158">
        <f>SUM(E1261:E1262)</f>
        <v>0</v>
      </c>
      <c r="F1260" s="158">
        <f>SUM(F1261:F1262)</f>
        <v>0</v>
      </c>
      <c r="G1260" s="158">
        <f>SUM(G1261:G1262)</f>
        <v>0</v>
      </c>
      <c r="H1260" s="154">
        <f t="shared" si="73"/>
        <v>0</v>
      </c>
      <c r="I1260" s="154">
        <f t="shared" si="74"/>
        <v>0</v>
      </c>
    </row>
    <row r="1261" spans="1:14" hidden="1">
      <c r="A1261" s="151">
        <f t="shared" si="72"/>
        <v>1</v>
      </c>
      <c r="B1261" s="151" t="s">
        <v>206</v>
      </c>
      <c r="C1261" s="159">
        <v>371221</v>
      </c>
      <c r="D1261" s="160" t="s">
        <v>425</v>
      </c>
      <c r="E1261" s="161">
        <f>SUMIF(Lanç!$C$3:$C$114,C1261,Lanç!$F$3:$F$114)</f>
        <v>0</v>
      </c>
      <c r="F1261" s="161">
        <f>SUMIF(Lanç!$C$115:$C$6504,C1261,Lanç!$F$115:$F$6504)</f>
        <v>0</v>
      </c>
      <c r="G1261" s="161">
        <f>SUMIF(Lanç!$C$115:$C$6504,C1261,Lanç!$G$115:$G$6504)</f>
        <v>0</v>
      </c>
      <c r="H1261" s="162">
        <f t="shared" si="73"/>
        <v>0</v>
      </c>
      <c r="I1261" s="162">
        <f t="shared" si="74"/>
        <v>0</v>
      </c>
    </row>
    <row r="1262" spans="1:14" hidden="1">
      <c r="A1262" s="151">
        <f t="shared" si="72"/>
        <v>1</v>
      </c>
      <c r="B1262" s="151" t="s">
        <v>206</v>
      </c>
      <c r="C1262" s="159">
        <v>371222</v>
      </c>
      <c r="D1262" s="160" t="s">
        <v>427</v>
      </c>
      <c r="E1262" s="161">
        <f>SUMIF(Lanç!$C$3:$C$114,C1262,Lanç!$F$3:$F$114)</f>
        <v>0</v>
      </c>
      <c r="F1262" s="161">
        <f>SUMIF(Lanç!$C$115:$C$6504,C1262,Lanç!$F$115:$F$6504)</f>
        <v>0</v>
      </c>
      <c r="G1262" s="161">
        <f>SUMIF(Lanç!$C$115:$C$6504,C1262,Lanç!$G$115:$G$6504)</f>
        <v>0</v>
      </c>
      <c r="H1262" s="162">
        <f t="shared" si="73"/>
        <v>0</v>
      </c>
      <c r="I1262" s="162">
        <f t="shared" si="74"/>
        <v>0</v>
      </c>
    </row>
    <row r="1263" spans="1:14" hidden="1">
      <c r="A1263" s="151">
        <f t="shared" si="72"/>
        <v>1</v>
      </c>
      <c r="B1263" s="155" t="s">
        <v>204</v>
      </c>
      <c r="C1263" s="156">
        <v>3713</v>
      </c>
      <c r="D1263" s="157" t="s">
        <v>939</v>
      </c>
      <c r="E1263" s="158">
        <f>SUM(E1264)</f>
        <v>0</v>
      </c>
      <c r="F1263" s="158">
        <f>SUM(F1264)</f>
        <v>0</v>
      </c>
      <c r="G1263" s="158">
        <f>SUM(G1264)</f>
        <v>0</v>
      </c>
      <c r="H1263" s="154">
        <f t="shared" si="73"/>
        <v>0</v>
      </c>
      <c r="I1263" s="154">
        <f t="shared" si="74"/>
        <v>0</v>
      </c>
      <c r="J1263" s="1"/>
      <c r="K1263" s="1"/>
      <c r="L1263" s="1"/>
      <c r="M1263" s="1"/>
      <c r="N1263" s="1"/>
    </row>
    <row r="1264" spans="1:14" hidden="1">
      <c r="A1264" s="151">
        <f t="shared" si="72"/>
        <v>1</v>
      </c>
      <c r="B1264" s="155" t="s">
        <v>204</v>
      </c>
      <c r="C1264" s="156">
        <v>37132</v>
      </c>
      <c r="D1264" s="157" t="s">
        <v>429</v>
      </c>
      <c r="E1264" s="158">
        <f>SUM(E1265:E1266)</f>
        <v>0</v>
      </c>
      <c r="F1264" s="158">
        <f>SUM(F1265:F1266)</f>
        <v>0</v>
      </c>
      <c r="G1264" s="158">
        <f>SUM(G1265:G1266)</f>
        <v>0</v>
      </c>
      <c r="H1264" s="154">
        <f t="shared" si="73"/>
        <v>0</v>
      </c>
      <c r="I1264" s="154">
        <f t="shared" si="74"/>
        <v>0</v>
      </c>
    </row>
    <row r="1265" spans="1:14" hidden="1">
      <c r="A1265" s="151">
        <f t="shared" si="72"/>
        <v>1</v>
      </c>
      <c r="B1265" s="151" t="s">
        <v>206</v>
      </c>
      <c r="C1265" s="159">
        <v>371321</v>
      </c>
      <c r="D1265" s="160" t="s">
        <v>425</v>
      </c>
      <c r="E1265" s="161">
        <f>SUMIF(Lanç!$C$3:$C$114,C1265,Lanç!$F$3:$F$114)</f>
        <v>0</v>
      </c>
      <c r="F1265" s="161">
        <f>SUMIF(Lanç!$C$115:$C$6504,C1265,Lanç!$F$115:$F$6504)</f>
        <v>0</v>
      </c>
      <c r="G1265" s="161">
        <f>SUMIF(Lanç!$C$115:$C$6504,C1265,Lanç!$G$115:$G$6504)</f>
        <v>0</v>
      </c>
      <c r="H1265" s="162">
        <f t="shared" si="73"/>
        <v>0</v>
      </c>
      <c r="I1265" s="162">
        <f t="shared" si="74"/>
        <v>0</v>
      </c>
    </row>
    <row r="1266" spans="1:14" hidden="1">
      <c r="A1266" s="151">
        <f t="shared" si="72"/>
        <v>1</v>
      </c>
      <c r="B1266" s="151" t="s">
        <v>206</v>
      </c>
      <c r="C1266" s="159" t="s">
        <v>940</v>
      </c>
      <c r="D1266" s="160" t="s">
        <v>427</v>
      </c>
      <c r="E1266" s="161">
        <f>SUMIF(Lanç!$C$3:$C$114,C1266,Lanç!$F$3:$F$114)</f>
        <v>0</v>
      </c>
      <c r="F1266" s="161">
        <f>SUMIF(Lanç!$C$115:$C$6504,C1266,Lanç!$F$115:$F$6504)</f>
        <v>0</v>
      </c>
      <c r="G1266" s="161">
        <f>SUMIF(Lanç!$C$115:$C$6504,C1266,Lanç!$G$115:$G$6504)</f>
        <v>0</v>
      </c>
      <c r="H1266" s="162">
        <f t="shared" si="73"/>
        <v>0</v>
      </c>
      <c r="I1266" s="162">
        <f t="shared" si="74"/>
        <v>0</v>
      </c>
    </row>
    <row r="1267" spans="1:14" hidden="1">
      <c r="A1267" s="151">
        <f t="shared" si="72"/>
        <v>1</v>
      </c>
      <c r="B1267" s="155" t="s">
        <v>204</v>
      </c>
      <c r="C1267" s="156">
        <v>372</v>
      </c>
      <c r="D1267" s="157" t="s">
        <v>941</v>
      </c>
      <c r="E1267" s="158">
        <f>SUM(E1268,E1272,E1276)</f>
        <v>0</v>
      </c>
      <c r="F1267" s="158">
        <f>SUM(F1268,F1272)</f>
        <v>0</v>
      </c>
      <c r="G1267" s="158">
        <f>SUM(G1268,G1272)</f>
        <v>0</v>
      </c>
      <c r="H1267" s="154">
        <f t="shared" si="73"/>
        <v>0</v>
      </c>
      <c r="I1267" s="154">
        <f t="shared" si="74"/>
        <v>0</v>
      </c>
      <c r="J1267" s="1"/>
      <c r="K1267" s="1"/>
      <c r="L1267" s="1"/>
      <c r="M1267" s="1"/>
      <c r="N1267" s="1"/>
    </row>
    <row r="1268" spans="1:14" hidden="1">
      <c r="A1268" s="151">
        <f t="shared" si="72"/>
        <v>1</v>
      </c>
      <c r="B1268" s="155" t="s">
        <v>204</v>
      </c>
      <c r="C1268" s="156">
        <v>3721</v>
      </c>
      <c r="D1268" s="157" t="s">
        <v>929</v>
      </c>
      <c r="E1268" s="158">
        <f t="shared" ref="E1268:G1269" si="75">SUM(E1269)</f>
        <v>0</v>
      </c>
      <c r="F1268" s="158">
        <f t="shared" si="75"/>
        <v>0</v>
      </c>
      <c r="G1268" s="158">
        <f t="shared" si="75"/>
        <v>0</v>
      </c>
      <c r="H1268" s="154">
        <f t="shared" si="73"/>
        <v>0</v>
      </c>
      <c r="I1268" s="154">
        <f t="shared" si="74"/>
        <v>0</v>
      </c>
    </row>
    <row r="1269" spans="1:14" hidden="1">
      <c r="A1269" s="151">
        <f t="shared" si="72"/>
        <v>1</v>
      </c>
      <c r="B1269" s="155" t="s">
        <v>204</v>
      </c>
      <c r="C1269" s="156">
        <v>37212</v>
      </c>
      <c r="D1269" s="157" t="s">
        <v>429</v>
      </c>
      <c r="E1269" s="158">
        <f t="shared" si="75"/>
        <v>0</v>
      </c>
      <c r="F1269" s="158">
        <f t="shared" si="75"/>
        <v>0</v>
      </c>
      <c r="G1269" s="158">
        <f t="shared" si="75"/>
        <v>0</v>
      </c>
      <c r="H1269" s="154">
        <f t="shared" si="73"/>
        <v>0</v>
      </c>
      <c r="I1269" s="154">
        <f t="shared" si="74"/>
        <v>0</v>
      </c>
    </row>
    <row r="1270" spans="1:14" s="57" customFormat="1" hidden="1">
      <c r="A1270" s="155">
        <f t="shared" si="72"/>
        <v>1</v>
      </c>
      <c r="B1270" s="155" t="s">
        <v>204</v>
      </c>
      <c r="C1270" s="156">
        <v>372121</v>
      </c>
      <c r="D1270" s="157" t="s">
        <v>425</v>
      </c>
      <c r="E1270" s="158">
        <f>SUM(E1271:E1271)</f>
        <v>0</v>
      </c>
      <c r="F1270" s="158">
        <f>SUM(F1271:F1271)</f>
        <v>0</v>
      </c>
      <c r="G1270" s="158">
        <f>SUM(G1271:G1271)</f>
        <v>0</v>
      </c>
      <c r="H1270" s="163">
        <f t="shared" si="73"/>
        <v>0</v>
      </c>
      <c r="I1270" s="163">
        <f t="shared" si="74"/>
        <v>0</v>
      </c>
    </row>
    <row r="1271" spans="1:14" hidden="1">
      <c r="A1271" s="151">
        <f t="shared" si="72"/>
        <v>1</v>
      </c>
      <c r="B1271" s="151" t="s">
        <v>206</v>
      </c>
      <c r="C1271" s="159">
        <v>372122</v>
      </c>
      <c r="D1271" s="160" t="s">
        <v>427</v>
      </c>
      <c r="E1271" s="161">
        <f>SUMIF(Lanç!$C$3:$C$114,C1271,Lanç!$F$3:$F$114)</f>
        <v>0</v>
      </c>
      <c r="F1271" s="161">
        <f>SUMIF(Lanç!$C$115:$C$6504,C1271,Lanç!$F$115:$F$6504)</f>
        <v>0</v>
      </c>
      <c r="G1271" s="161">
        <f>SUMIF(Lanç!$C$115:$C$6504,C1271,Lanç!$G$115:$G$6504)</f>
        <v>0</v>
      </c>
      <c r="H1271" s="162">
        <f t="shared" si="73"/>
        <v>0</v>
      </c>
      <c r="I1271" s="162">
        <f t="shared" si="74"/>
        <v>0</v>
      </c>
    </row>
    <row r="1272" spans="1:14" hidden="1">
      <c r="A1272" s="151">
        <f t="shared" si="72"/>
        <v>1</v>
      </c>
      <c r="B1272" s="155" t="s">
        <v>204</v>
      </c>
      <c r="C1272" s="156">
        <v>3722</v>
      </c>
      <c r="D1272" s="157" t="s">
        <v>938</v>
      </c>
      <c r="E1272" s="158">
        <f>SUM(E1273)</f>
        <v>0</v>
      </c>
      <c r="F1272" s="158">
        <f>SUM(F1273)</f>
        <v>0</v>
      </c>
      <c r="G1272" s="158">
        <f>SUM(G1273)</f>
        <v>0</v>
      </c>
      <c r="H1272" s="154">
        <f t="shared" si="73"/>
        <v>0</v>
      </c>
      <c r="I1272" s="154">
        <f t="shared" si="74"/>
        <v>0</v>
      </c>
      <c r="J1272" s="1"/>
      <c r="K1272" s="1"/>
      <c r="L1272" s="1"/>
      <c r="M1272" s="1"/>
      <c r="N1272" s="1"/>
    </row>
    <row r="1273" spans="1:14" hidden="1">
      <c r="A1273" s="151">
        <f t="shared" si="72"/>
        <v>1</v>
      </c>
      <c r="B1273" s="155" t="s">
        <v>204</v>
      </c>
      <c r="C1273" s="156">
        <v>37222</v>
      </c>
      <c r="D1273" s="157" t="s">
        <v>429</v>
      </c>
      <c r="E1273" s="158">
        <f>SUM(E1274:E1275)</f>
        <v>0</v>
      </c>
      <c r="F1273" s="158">
        <f>SUM(F1274:F1275)</f>
        <v>0</v>
      </c>
      <c r="G1273" s="158">
        <f>SUM(G1274:G1275)</f>
        <v>0</v>
      </c>
      <c r="H1273" s="154">
        <f t="shared" si="73"/>
        <v>0</v>
      </c>
      <c r="I1273" s="154">
        <f t="shared" si="74"/>
        <v>0</v>
      </c>
    </row>
    <row r="1274" spans="1:14" hidden="1">
      <c r="A1274" s="151">
        <f t="shared" si="72"/>
        <v>1</v>
      </c>
      <c r="B1274" s="151" t="s">
        <v>206</v>
      </c>
      <c r="C1274" s="159">
        <v>372221</v>
      </c>
      <c r="D1274" s="160" t="s">
        <v>425</v>
      </c>
      <c r="E1274" s="161">
        <f>SUMIF(Lanç!$C$3:$C$114,C1274,Lanç!$F$3:$F$114)</f>
        <v>0</v>
      </c>
      <c r="F1274" s="161">
        <f>SUMIF(Lanç!$C$115:$C$6504,C1274,Lanç!$F$115:$F$6504)</f>
        <v>0</v>
      </c>
      <c r="G1274" s="161">
        <f>SUMIF(Lanç!$C$115:$C$6504,C1274,Lanç!$G$115:$G$6504)</f>
        <v>0</v>
      </c>
      <c r="H1274" s="162">
        <f t="shared" si="73"/>
        <v>0</v>
      </c>
      <c r="I1274" s="162">
        <f t="shared" si="74"/>
        <v>0</v>
      </c>
    </row>
    <row r="1275" spans="1:14" hidden="1">
      <c r="A1275" s="151">
        <f t="shared" si="72"/>
        <v>1</v>
      </c>
      <c r="B1275" s="151" t="s">
        <v>206</v>
      </c>
      <c r="C1275" s="159">
        <v>372222</v>
      </c>
      <c r="D1275" s="160" t="s">
        <v>427</v>
      </c>
      <c r="E1275" s="161">
        <f>SUMIF(Lanç!$C$3:$C$114,C1275,Lanç!$F$3:$F$114)</f>
        <v>0</v>
      </c>
      <c r="F1275" s="161">
        <f>SUMIF(Lanç!$C$115:$C$6504,C1275,Lanç!$F$115:$F$6504)</f>
        <v>0</v>
      </c>
      <c r="G1275" s="161">
        <f>SUMIF(Lanç!$C$115:$C$6504,C1275,Lanç!$G$115:$G$6504)</f>
        <v>0</v>
      </c>
      <c r="H1275" s="162">
        <f t="shared" si="73"/>
        <v>0</v>
      </c>
      <c r="I1275" s="162">
        <f t="shared" si="74"/>
        <v>0</v>
      </c>
    </row>
    <row r="1276" spans="1:14" hidden="1">
      <c r="A1276" s="151">
        <f t="shared" si="72"/>
        <v>1</v>
      </c>
      <c r="B1276" s="155" t="s">
        <v>204</v>
      </c>
      <c r="C1276" s="156">
        <v>3723</v>
      </c>
      <c r="D1276" s="157" t="s">
        <v>939</v>
      </c>
      <c r="E1276" s="158">
        <f>SUM(E1277)</f>
        <v>0</v>
      </c>
      <c r="F1276" s="158">
        <f>SUM(F1277)</f>
        <v>0</v>
      </c>
      <c r="G1276" s="158">
        <f>SUM(G1277)</f>
        <v>0</v>
      </c>
      <c r="H1276" s="154">
        <f t="shared" si="73"/>
        <v>0</v>
      </c>
      <c r="I1276" s="154">
        <f t="shared" si="74"/>
        <v>0</v>
      </c>
      <c r="J1276" s="1"/>
      <c r="K1276" s="1"/>
      <c r="L1276" s="1"/>
      <c r="M1276" s="1"/>
      <c r="N1276" s="1"/>
    </row>
    <row r="1277" spans="1:14" hidden="1">
      <c r="A1277" s="151">
        <f t="shared" si="72"/>
        <v>1</v>
      </c>
      <c r="B1277" s="155" t="s">
        <v>204</v>
      </c>
      <c r="C1277" s="156">
        <v>37232</v>
      </c>
      <c r="D1277" s="157" t="s">
        <v>429</v>
      </c>
      <c r="E1277" s="158">
        <f>SUM(E1278:E1279)</f>
        <v>0</v>
      </c>
      <c r="F1277" s="158">
        <f>SUM(F1278:F1279)</f>
        <v>0</v>
      </c>
      <c r="G1277" s="158">
        <f>SUM(G1278:G1279)</f>
        <v>0</v>
      </c>
      <c r="H1277" s="154">
        <f t="shared" si="73"/>
        <v>0</v>
      </c>
      <c r="I1277" s="154">
        <f t="shared" si="74"/>
        <v>0</v>
      </c>
    </row>
    <row r="1278" spans="1:14" hidden="1">
      <c r="A1278" s="151">
        <f t="shared" si="72"/>
        <v>1</v>
      </c>
      <c r="B1278" s="151" t="s">
        <v>206</v>
      </c>
      <c r="C1278" s="159">
        <v>372321</v>
      </c>
      <c r="D1278" s="160" t="s">
        <v>425</v>
      </c>
      <c r="E1278" s="161">
        <f>SUMIF(Lanç!$C$3:$C$114,C1278,Lanç!$F$3:$F$114)</f>
        <v>0</v>
      </c>
      <c r="F1278" s="161">
        <f>SUMIF(Lanç!$C$115:$C$6504,C1278,Lanç!$F$115:$F$6504)</f>
        <v>0</v>
      </c>
      <c r="G1278" s="161">
        <f>SUMIF(Lanç!$C$115:$C$6504,C1278,Lanç!$G$115:$G$6504)</f>
        <v>0</v>
      </c>
      <c r="H1278" s="162">
        <f t="shared" si="73"/>
        <v>0</v>
      </c>
      <c r="I1278" s="162">
        <f t="shared" si="74"/>
        <v>0</v>
      </c>
    </row>
    <row r="1279" spans="1:14" hidden="1">
      <c r="A1279" s="151">
        <f t="shared" si="72"/>
        <v>1</v>
      </c>
      <c r="B1279" s="151" t="s">
        <v>206</v>
      </c>
      <c r="C1279" s="159">
        <v>372322</v>
      </c>
      <c r="D1279" s="160" t="s">
        <v>427</v>
      </c>
      <c r="E1279" s="161">
        <f>SUMIF(Lanç!$C$3:$C$114,C1279,Lanç!$F$3:$F$114)</f>
        <v>0</v>
      </c>
      <c r="F1279" s="161">
        <f>SUMIF(Lanç!$C$115:$C$6504,C1279,Lanç!$F$115:$F$6504)</f>
        <v>0</v>
      </c>
      <c r="G1279" s="161">
        <f>SUMIF(Lanç!$C$115:$C$6504,C1279,Lanç!$G$115:$G$6504)</f>
        <v>0</v>
      </c>
      <c r="H1279" s="162">
        <f t="shared" si="73"/>
        <v>0</v>
      </c>
      <c r="I1279" s="162">
        <f t="shared" si="74"/>
        <v>0</v>
      </c>
    </row>
    <row r="1280" spans="1:14" hidden="1">
      <c r="A1280" s="151">
        <f t="shared" si="72"/>
        <v>1</v>
      </c>
      <c r="B1280" s="155" t="s">
        <v>204</v>
      </c>
      <c r="C1280" s="156">
        <v>373</v>
      </c>
      <c r="D1280" s="157" t="s">
        <v>942</v>
      </c>
      <c r="E1280" s="158">
        <f>SUM(E1281:E1283)</f>
        <v>0</v>
      </c>
      <c r="F1280" s="158">
        <f>SUM(F1281:F1283)</f>
        <v>0</v>
      </c>
      <c r="G1280" s="158">
        <f>SUM(G1281:G1283)</f>
        <v>0</v>
      </c>
      <c r="H1280" s="154">
        <f t="shared" si="73"/>
        <v>0</v>
      </c>
      <c r="I1280" s="154">
        <f t="shared" si="74"/>
        <v>0</v>
      </c>
      <c r="J1280" s="1"/>
      <c r="K1280" s="1"/>
      <c r="L1280" s="1"/>
      <c r="M1280" s="1"/>
      <c r="N1280" s="1"/>
    </row>
    <row r="1281" spans="1:14" hidden="1">
      <c r="A1281" s="151">
        <f t="shared" si="72"/>
        <v>1</v>
      </c>
      <c r="B1281" s="151" t="s">
        <v>206</v>
      </c>
      <c r="C1281" s="159">
        <v>3731</v>
      </c>
      <c r="D1281" s="160" t="s">
        <v>943</v>
      </c>
      <c r="E1281" s="161">
        <f>SUMIF(Lanç!$C$3:$C$114,C1281,Lanç!$F$3:$F$114)</f>
        <v>0</v>
      </c>
      <c r="F1281" s="161">
        <f>SUMIF(Lanç!$C$115:$C$6504,C1281,Lanç!$F$115:$F$6504)</f>
        <v>0</v>
      </c>
      <c r="G1281" s="161">
        <f>SUMIF(Lanç!$C$115:$C$6504,C1281,Lanç!$G$115:$G$6504)</f>
        <v>0</v>
      </c>
      <c r="H1281" s="162">
        <f t="shared" si="73"/>
        <v>0</v>
      </c>
      <c r="I1281" s="162">
        <f t="shared" si="74"/>
        <v>0</v>
      </c>
    </row>
    <row r="1282" spans="1:14" hidden="1">
      <c r="A1282" s="151">
        <f t="shared" si="72"/>
        <v>1</v>
      </c>
      <c r="B1282" s="151" t="s">
        <v>206</v>
      </c>
      <c r="C1282" s="159">
        <v>3732</v>
      </c>
      <c r="D1282" s="160" t="s">
        <v>944</v>
      </c>
      <c r="E1282" s="161">
        <f>SUMIF(Lanç!$C$3:$C$114,C1282,Lanç!$F$3:$F$114)</f>
        <v>0</v>
      </c>
      <c r="F1282" s="161">
        <f>SUMIF(Lanç!$C$115:$C$6504,C1282,Lanç!$F$115:$F$6504)</f>
        <v>0</v>
      </c>
      <c r="G1282" s="161">
        <f>SUMIF(Lanç!$C$115:$C$6504,C1282,Lanç!$G$115:$G$6504)</f>
        <v>0</v>
      </c>
      <c r="H1282" s="162">
        <f t="shared" si="73"/>
        <v>0</v>
      </c>
      <c r="I1282" s="162">
        <f t="shared" si="74"/>
        <v>0</v>
      </c>
    </row>
    <row r="1283" spans="1:14" hidden="1">
      <c r="A1283" s="151">
        <f t="shared" si="72"/>
        <v>1</v>
      </c>
      <c r="B1283" s="151" t="s">
        <v>206</v>
      </c>
      <c r="C1283" s="159">
        <v>3733</v>
      </c>
      <c r="D1283" s="160" t="s">
        <v>945</v>
      </c>
      <c r="E1283" s="161">
        <f>SUMIF(Lanç!$C$3:$C$114,C1283,Lanç!$F$3:$F$114)</f>
        <v>0</v>
      </c>
      <c r="F1283" s="161">
        <f>SUMIF(Lanç!$C$115:$C$6504,C1283,Lanç!$F$115:$F$6504)</f>
        <v>0</v>
      </c>
      <c r="G1283" s="161">
        <f>SUMIF(Lanç!$C$115:$C$6504,C1283,Lanç!$G$115:$G$6504)</f>
        <v>0</v>
      </c>
      <c r="H1283" s="162">
        <f t="shared" si="73"/>
        <v>0</v>
      </c>
      <c r="I1283" s="162">
        <f t="shared" si="74"/>
        <v>0</v>
      </c>
    </row>
    <row r="1284" spans="1:14" hidden="1">
      <c r="A1284" s="151">
        <f t="shared" si="72"/>
        <v>1</v>
      </c>
      <c r="B1284" s="155" t="s">
        <v>204</v>
      </c>
      <c r="C1284" s="156">
        <v>374</v>
      </c>
      <c r="D1284" s="157" t="s">
        <v>946</v>
      </c>
      <c r="E1284" s="158">
        <f>SUM(E1285:E1286,E1287,E1291:E1293)</f>
        <v>0</v>
      </c>
      <c r="F1284" s="158">
        <f>SUM(F1285:F1286,F1287,F1291:F1293)</f>
        <v>0</v>
      </c>
      <c r="G1284" s="158">
        <f>SUM(G1285:G1286,G1287,G1291:G1293)</f>
        <v>0</v>
      </c>
      <c r="H1284" s="154">
        <f t="shared" si="73"/>
        <v>0</v>
      </c>
      <c r="I1284" s="154">
        <f t="shared" si="74"/>
        <v>0</v>
      </c>
      <c r="J1284" s="1"/>
      <c r="K1284" s="1"/>
      <c r="L1284" s="1"/>
      <c r="M1284" s="1"/>
      <c r="N1284" s="1"/>
    </row>
    <row r="1285" spans="1:14" hidden="1">
      <c r="A1285" s="151">
        <f t="shared" si="72"/>
        <v>1</v>
      </c>
      <c r="B1285" s="151" t="s">
        <v>206</v>
      </c>
      <c r="C1285" s="159">
        <v>3741</v>
      </c>
      <c r="D1285" s="160" t="s">
        <v>947</v>
      </c>
      <c r="E1285" s="161">
        <f>SUMIF(Lanç!$C$3:$C$114,C1285,Lanç!$F$3:$F$114)</f>
        <v>0</v>
      </c>
      <c r="F1285" s="161">
        <f>SUMIF(Lanç!$C$115:$C$6504,C1285,Lanç!$F$115:$F$6504)</f>
        <v>0</v>
      </c>
      <c r="G1285" s="161">
        <f>SUMIF(Lanç!$C$115:$C$6504,C1285,Lanç!$G$115:$G$6504)</f>
        <v>0</v>
      </c>
      <c r="H1285" s="162">
        <f t="shared" si="73"/>
        <v>0</v>
      </c>
      <c r="I1285" s="162">
        <f t="shared" si="74"/>
        <v>0</v>
      </c>
    </row>
    <row r="1286" spans="1:14" hidden="1">
      <c r="A1286" s="151">
        <f t="shared" si="72"/>
        <v>1</v>
      </c>
      <c r="B1286" s="151" t="s">
        <v>206</v>
      </c>
      <c r="C1286" s="159">
        <v>3742</v>
      </c>
      <c r="D1286" s="160" t="s">
        <v>948</v>
      </c>
      <c r="E1286" s="161">
        <f>SUMIF(Lanç!$C$3:$C$114,C1286,Lanç!$F$3:$F$114)</f>
        <v>0</v>
      </c>
      <c r="F1286" s="161">
        <f>SUMIF(Lanç!$C$115:$C$6504,C1286,Lanç!$F$115:$F$6504)</f>
        <v>0</v>
      </c>
      <c r="G1286" s="161">
        <f>SUMIF(Lanç!$C$115:$C$6504,C1286,Lanç!$G$115:$G$6504)</f>
        <v>0</v>
      </c>
      <c r="H1286" s="162">
        <f t="shared" si="73"/>
        <v>0</v>
      </c>
      <c r="I1286" s="162">
        <f t="shared" si="74"/>
        <v>0</v>
      </c>
    </row>
    <row r="1287" spans="1:14" s="57" customFormat="1" hidden="1">
      <c r="A1287" s="155">
        <f t="shared" si="72"/>
        <v>1</v>
      </c>
      <c r="B1287" s="155" t="s">
        <v>204</v>
      </c>
      <c r="C1287" s="156">
        <v>3743</v>
      </c>
      <c r="D1287" s="157" t="s">
        <v>124</v>
      </c>
      <c r="E1287" s="158">
        <f>SUM(E1288:E1290)</f>
        <v>0</v>
      </c>
      <c r="F1287" s="158">
        <f>SUM(F1288:F1290)</f>
        <v>0</v>
      </c>
      <c r="G1287" s="158">
        <f>SUM(G1288:G1290)</f>
        <v>0</v>
      </c>
      <c r="H1287" s="163">
        <f t="shared" si="73"/>
        <v>0</v>
      </c>
      <c r="I1287" s="163">
        <f t="shared" si="74"/>
        <v>0</v>
      </c>
    </row>
    <row r="1288" spans="1:14" hidden="1">
      <c r="A1288" s="151">
        <f t="shared" si="72"/>
        <v>1</v>
      </c>
      <c r="B1288" s="151" t="s">
        <v>206</v>
      </c>
      <c r="C1288" s="159">
        <v>37431</v>
      </c>
      <c r="D1288" s="160" t="s">
        <v>949</v>
      </c>
      <c r="E1288" s="161">
        <f>SUMIF(Lanç!C3:C114,C1288,Lanç!F3:F114)</f>
        <v>0</v>
      </c>
      <c r="F1288" s="161">
        <f>SUMIF(Lanç!C115:C6504,C1288,Lanç!F115:F6504)</f>
        <v>0</v>
      </c>
      <c r="G1288" s="161">
        <f>SUMIF(Lanç!C115:C6504,C1288,Lanç!G115:G6504)</f>
        <v>0</v>
      </c>
      <c r="H1288" s="162">
        <f t="shared" si="73"/>
        <v>0</v>
      </c>
      <c r="I1288" s="162">
        <f t="shared" si="74"/>
        <v>0</v>
      </c>
    </row>
    <row r="1289" spans="1:14" hidden="1">
      <c r="A1289" s="151">
        <f t="shared" si="72"/>
        <v>1</v>
      </c>
      <c r="B1289" s="151" t="s">
        <v>206</v>
      </c>
      <c r="C1289" s="159">
        <v>37432</v>
      </c>
      <c r="D1289" s="160" t="s">
        <v>950</v>
      </c>
      <c r="E1289" s="161">
        <f>SUMIF(Lanç!$C$3:$C$114,C1289,Lanç!$F$3:$F$114)</f>
        <v>0</v>
      </c>
      <c r="F1289" s="161">
        <f>SUMIF(Lanç!$C$115:$C$6504,C1289,Lanç!$F$115:$F$6504)</f>
        <v>0</v>
      </c>
      <c r="G1289" s="161">
        <f>SUMIF(Lanç!$C$115:$C$6504,C1289,Lanç!$G$115:$G$6504)</f>
        <v>0</v>
      </c>
      <c r="H1289" s="162">
        <f t="shared" si="73"/>
        <v>0</v>
      </c>
      <c r="I1289" s="162">
        <f t="shared" si="74"/>
        <v>0</v>
      </c>
    </row>
    <row r="1290" spans="1:14" hidden="1">
      <c r="A1290" s="151">
        <f t="shared" si="72"/>
        <v>1</v>
      </c>
      <c r="B1290" s="151" t="s">
        <v>206</v>
      </c>
      <c r="C1290" s="159">
        <v>37433</v>
      </c>
      <c r="D1290" s="160" t="s">
        <v>951</v>
      </c>
      <c r="E1290" s="161">
        <f>SUMIF(Lanç!C3:C114,C1290,Lanç!F3:F114)</f>
        <v>0</v>
      </c>
      <c r="F1290" s="161">
        <f>SUMIF(Lanç!C115:C6504,C1290,Lanç!F115:F6504)</f>
        <v>0</v>
      </c>
      <c r="G1290" s="161">
        <f>SUMIF(Lanç!C115:C6504,C1290,Lanç!G115:G6504)</f>
        <v>0</v>
      </c>
      <c r="H1290" s="162">
        <f t="shared" si="73"/>
        <v>0</v>
      </c>
      <c r="I1290" s="162">
        <f t="shared" si="74"/>
        <v>0</v>
      </c>
    </row>
    <row r="1291" spans="1:14" hidden="1">
      <c r="A1291" s="151">
        <f t="shared" si="72"/>
        <v>1</v>
      </c>
      <c r="B1291" s="151" t="s">
        <v>206</v>
      </c>
      <c r="C1291" s="159">
        <v>3744</v>
      </c>
      <c r="D1291" s="160" t="s">
        <v>952</v>
      </c>
      <c r="E1291" s="161">
        <f>SUMIF(Lanç!C3:C114,C1291,Lanç!F3:F114)</f>
        <v>0</v>
      </c>
      <c r="F1291" s="161">
        <f>SUMIF(Lanç!C115:C6504,C1291,Lanç!F115:F6504)</f>
        <v>0</v>
      </c>
      <c r="G1291" s="161">
        <f>SUMIF(Lanç!C115:C6504,C1291,Lanç!G115:G6504)</f>
        <v>0</v>
      </c>
      <c r="H1291" s="162">
        <f t="shared" si="73"/>
        <v>0</v>
      </c>
      <c r="I1291" s="162">
        <f t="shared" si="74"/>
        <v>0</v>
      </c>
    </row>
    <row r="1292" spans="1:14" hidden="1">
      <c r="A1292" s="151">
        <f t="shared" si="72"/>
        <v>1</v>
      </c>
      <c r="B1292" s="151" t="s">
        <v>206</v>
      </c>
      <c r="C1292" s="159">
        <v>3745</v>
      </c>
      <c r="D1292" s="160" t="s">
        <v>64</v>
      </c>
      <c r="E1292" s="161">
        <f>SUMIF(Lanç!$C$3:$C$114,C1292,Lanç!$F$3:$F$114)</f>
        <v>0</v>
      </c>
      <c r="F1292" s="161">
        <f>SUMIF(Lanç!$C$115:$C$6504,C1292,Lanç!$F$115:$F$6504)</f>
        <v>0</v>
      </c>
      <c r="G1292" s="161">
        <f>SUMIF(Lanç!$C$115:$C$6504,C1292,Lanç!$G$115:$G$6504)</f>
        <v>0</v>
      </c>
      <c r="H1292" s="162">
        <f t="shared" si="73"/>
        <v>0</v>
      </c>
      <c r="I1292" s="162">
        <f t="shared" si="74"/>
        <v>0</v>
      </c>
    </row>
    <row r="1293" spans="1:14" hidden="1">
      <c r="A1293" s="151">
        <f t="shared" si="72"/>
        <v>1</v>
      </c>
      <c r="B1293" s="151" t="s">
        <v>206</v>
      </c>
      <c r="C1293" s="159">
        <v>3746</v>
      </c>
      <c r="D1293" s="160" t="s">
        <v>953</v>
      </c>
      <c r="E1293" s="161">
        <f>SUMIF(Lanç!$C$3:$C$114,C1293,Lanç!$F$3:$F$114)</f>
        <v>0</v>
      </c>
      <c r="F1293" s="161">
        <f>SUMIF(Lanç!$C$115:$C$6504,C1293,Lanç!$F$115:$F$6504)</f>
        <v>0</v>
      </c>
      <c r="G1293" s="161">
        <f>SUMIF(Lanç!$C$115:$C$6504,C1293,Lanç!$G$115:$G$6504)</f>
        <v>0</v>
      </c>
      <c r="H1293" s="162">
        <f t="shared" si="73"/>
        <v>0</v>
      </c>
      <c r="I1293" s="162">
        <f t="shared" si="74"/>
        <v>0</v>
      </c>
    </row>
    <row r="1294" spans="1:14">
      <c r="A1294" s="151">
        <f t="shared" si="72"/>
        <v>0</v>
      </c>
      <c r="B1294" s="155" t="s">
        <v>204</v>
      </c>
      <c r="C1294" s="156">
        <v>375</v>
      </c>
      <c r="D1294" s="157" t="s">
        <v>954</v>
      </c>
      <c r="E1294" s="158">
        <f>SUM(E1295,E1298:E1301)</f>
        <v>-1426004.12</v>
      </c>
      <c r="F1294" s="158">
        <f>SUM(F1295,F1298:F1301)</f>
        <v>0</v>
      </c>
      <c r="G1294" s="158">
        <f>SUM(G1295,G1298:G1301)</f>
        <v>0</v>
      </c>
      <c r="H1294" s="154">
        <f t="shared" si="73"/>
        <v>0</v>
      </c>
      <c r="I1294" s="154">
        <f t="shared" si="74"/>
        <v>-1426004.12</v>
      </c>
      <c r="J1294" s="1"/>
      <c r="K1294" s="1"/>
      <c r="L1294" s="1"/>
      <c r="M1294" s="1"/>
      <c r="N1294" s="1"/>
    </row>
    <row r="1295" spans="1:14" s="57" customFormat="1">
      <c r="A1295" s="155">
        <f t="shared" si="72"/>
        <v>0</v>
      </c>
      <c r="B1295" s="155" t="s">
        <v>206</v>
      </c>
      <c r="C1295" s="156">
        <v>3751</v>
      </c>
      <c r="D1295" s="157" t="s">
        <v>955</v>
      </c>
      <c r="E1295" s="158">
        <f>SUM(E1296:E1297)</f>
        <v>-1291608</v>
      </c>
      <c r="F1295" s="158">
        <f>SUM(F1296:F1297)</f>
        <v>0</v>
      </c>
      <c r="G1295" s="158">
        <f>SUM(G1296:G1297)</f>
        <v>0</v>
      </c>
      <c r="H1295" s="163">
        <f t="shared" si="73"/>
        <v>0</v>
      </c>
      <c r="I1295" s="163">
        <f t="shared" si="74"/>
        <v>-1291608</v>
      </c>
    </row>
    <row r="1296" spans="1:14">
      <c r="A1296" s="151">
        <f t="shared" si="72"/>
        <v>0</v>
      </c>
      <c r="B1296" s="151" t="s">
        <v>206</v>
      </c>
      <c r="C1296" s="159">
        <v>37511</v>
      </c>
      <c r="D1296" s="160" t="s">
        <v>956</v>
      </c>
      <c r="E1296" s="161">
        <f>SUMIF(Lanç!C3:C114,C1296,Lanç!F3:F114)</f>
        <v>-1291608</v>
      </c>
      <c r="F1296" s="161">
        <f>SUMIF(Lanç!C115:C6504,C1296,Lanç!F115:F6504)</f>
        <v>0</v>
      </c>
      <c r="G1296" s="161">
        <f>SUMIF(Lanç!C115:C6504,C1296,Lanç!G115:G6504)</f>
        <v>0</v>
      </c>
      <c r="H1296" s="162">
        <f t="shared" si="73"/>
        <v>0</v>
      </c>
      <c r="I1296" s="162">
        <f t="shared" si="74"/>
        <v>-1291608</v>
      </c>
    </row>
    <row r="1297" spans="1:14" hidden="1">
      <c r="A1297" s="151">
        <f t="shared" si="72"/>
        <v>1</v>
      </c>
      <c r="B1297" s="151" t="s">
        <v>206</v>
      </c>
      <c r="C1297" s="159">
        <v>37512</v>
      </c>
      <c r="D1297" s="160" t="s">
        <v>957</v>
      </c>
      <c r="E1297" s="161">
        <f>SUMIF(Lanç!$C$3:$C$114,C1297,Lanç!$F$3:$F$114)</f>
        <v>0</v>
      </c>
      <c r="F1297" s="161">
        <f>SUMIF(Lanç!$C$115:$C$6504,C1297,Lanç!$F$115:$F$6504)</f>
        <v>0</v>
      </c>
      <c r="G1297" s="161">
        <f>SUMIF(Lanç!$C$115:$C$6504,C1297,Lanç!$G$115:$G$6504)</f>
        <v>0</v>
      </c>
      <c r="H1297" s="162">
        <f t="shared" si="73"/>
        <v>0</v>
      </c>
      <c r="I1297" s="162">
        <f t="shared" si="74"/>
        <v>0</v>
      </c>
    </row>
    <row r="1298" spans="1:14" hidden="1">
      <c r="A1298" s="151">
        <f t="shared" si="72"/>
        <v>1</v>
      </c>
      <c r="B1298" s="151" t="s">
        <v>206</v>
      </c>
      <c r="C1298" s="159">
        <v>3752</v>
      </c>
      <c r="D1298" s="160" t="s">
        <v>958</v>
      </c>
      <c r="E1298" s="161">
        <f>SUMIF(Lanç!$C$3:$C$114,C1298,Lanç!$F$3:$F$114)</f>
        <v>0</v>
      </c>
      <c r="F1298" s="161">
        <f>SUMIF(Lanç!$C$115:$C$6504,C1298,Lanç!$F$115:$F$6504)</f>
        <v>0</v>
      </c>
      <c r="G1298" s="161">
        <f>SUMIF(Lanç!$C$115:$C$6504,C1298,Lanç!$G$115:$G$6504)</f>
        <v>0</v>
      </c>
      <c r="H1298" s="162">
        <f t="shared" si="73"/>
        <v>0</v>
      </c>
      <c r="I1298" s="162">
        <f t="shared" si="74"/>
        <v>0</v>
      </c>
    </row>
    <row r="1299" spans="1:14" hidden="1">
      <c r="A1299" s="151">
        <f t="shared" si="72"/>
        <v>1</v>
      </c>
      <c r="B1299" s="151" t="s">
        <v>206</v>
      </c>
      <c r="C1299" s="159">
        <v>3753</v>
      </c>
      <c r="D1299" s="160" t="s">
        <v>959</v>
      </c>
      <c r="E1299" s="161">
        <f>SUMIF(Lanç!$C$3:$C$114,C1299,Lanç!$F$3:$F$114)</f>
        <v>0</v>
      </c>
      <c r="F1299" s="161">
        <f>SUMIF(Lanç!$C$115:$C$6504,C1299,Lanç!$F$115:$F$6504)</f>
        <v>0</v>
      </c>
      <c r="G1299" s="161">
        <f>SUMIF(Lanç!$C$115:$C$6504,C1299,Lanç!$G$115:$G$6504)</f>
        <v>0</v>
      </c>
      <c r="H1299" s="162">
        <f t="shared" si="73"/>
        <v>0</v>
      </c>
      <c r="I1299" s="162">
        <f t="shared" si="74"/>
        <v>0</v>
      </c>
    </row>
    <row r="1300" spans="1:14" hidden="1">
      <c r="A1300" s="151">
        <f>IF(E1300+F1300+G1300+H1300+I1300=0,1,0)</f>
        <v>1</v>
      </c>
      <c r="B1300" s="151" t="s">
        <v>206</v>
      </c>
      <c r="C1300" s="159">
        <v>3754</v>
      </c>
      <c r="D1300" s="160" t="s">
        <v>960</v>
      </c>
      <c r="E1300" s="161">
        <f>SUMIF(Lanç!C3:C114,C1300,Lanç!F3:F114)</f>
        <v>0</v>
      </c>
      <c r="F1300" s="161">
        <f>SUMIF(Lanç!C115:C6504,C1300,Lanç!F115:F6504)</f>
        <v>0</v>
      </c>
      <c r="G1300" s="161">
        <f>SUMIF(Lanç!C115:C6504,C1300,Lanç!G115:G6504)</f>
        <v>0</v>
      </c>
      <c r="H1300" s="162">
        <f>(F1300)-(G1300)</f>
        <v>0</v>
      </c>
      <c r="I1300" s="162">
        <f>(E1300)+(H1300)</f>
        <v>0</v>
      </c>
    </row>
    <row r="1301" spans="1:14">
      <c r="A1301" s="151">
        <f>IF(E1301+F1301+G1301+H1301+I1301=0,1,0)</f>
        <v>0</v>
      </c>
      <c r="B1301" s="151" t="s">
        <v>206</v>
      </c>
      <c r="C1301" s="159">
        <v>3755</v>
      </c>
      <c r="D1301" s="160" t="s">
        <v>1813</v>
      </c>
      <c r="E1301" s="161">
        <f>SUMIF(Lanç!C4:C115,C1301,Lanç!F4:F115)</f>
        <v>-134396.12</v>
      </c>
      <c r="F1301" s="161">
        <f>SUMIF(Lanç!C116:C6505,C1301,Lanç!F116:F6505)</f>
        <v>0</v>
      </c>
      <c r="G1301" s="161">
        <f>SUMIF(Lanç!C116:C6505,C1301,Lanç!G116:G6505)</f>
        <v>0</v>
      </c>
      <c r="H1301" s="162">
        <f>(F1301)-(G1301)</f>
        <v>0</v>
      </c>
      <c r="I1301" s="162">
        <f>(E1301)+(H1301)</f>
        <v>-134396.12</v>
      </c>
    </row>
    <row r="1302" spans="1:14" hidden="1">
      <c r="A1302" s="151">
        <f t="shared" si="72"/>
        <v>1</v>
      </c>
      <c r="B1302" s="155" t="s">
        <v>204</v>
      </c>
      <c r="C1302" s="156">
        <v>376</v>
      </c>
      <c r="D1302" s="157" t="s">
        <v>961</v>
      </c>
      <c r="E1302" s="158">
        <f>SUM(E1303:E1308)</f>
        <v>0</v>
      </c>
      <c r="F1302" s="158">
        <f>SUM(F1303:F1308)</f>
        <v>0</v>
      </c>
      <c r="G1302" s="158">
        <f>SUM(G1303:G1308)</f>
        <v>0</v>
      </c>
      <c r="H1302" s="154">
        <f t="shared" si="73"/>
        <v>0</v>
      </c>
      <c r="I1302" s="154">
        <f t="shared" si="74"/>
        <v>0</v>
      </c>
      <c r="J1302" s="1"/>
      <c r="K1302" s="1"/>
      <c r="L1302" s="1"/>
      <c r="M1302" s="1"/>
      <c r="N1302" s="1"/>
    </row>
    <row r="1303" spans="1:14" hidden="1">
      <c r="A1303" s="151">
        <f t="shared" si="72"/>
        <v>1</v>
      </c>
      <c r="B1303" s="151" t="s">
        <v>206</v>
      </c>
      <c r="C1303" s="159">
        <v>3761</v>
      </c>
      <c r="D1303" s="160" t="s">
        <v>962</v>
      </c>
      <c r="E1303" s="161">
        <f>SUMIF(Lanç!$C$3:$C$114,C1303,Lanç!$F$3:$F$114)</f>
        <v>0</v>
      </c>
      <c r="F1303" s="161">
        <f>SUMIF(Lanç!$C$115:$C$6504,C1303,Lanç!$F$115:$F$6504)</f>
        <v>0</v>
      </c>
      <c r="G1303" s="161">
        <f>SUMIF(Lanç!$C$115:$C$6504,C1303,Lanç!$G$115:$G$6504)</f>
        <v>0</v>
      </c>
      <c r="H1303" s="162">
        <f t="shared" si="73"/>
        <v>0</v>
      </c>
      <c r="I1303" s="162">
        <f t="shared" si="74"/>
        <v>0</v>
      </c>
    </row>
    <row r="1304" spans="1:14" hidden="1">
      <c r="A1304" s="151">
        <f t="shared" si="72"/>
        <v>1</v>
      </c>
      <c r="B1304" s="151" t="s">
        <v>206</v>
      </c>
      <c r="C1304" s="159">
        <v>3762</v>
      </c>
      <c r="D1304" s="160" t="s">
        <v>963</v>
      </c>
      <c r="E1304" s="161">
        <f>SUMIF(Lanç!$C$3:$C$114,C1304,Lanç!$F$3:$F$114)</f>
        <v>0</v>
      </c>
      <c r="F1304" s="161">
        <f>SUMIF(Lanç!$C$115:$C$6504,C1304,Lanç!$F$115:$F$6504)</f>
        <v>0</v>
      </c>
      <c r="G1304" s="161">
        <f>SUMIF(Lanç!$C$115:$C$6504,C1304,Lanç!$G$115:$G$6504)</f>
        <v>0</v>
      </c>
      <c r="H1304" s="162">
        <f t="shared" si="73"/>
        <v>0</v>
      </c>
      <c r="I1304" s="162">
        <f t="shared" si="74"/>
        <v>0</v>
      </c>
    </row>
    <row r="1305" spans="1:14" hidden="1">
      <c r="A1305" s="151">
        <f t="shared" si="72"/>
        <v>1</v>
      </c>
      <c r="B1305" s="151" t="s">
        <v>206</v>
      </c>
      <c r="C1305" s="159">
        <v>3763</v>
      </c>
      <c r="D1305" s="160" t="s">
        <v>964</v>
      </c>
      <c r="E1305" s="161">
        <f>SUMIF(Lanç!$C$3:$C$114,C1305,Lanç!$F$3:$F$114)</f>
        <v>0</v>
      </c>
      <c r="F1305" s="161">
        <f>SUMIF(Lanç!$C$115:$C$6504,C1305,Lanç!$F$115:$F$6504)</f>
        <v>0</v>
      </c>
      <c r="G1305" s="161">
        <f>SUMIF(Lanç!$C$115:$C$6504,C1305,Lanç!$G$115:$G$6504)</f>
        <v>0</v>
      </c>
      <c r="H1305" s="162">
        <f t="shared" si="73"/>
        <v>0</v>
      </c>
      <c r="I1305" s="162">
        <f t="shared" si="74"/>
        <v>0</v>
      </c>
    </row>
    <row r="1306" spans="1:14" hidden="1">
      <c r="A1306" s="151">
        <f t="shared" si="72"/>
        <v>1</v>
      </c>
      <c r="B1306" s="151" t="s">
        <v>206</v>
      </c>
      <c r="C1306" s="159">
        <v>3764</v>
      </c>
      <c r="D1306" s="160" t="s">
        <v>965</v>
      </c>
      <c r="E1306" s="161">
        <f>SUMIF(Lanç!$C$3:$C$114,C1306,Lanç!$F$3:$F$114)</f>
        <v>0</v>
      </c>
      <c r="F1306" s="161">
        <f>SUMIF(Lanç!$C$115:$C$6504,C1306,Lanç!$F$115:$F$6504)</f>
        <v>0</v>
      </c>
      <c r="G1306" s="161">
        <f>SUMIF(Lanç!$C$115:$C$6504,C1306,Lanç!$G$115:$G$6504)</f>
        <v>0</v>
      </c>
      <c r="H1306" s="162">
        <f t="shared" si="73"/>
        <v>0</v>
      </c>
      <c r="I1306" s="162">
        <f t="shared" si="74"/>
        <v>0</v>
      </c>
    </row>
    <row r="1307" spans="1:14" hidden="1">
      <c r="A1307" s="151">
        <f t="shared" si="72"/>
        <v>1</v>
      </c>
      <c r="B1307" s="151" t="s">
        <v>206</v>
      </c>
      <c r="C1307" s="159">
        <v>3765</v>
      </c>
      <c r="D1307" s="160" t="s">
        <v>944</v>
      </c>
      <c r="E1307" s="161">
        <f>SUMIF(Lanç!$C$3:$C$114,C1307,Lanç!$F$3:$F$114)</f>
        <v>0</v>
      </c>
      <c r="F1307" s="161">
        <f>SUMIF(Lanç!$C$115:$C$6504,C1307,Lanç!$F$115:$F$6504)</f>
        <v>0</v>
      </c>
      <c r="G1307" s="161">
        <f>SUMIF(Lanç!$C$115:$C$6504,C1307,Lanç!$G$115:$G$6504)</f>
        <v>0</v>
      </c>
      <c r="H1307" s="162">
        <f t="shared" si="73"/>
        <v>0</v>
      </c>
      <c r="I1307" s="162">
        <f t="shared" si="74"/>
        <v>0</v>
      </c>
    </row>
    <row r="1308" spans="1:14" hidden="1">
      <c r="A1308" s="151">
        <f t="shared" si="72"/>
        <v>1</v>
      </c>
      <c r="B1308" s="151" t="s">
        <v>206</v>
      </c>
      <c r="C1308" s="159">
        <v>3766</v>
      </c>
      <c r="D1308" s="160" t="s">
        <v>943</v>
      </c>
      <c r="E1308" s="161">
        <f>SUMIF(Lanç!$C$3:$C$114,C1308,Lanç!$F$3:$F$114)</f>
        <v>0</v>
      </c>
      <c r="F1308" s="161">
        <f>SUMIF(Lanç!$C$115:$C$6504,C1308,Lanç!$F$115:$F$6504)</f>
        <v>0</v>
      </c>
      <c r="G1308" s="161">
        <f>SUMIF(Lanç!$C$115:$C$6504,C1308,Lanç!$G$115:$G$6504)</f>
        <v>0</v>
      </c>
      <c r="H1308" s="162">
        <f t="shared" si="73"/>
        <v>0</v>
      </c>
      <c r="I1308" s="162">
        <f t="shared" si="74"/>
        <v>0</v>
      </c>
    </row>
    <row r="1309" spans="1:14" hidden="1">
      <c r="A1309" s="151">
        <f t="shared" ref="A1309:A1372" si="76">IF(E1309+F1309+G1309+H1309+I1309=0,1,0)</f>
        <v>1</v>
      </c>
      <c r="B1309" s="155" t="s">
        <v>204</v>
      </c>
      <c r="C1309" s="156">
        <v>377</v>
      </c>
      <c r="D1309" s="157" t="s">
        <v>966</v>
      </c>
      <c r="E1309" s="158">
        <f>SUM(E1310)</f>
        <v>0</v>
      </c>
      <c r="F1309" s="158">
        <f>SUM(F1310)</f>
        <v>0</v>
      </c>
      <c r="G1309" s="158">
        <f>SUM(G1310)</f>
        <v>0</v>
      </c>
      <c r="H1309" s="154">
        <f t="shared" ref="H1309:H1372" si="77">(F1309)-(G1309)</f>
        <v>0</v>
      </c>
      <c r="I1309" s="154">
        <f t="shared" ref="I1309:I1372" si="78">(E1309)+(H1309)</f>
        <v>0</v>
      </c>
      <c r="J1309" s="1"/>
      <c r="K1309" s="1"/>
      <c r="L1309" s="1"/>
      <c r="M1309" s="1"/>
      <c r="N1309" s="1"/>
    </row>
    <row r="1310" spans="1:14" hidden="1">
      <c r="A1310" s="151">
        <f t="shared" si="76"/>
        <v>1</v>
      </c>
      <c r="B1310" s="151" t="s">
        <v>206</v>
      </c>
      <c r="C1310" s="159">
        <v>3771</v>
      </c>
      <c r="D1310" s="160" t="s">
        <v>967</v>
      </c>
      <c r="E1310" s="161">
        <f>SUMIF(Lanç!$C$3:$C$114,C1310,Lanç!$F$3:$F$114)</f>
        <v>0</v>
      </c>
      <c r="F1310" s="161">
        <f>SUMIF(Lanç!$C$115:$C$6504,C1310,Lanç!$F$115:$F$6504)</f>
        <v>0</v>
      </c>
      <c r="G1310" s="161">
        <f>SUMIF(Lanç!$C$115:$C$6504,C1310,Lanç!$G$115:$G$6504)</f>
        <v>0</v>
      </c>
      <c r="H1310" s="166">
        <f t="shared" si="77"/>
        <v>0</v>
      </c>
      <c r="I1310" s="166">
        <f t="shared" si="78"/>
        <v>0</v>
      </c>
    </row>
    <row r="1311" spans="1:14" s="57" customFormat="1" hidden="1">
      <c r="A1311" s="155">
        <f t="shared" si="76"/>
        <v>1</v>
      </c>
      <c r="B1311" s="155" t="s">
        <v>204</v>
      </c>
      <c r="C1311" s="156">
        <v>378</v>
      </c>
      <c r="D1311" s="157" t="s">
        <v>968</v>
      </c>
      <c r="E1311" s="158">
        <f>SUM(E1312:E1320)</f>
        <v>0</v>
      </c>
      <c r="F1311" s="158">
        <f>SUM(F1312:F1320)</f>
        <v>0</v>
      </c>
      <c r="G1311" s="158">
        <f>SUM(G1312:G1320)</f>
        <v>0</v>
      </c>
      <c r="H1311" s="154">
        <f t="shared" si="77"/>
        <v>0</v>
      </c>
      <c r="I1311" s="154">
        <f t="shared" si="78"/>
        <v>0</v>
      </c>
    </row>
    <row r="1312" spans="1:14" hidden="1">
      <c r="A1312" s="151">
        <f t="shared" si="76"/>
        <v>1</v>
      </c>
      <c r="B1312" s="151" t="s">
        <v>206</v>
      </c>
      <c r="C1312" s="159">
        <v>3781001</v>
      </c>
      <c r="D1312" s="160" t="s">
        <v>892</v>
      </c>
      <c r="E1312" s="161">
        <f>SUMIF(Lanç!$C$3:$C$114,C1312,Lanç!$F$3:$F$114)</f>
        <v>0</v>
      </c>
      <c r="F1312" s="161">
        <f>SUMIF(Lanç!$C$115:$C$6504,C1312,Lanç!$F$115:$F$6504)</f>
        <v>0</v>
      </c>
      <c r="G1312" s="161">
        <f>SUMIF(Lanç!$C$115:$C$6504,C1312,Lanç!$G$115:$G$6504)</f>
        <v>0</v>
      </c>
      <c r="H1312" s="166">
        <f t="shared" si="77"/>
        <v>0</v>
      </c>
      <c r="I1312" s="166">
        <f t="shared" si="78"/>
        <v>0</v>
      </c>
    </row>
    <row r="1313" spans="1:9" hidden="1">
      <c r="A1313" s="151">
        <f t="shared" si="76"/>
        <v>1</v>
      </c>
      <c r="B1313" s="151" t="s">
        <v>206</v>
      </c>
      <c r="C1313" s="159">
        <v>3781002</v>
      </c>
      <c r="D1313" s="160" t="s">
        <v>782</v>
      </c>
      <c r="E1313" s="161">
        <f>SUMIF(Lanç!$C$3:$C$114,C1313,Lanç!$F$3:$F$114)</f>
        <v>0</v>
      </c>
      <c r="F1313" s="161">
        <f>SUMIF(Lanç!$C$115:$C$6504,C1313,Lanç!$F$115:$F$6504)</f>
        <v>0</v>
      </c>
      <c r="G1313" s="161">
        <f>SUMIF(Lanç!$C$115:$C$6504,C1313,Lanç!$G$115:$G$6504)</f>
        <v>0</v>
      </c>
      <c r="H1313" s="166">
        <f t="shared" si="77"/>
        <v>0</v>
      </c>
      <c r="I1313" s="166">
        <f t="shared" si="78"/>
        <v>0</v>
      </c>
    </row>
    <row r="1314" spans="1:9" hidden="1">
      <c r="A1314" s="151">
        <f t="shared" si="76"/>
        <v>1</v>
      </c>
      <c r="B1314" s="151" t="s">
        <v>206</v>
      </c>
      <c r="C1314" s="159">
        <v>3781003</v>
      </c>
      <c r="D1314" s="160" t="s">
        <v>969</v>
      </c>
      <c r="E1314" s="161">
        <f>SUMIF(Lanç!C3:C114,C1314,Lanç!F3:F114)</f>
        <v>0</v>
      </c>
      <c r="F1314" s="161">
        <f>SUMIF(Lanç!C115:C6504,C1314,Lanç!F115:F6504)</f>
        <v>0</v>
      </c>
      <c r="G1314" s="161">
        <f>SUMIF(Lanç!C115:C6504,C1314,Lanç!G115:G6504)</f>
        <v>0</v>
      </c>
      <c r="H1314" s="166">
        <f t="shared" si="77"/>
        <v>0</v>
      </c>
      <c r="I1314" s="166">
        <f t="shared" si="78"/>
        <v>0</v>
      </c>
    </row>
    <row r="1315" spans="1:9" hidden="1">
      <c r="A1315" s="151">
        <f t="shared" si="76"/>
        <v>1</v>
      </c>
      <c r="B1315" s="151" t="s">
        <v>206</v>
      </c>
      <c r="C1315" s="159">
        <v>3781004</v>
      </c>
      <c r="D1315" s="160" t="s">
        <v>970</v>
      </c>
      <c r="E1315" s="161">
        <f>SUMIF(Lanç!$C$3:$C$114,C1315,Lanç!$F$3:$F$114)</f>
        <v>0</v>
      </c>
      <c r="F1315" s="161">
        <f>SUMIF(Lanç!$C$115:$C$6504,C1315,Lanç!$F$115:$F$6504)</f>
        <v>0</v>
      </c>
      <c r="G1315" s="161">
        <f>SUMIF(Lanç!$C$115:$C$6504,C1315,Lanç!$G$115:$G$6504)</f>
        <v>0</v>
      </c>
      <c r="H1315" s="166">
        <f t="shared" si="77"/>
        <v>0</v>
      </c>
      <c r="I1315" s="166">
        <f t="shared" si="78"/>
        <v>0</v>
      </c>
    </row>
    <row r="1316" spans="1:9" hidden="1">
      <c r="A1316" s="151">
        <f t="shared" si="76"/>
        <v>1</v>
      </c>
      <c r="B1316" s="151" t="s">
        <v>206</v>
      </c>
      <c r="C1316" s="159">
        <v>3781005</v>
      </c>
      <c r="D1316" s="160" t="s">
        <v>971</v>
      </c>
      <c r="E1316" s="161">
        <f>SUMIF(Lanç!$C$3:$C$114,C1316,Lanç!$F$3:$F$114)</f>
        <v>0</v>
      </c>
      <c r="F1316" s="161">
        <f>SUMIF(Lanç!$C$115:$C$6504,C1316,Lanç!$F$115:$F$6504)</f>
        <v>0</v>
      </c>
      <c r="G1316" s="161">
        <f>SUMIF(Lanç!$C$115:$C$6504,C1316,Lanç!$G$115:$G$6504)</f>
        <v>0</v>
      </c>
      <c r="H1316" s="166">
        <f t="shared" si="77"/>
        <v>0</v>
      </c>
      <c r="I1316" s="166">
        <f t="shared" si="78"/>
        <v>0</v>
      </c>
    </row>
    <row r="1317" spans="1:9" hidden="1">
      <c r="A1317" s="151">
        <f t="shared" si="76"/>
        <v>1</v>
      </c>
      <c r="B1317" s="151" t="s">
        <v>206</v>
      </c>
      <c r="C1317" s="159">
        <v>3781006</v>
      </c>
      <c r="D1317" s="160" t="s">
        <v>972</v>
      </c>
      <c r="E1317" s="161">
        <f>SUMIF(Lanç!C3:C114,C1317,Lanç!F3:F114)</f>
        <v>0</v>
      </c>
      <c r="F1317" s="161">
        <f>SUMIF(Lanç!C115:C6504,C1317,Lanç!F115:F6504)</f>
        <v>0</v>
      </c>
      <c r="G1317" s="161">
        <f>SUMIF(Lanç!C115:C6504,C1317,Lanç!G115:G6504)</f>
        <v>0</v>
      </c>
      <c r="H1317" s="166">
        <f t="shared" si="77"/>
        <v>0</v>
      </c>
      <c r="I1317" s="166">
        <f t="shared" si="78"/>
        <v>0</v>
      </c>
    </row>
    <row r="1318" spans="1:9" hidden="1">
      <c r="A1318" s="151">
        <f t="shared" si="76"/>
        <v>1</v>
      </c>
      <c r="B1318" s="151" t="s">
        <v>206</v>
      </c>
      <c r="C1318" s="159">
        <v>3781007</v>
      </c>
      <c r="D1318" s="160" t="s">
        <v>908</v>
      </c>
      <c r="E1318" s="161">
        <f>SUMIF(Lanç!C3:C114,C1318,Lanç!F3:F114)</f>
        <v>0</v>
      </c>
      <c r="F1318" s="161">
        <f>SUMIF(Lanç!C115:C6504,C1318,Lanç!F115:F6504)</f>
        <v>0</v>
      </c>
      <c r="G1318" s="161">
        <f>SUMIF(Lanç!C115:C6504,C1318,Lanç!G115:G6504)</f>
        <v>0</v>
      </c>
      <c r="H1318" s="166">
        <f t="shared" si="77"/>
        <v>0</v>
      </c>
      <c r="I1318" s="166">
        <f t="shared" si="78"/>
        <v>0</v>
      </c>
    </row>
    <row r="1319" spans="1:9" hidden="1">
      <c r="A1319" s="151">
        <f t="shared" si="76"/>
        <v>1</v>
      </c>
      <c r="B1319" s="151" t="s">
        <v>206</v>
      </c>
      <c r="C1319" s="159">
        <v>3781008</v>
      </c>
      <c r="D1319" s="160" t="s">
        <v>973</v>
      </c>
      <c r="E1319" s="161">
        <f>SUMIF(Lanç!C3:C114,C1319,Lanç!F3:F114)</f>
        <v>0</v>
      </c>
      <c r="F1319" s="161">
        <f>SUMIF(Lanç!C115:C6504,C1319,Lanç!F115:F6504)</f>
        <v>0</v>
      </c>
      <c r="G1319" s="161">
        <f>SUMIF(Lanç!C115:C6504,C1319,Lanç!G115:G6504)</f>
        <v>0</v>
      </c>
      <c r="H1319" s="166">
        <f t="shared" si="77"/>
        <v>0</v>
      </c>
      <c r="I1319" s="166">
        <f t="shared" si="78"/>
        <v>0</v>
      </c>
    </row>
    <row r="1320" spans="1:9" hidden="1">
      <c r="A1320" s="151">
        <f t="shared" si="76"/>
        <v>1</v>
      </c>
      <c r="B1320" s="151" t="s">
        <v>206</v>
      </c>
      <c r="C1320" s="159">
        <v>3781009</v>
      </c>
      <c r="D1320" s="160" t="s">
        <v>912</v>
      </c>
      <c r="E1320" s="161">
        <f>SUMIF(Lanç!$C$3:$C$114,C1320,Lanç!$F$3:$F$114)</f>
        <v>0</v>
      </c>
      <c r="F1320" s="161">
        <f>SUMIF(Lanç!$C$115:$C$6504,C1320,Lanç!$F$115:$F$6504)</f>
        <v>0</v>
      </c>
      <c r="G1320" s="161">
        <f>SUMIF(Lanç!$C$115:$C$6504,C1320,Lanç!$G$115:$G$6504)</f>
        <v>0</v>
      </c>
      <c r="H1320" s="166">
        <f t="shared" si="77"/>
        <v>0</v>
      </c>
      <c r="I1320" s="166">
        <f t="shared" si="78"/>
        <v>0</v>
      </c>
    </row>
    <row r="1321" spans="1:9" s="57" customFormat="1">
      <c r="A1321" s="155">
        <f t="shared" si="76"/>
        <v>0</v>
      </c>
      <c r="B1321" s="155" t="s">
        <v>204</v>
      </c>
      <c r="C1321" s="156">
        <v>379</v>
      </c>
      <c r="D1321" s="157" t="s">
        <v>974</v>
      </c>
      <c r="E1321" s="158">
        <f>SUM(E1322,E1398)</f>
        <v>-900964.17999999993</v>
      </c>
      <c r="F1321" s="158">
        <f>SUM(F1322,F1398)</f>
        <v>0</v>
      </c>
      <c r="G1321" s="158">
        <f>SUM(G1322,G1398)</f>
        <v>0</v>
      </c>
      <c r="H1321" s="154">
        <f t="shared" si="77"/>
        <v>0</v>
      </c>
      <c r="I1321" s="154">
        <f t="shared" si="78"/>
        <v>-900964.17999999993</v>
      </c>
    </row>
    <row r="1322" spans="1:9" s="57" customFormat="1">
      <c r="A1322" s="155">
        <f t="shared" si="76"/>
        <v>0</v>
      </c>
      <c r="B1322" s="155" t="s">
        <v>204</v>
      </c>
      <c r="C1322" s="156">
        <v>3791</v>
      </c>
      <c r="D1322" s="157" t="s">
        <v>975</v>
      </c>
      <c r="E1322" s="158">
        <f>SUM(E1323:E1397)</f>
        <v>-900964.17999999993</v>
      </c>
      <c r="F1322" s="158">
        <f>SUM(F1323:F1397)</f>
        <v>0</v>
      </c>
      <c r="G1322" s="158">
        <f>SUM(G1323:G1397)</f>
        <v>0</v>
      </c>
      <c r="H1322" s="163">
        <f t="shared" si="77"/>
        <v>0</v>
      </c>
      <c r="I1322" s="163">
        <f t="shared" si="78"/>
        <v>-900964.17999999993</v>
      </c>
    </row>
    <row r="1323" spans="1:9" hidden="1">
      <c r="A1323" s="151">
        <f t="shared" si="76"/>
        <v>1</v>
      </c>
      <c r="B1323" s="151" t="s">
        <v>206</v>
      </c>
      <c r="C1323" s="159">
        <v>3791001</v>
      </c>
      <c r="D1323" s="160" t="s">
        <v>969</v>
      </c>
      <c r="E1323" s="161">
        <f>SUMIF(Lanç!C3:C114,C1323,Lanç!F3:F114)</f>
        <v>0</v>
      </c>
      <c r="F1323" s="161">
        <f>SUMIF(Lanç!C115:C6504,C1323,Lanç!F115:F6504)</f>
        <v>0</v>
      </c>
      <c r="G1323" s="161">
        <f>SUMIF(Lanç!C115:C6504,C1323,Lanç!G115:G6504)</f>
        <v>0</v>
      </c>
      <c r="H1323" s="162">
        <f t="shared" si="77"/>
        <v>0</v>
      </c>
      <c r="I1323" s="162">
        <f t="shared" si="78"/>
        <v>0</v>
      </c>
    </row>
    <row r="1324" spans="1:9" hidden="1">
      <c r="A1324" s="151">
        <f t="shared" si="76"/>
        <v>1</v>
      </c>
      <c r="B1324" s="151" t="s">
        <v>206</v>
      </c>
      <c r="C1324" s="159">
        <v>3791002</v>
      </c>
      <c r="D1324" s="160" t="s">
        <v>976</v>
      </c>
      <c r="E1324" s="161">
        <f>SUMIF(Lanç!$C$3:$C$114,C1324,Lanç!$F$3:$F$114)</f>
        <v>0</v>
      </c>
      <c r="F1324" s="161">
        <f>SUMIF(Lanç!$C$115:$C$6504,C1324,Lanç!$F$115:$F$6504)</f>
        <v>0</v>
      </c>
      <c r="G1324" s="161">
        <f>SUMIF(Lanç!$C$115:$C$6504,C1324,Lanç!$G$115:$G$6504)</f>
        <v>0</v>
      </c>
      <c r="H1324" s="162">
        <f t="shared" si="77"/>
        <v>0</v>
      </c>
      <c r="I1324" s="162">
        <f t="shared" si="78"/>
        <v>0</v>
      </c>
    </row>
    <row r="1325" spans="1:9" hidden="1">
      <c r="A1325" s="151">
        <f t="shared" si="76"/>
        <v>1</v>
      </c>
      <c r="B1325" s="151" t="s">
        <v>206</v>
      </c>
      <c r="C1325" s="159">
        <v>3791003</v>
      </c>
      <c r="D1325" s="160" t="s">
        <v>977</v>
      </c>
      <c r="E1325" s="161">
        <f>SUMIF(Lanç!$C$3:$C$114,C1325,Lanç!$F$3:$F$114)</f>
        <v>0</v>
      </c>
      <c r="F1325" s="161">
        <f>SUMIF(Lanç!$C$115:$C$6504,C1325,Lanç!$F$115:$F$6504)</f>
        <v>0</v>
      </c>
      <c r="G1325" s="161">
        <f>SUMIF(Lanç!$C$115:$C$6504,C1325,Lanç!$G$115:$G$6504)</f>
        <v>0</v>
      </c>
      <c r="H1325" s="162">
        <f t="shared" si="77"/>
        <v>0</v>
      </c>
      <c r="I1325" s="162">
        <f t="shared" si="78"/>
        <v>0</v>
      </c>
    </row>
    <row r="1326" spans="1:9" hidden="1">
      <c r="A1326" s="151">
        <f t="shared" si="76"/>
        <v>1</v>
      </c>
      <c r="B1326" s="151" t="s">
        <v>206</v>
      </c>
      <c r="C1326" s="159">
        <v>3791004</v>
      </c>
      <c r="D1326" s="160" t="s">
        <v>978</v>
      </c>
      <c r="E1326" s="161">
        <f>SUMIF(Lanç!$C$3:$C$114,C1326,Lanç!$F$3:$F$114)</f>
        <v>0</v>
      </c>
      <c r="F1326" s="161">
        <f>SUMIF(Lanç!$C$115:$C$6504,C1326,Lanç!$F$115:$F$6504)</f>
        <v>0</v>
      </c>
      <c r="G1326" s="161">
        <f>SUMIF(Lanç!$C$115:$C$6504,C1326,Lanç!$G$115:$G$6504)</f>
        <v>0</v>
      </c>
      <c r="H1326" s="162">
        <f t="shared" si="77"/>
        <v>0</v>
      </c>
      <c r="I1326" s="162">
        <f t="shared" si="78"/>
        <v>0</v>
      </c>
    </row>
    <row r="1327" spans="1:9" hidden="1">
      <c r="A1327" s="151">
        <f t="shared" si="76"/>
        <v>1</v>
      </c>
      <c r="B1327" s="151" t="s">
        <v>206</v>
      </c>
      <c r="C1327" s="159">
        <v>3791005</v>
      </c>
      <c r="D1327" s="160" t="s">
        <v>979</v>
      </c>
      <c r="E1327" s="161">
        <f>SUMIF(Lanç!$C$3:$C$114,C1327,Lanç!$F$3:$F$114)</f>
        <v>0</v>
      </c>
      <c r="F1327" s="161">
        <f>SUMIF(Lanç!$C$115:$C$6504,C1327,Lanç!$F$115:$F$6504)</f>
        <v>0</v>
      </c>
      <c r="G1327" s="161">
        <f>SUMIF(Lanç!$C$115:$C$6504,C1327,Lanç!$G$115:$G$6504)</f>
        <v>0</v>
      </c>
      <c r="H1327" s="162">
        <f t="shared" si="77"/>
        <v>0</v>
      </c>
      <c r="I1327" s="162">
        <f t="shared" si="78"/>
        <v>0</v>
      </c>
    </row>
    <row r="1328" spans="1:9" hidden="1">
      <c r="A1328" s="151">
        <f t="shared" si="76"/>
        <v>1</v>
      </c>
      <c r="B1328" s="151" t="s">
        <v>206</v>
      </c>
      <c r="C1328" s="159">
        <v>3791006</v>
      </c>
      <c r="D1328" s="160" t="s">
        <v>980</v>
      </c>
      <c r="E1328" s="161">
        <f>SUMIF(Lanç!$C$3:$C$114,C1328,Lanç!$F$3:$F$114)</f>
        <v>0</v>
      </c>
      <c r="F1328" s="161">
        <f>SUMIF(Lanç!$C$115:$C$6504,C1328,Lanç!$F$115:$F$6504)</f>
        <v>0</v>
      </c>
      <c r="G1328" s="161">
        <f>SUMIF(Lanç!$C$115:$C$6504,C1328,Lanç!$G$115:$G$6504)</f>
        <v>0</v>
      </c>
      <c r="H1328" s="162">
        <f t="shared" si="77"/>
        <v>0</v>
      </c>
      <c r="I1328" s="162">
        <f t="shared" si="78"/>
        <v>0</v>
      </c>
    </row>
    <row r="1329" spans="1:9" hidden="1">
      <c r="A1329" s="151">
        <f t="shared" si="76"/>
        <v>1</v>
      </c>
      <c r="B1329" s="151" t="s">
        <v>206</v>
      </c>
      <c r="C1329" s="159">
        <v>3791007</v>
      </c>
      <c r="D1329" s="160" t="s">
        <v>981</v>
      </c>
      <c r="E1329" s="161">
        <f>SUMIF(Lanç!$C$3:$C$114,C1329,Lanç!$F$3:$F$114)</f>
        <v>0</v>
      </c>
      <c r="F1329" s="161">
        <f>SUMIF(Lanç!$C$115:$C$6504,C1329,Lanç!$F$115:$F$6504)</f>
        <v>0</v>
      </c>
      <c r="G1329" s="161">
        <f>SUMIF(Lanç!$C$115:$C$6504,C1329,Lanç!$G$115:$G$6504)</f>
        <v>0</v>
      </c>
      <c r="H1329" s="162">
        <f t="shared" si="77"/>
        <v>0</v>
      </c>
      <c r="I1329" s="162">
        <f t="shared" si="78"/>
        <v>0</v>
      </c>
    </row>
    <row r="1330" spans="1:9" hidden="1">
      <c r="A1330" s="151">
        <f t="shared" si="76"/>
        <v>1</v>
      </c>
      <c r="B1330" s="151" t="s">
        <v>206</v>
      </c>
      <c r="C1330" s="159">
        <v>3791008</v>
      </c>
      <c r="D1330" s="160" t="s">
        <v>982</v>
      </c>
      <c r="E1330" s="161">
        <f>SUMIF(Lanç!$C$3:$C$114,C1330,Lanç!$F$3:$F$114)</f>
        <v>0</v>
      </c>
      <c r="F1330" s="161">
        <f>SUMIF(Lanç!$C$115:$C$6504,C1330,Lanç!$F$115:$F$6504)</f>
        <v>0</v>
      </c>
      <c r="G1330" s="161">
        <f>SUMIF(Lanç!$C$115:$C$6504,C1330,Lanç!$G$115:$G$6504)</f>
        <v>0</v>
      </c>
      <c r="H1330" s="162">
        <f t="shared" si="77"/>
        <v>0</v>
      </c>
      <c r="I1330" s="162">
        <f t="shared" si="78"/>
        <v>0</v>
      </c>
    </row>
    <row r="1331" spans="1:9" hidden="1">
      <c r="A1331" s="151">
        <f t="shared" si="76"/>
        <v>1</v>
      </c>
      <c r="B1331" s="151" t="s">
        <v>206</v>
      </c>
      <c r="C1331" s="159">
        <v>3791009</v>
      </c>
      <c r="D1331" s="160" t="s">
        <v>983</v>
      </c>
      <c r="E1331" s="161">
        <f>SUMIF(Lanç!$C$3:$C$114,C1331,Lanç!$F$3:$F$114)</f>
        <v>0</v>
      </c>
      <c r="F1331" s="161">
        <f>SUMIF(Lanç!$C$115:$C$6504,C1331,Lanç!$F$115:$F$6504)</f>
        <v>0</v>
      </c>
      <c r="G1331" s="161">
        <f>SUMIF(Lanç!$C$115:$C$6504,C1331,Lanç!$G$115:$G$6504)</f>
        <v>0</v>
      </c>
      <c r="H1331" s="162">
        <f t="shared" si="77"/>
        <v>0</v>
      </c>
      <c r="I1331" s="162">
        <f t="shared" si="78"/>
        <v>0</v>
      </c>
    </row>
    <row r="1332" spans="1:9" hidden="1">
      <c r="A1332" s="151">
        <f t="shared" si="76"/>
        <v>1</v>
      </c>
      <c r="B1332" s="151" t="s">
        <v>206</v>
      </c>
      <c r="C1332" s="159">
        <v>3791010</v>
      </c>
      <c r="D1332" s="160" t="s">
        <v>984</v>
      </c>
      <c r="E1332" s="161">
        <f>SUMIF(Lanç!$C$3:$C$114,C1332,Lanç!$F$3:$F$114)</f>
        <v>0</v>
      </c>
      <c r="F1332" s="161">
        <f>SUMIF(Lanç!$C$115:$C$6504,C1332,Lanç!$F$115:$F$6504)</f>
        <v>0</v>
      </c>
      <c r="G1332" s="161">
        <f>SUMIF(Lanç!$C$115:$C$6504,C1332,Lanç!$G$115:$G$6504)</f>
        <v>0</v>
      </c>
      <c r="H1332" s="162">
        <f t="shared" si="77"/>
        <v>0</v>
      </c>
      <c r="I1332" s="162">
        <f t="shared" si="78"/>
        <v>0</v>
      </c>
    </row>
    <row r="1333" spans="1:9" hidden="1">
      <c r="A1333" s="151">
        <f t="shared" si="76"/>
        <v>1</v>
      </c>
      <c r="B1333" s="151" t="s">
        <v>206</v>
      </c>
      <c r="C1333" s="159">
        <v>3791011</v>
      </c>
      <c r="D1333" s="160" t="s">
        <v>985</v>
      </c>
      <c r="E1333" s="161">
        <f>SUMIF(Lanç!$C$3:$C$114,C1333,Lanç!$F$3:$F$114)</f>
        <v>0</v>
      </c>
      <c r="F1333" s="161">
        <f>SUMIF(Lanç!$C$115:$C$6504,C1333,Lanç!$F$115:$F$6504)</f>
        <v>0</v>
      </c>
      <c r="G1333" s="161">
        <f>SUMIF(Lanç!$C$115:$C$6504,C1333,Lanç!$G$115:$G$6504)</f>
        <v>0</v>
      </c>
      <c r="H1333" s="162">
        <f t="shared" si="77"/>
        <v>0</v>
      </c>
      <c r="I1333" s="162">
        <f t="shared" si="78"/>
        <v>0</v>
      </c>
    </row>
    <row r="1334" spans="1:9" hidden="1">
      <c r="A1334" s="151">
        <f t="shared" si="76"/>
        <v>1</v>
      </c>
      <c r="B1334" s="151" t="s">
        <v>206</v>
      </c>
      <c r="C1334" s="159">
        <v>3791012</v>
      </c>
      <c r="D1334" s="160" t="s">
        <v>986</v>
      </c>
      <c r="E1334" s="161">
        <f>SUMIF(Lanç!C3:C114,C1334,Lanç!F3:F114)</f>
        <v>0</v>
      </c>
      <c r="F1334" s="161">
        <f>SUMIF(Lanç!C115:C6504,C1334,Lanç!F115:F6504)</f>
        <v>0</v>
      </c>
      <c r="G1334" s="161">
        <f>SUMIF(Lanç!C115:C6504,C1334,Lanç!G115:G6504)</f>
        <v>0</v>
      </c>
      <c r="H1334" s="162">
        <f t="shared" si="77"/>
        <v>0</v>
      </c>
      <c r="I1334" s="162">
        <f t="shared" si="78"/>
        <v>0</v>
      </c>
    </row>
    <row r="1335" spans="1:9" hidden="1">
      <c r="A1335" s="151">
        <f t="shared" si="76"/>
        <v>1</v>
      </c>
      <c r="B1335" s="151" t="s">
        <v>206</v>
      </c>
      <c r="C1335" s="159">
        <v>3791013</v>
      </c>
      <c r="D1335" s="160" t="s">
        <v>987</v>
      </c>
      <c r="E1335" s="161">
        <f>SUMIF(Lanç!$C$3:$C$114,C1335,Lanç!$F$3:$F$114)</f>
        <v>0</v>
      </c>
      <c r="F1335" s="161">
        <f>SUMIF(Lanç!$C$115:$C$6504,C1335,Lanç!$F$115:$F$6504)</f>
        <v>0</v>
      </c>
      <c r="G1335" s="161">
        <f>SUMIF(Lanç!$C$115:$C$6504,C1335,Lanç!$G$115:$G$6504)</f>
        <v>0</v>
      </c>
      <c r="H1335" s="162">
        <f t="shared" si="77"/>
        <v>0</v>
      </c>
      <c r="I1335" s="162">
        <f t="shared" si="78"/>
        <v>0</v>
      </c>
    </row>
    <row r="1336" spans="1:9" hidden="1">
      <c r="A1336" s="151">
        <f t="shared" si="76"/>
        <v>1</v>
      </c>
      <c r="B1336" s="151" t="s">
        <v>206</v>
      </c>
      <c r="C1336" s="159">
        <v>3791014</v>
      </c>
      <c r="D1336" s="160" t="s">
        <v>988</v>
      </c>
      <c r="E1336" s="161">
        <f>SUMIF(Lanç!$C$3:$C$114,C1336,Lanç!$F$3:$F$114)</f>
        <v>0</v>
      </c>
      <c r="F1336" s="161">
        <f>SUMIF(Lanç!$C$115:$C$6504,C1336,Lanç!$F$115:$F$6504)</f>
        <v>0</v>
      </c>
      <c r="G1336" s="161">
        <f>SUMIF(Lanç!$C$115:$C$6504,C1336,Lanç!$G$115:$G$6504)</f>
        <v>0</v>
      </c>
      <c r="H1336" s="162">
        <f t="shared" si="77"/>
        <v>0</v>
      </c>
      <c r="I1336" s="162">
        <f t="shared" si="78"/>
        <v>0</v>
      </c>
    </row>
    <row r="1337" spans="1:9" hidden="1">
      <c r="A1337" s="151">
        <f t="shared" si="76"/>
        <v>1</v>
      </c>
      <c r="B1337" s="151" t="s">
        <v>206</v>
      </c>
      <c r="C1337" s="159">
        <v>3791015</v>
      </c>
      <c r="D1337" s="160" t="s">
        <v>989</v>
      </c>
      <c r="E1337" s="161">
        <f>SUMIF(Lanç!$C$3:$C$114,C1337,Lanç!$F$3:$F$114)</f>
        <v>0</v>
      </c>
      <c r="F1337" s="161">
        <f>SUMIF(Lanç!$C$115:$C$6504,C1337,Lanç!$F$115:$F$6504)</f>
        <v>0</v>
      </c>
      <c r="G1337" s="161">
        <f>SUMIF(Lanç!$C$115:$C$6504,C1337,Lanç!$G$115:$G$6504)</f>
        <v>0</v>
      </c>
      <c r="H1337" s="162">
        <f t="shared" si="77"/>
        <v>0</v>
      </c>
      <c r="I1337" s="162">
        <f t="shared" si="78"/>
        <v>0</v>
      </c>
    </row>
    <row r="1338" spans="1:9" hidden="1">
      <c r="A1338" s="151">
        <f t="shared" si="76"/>
        <v>1</v>
      </c>
      <c r="B1338" s="151" t="s">
        <v>206</v>
      </c>
      <c r="C1338" s="159">
        <v>3791016</v>
      </c>
      <c r="D1338" s="160" t="s">
        <v>990</v>
      </c>
      <c r="E1338" s="161">
        <f>SUMIF(Lanç!$C$3:$C$114,C1338,Lanç!$F$3:$F$114)</f>
        <v>0</v>
      </c>
      <c r="F1338" s="161">
        <f>SUMIF(Lanç!$C$115:$C$6504,C1338,Lanç!$F$115:$F$6504)</f>
        <v>0</v>
      </c>
      <c r="G1338" s="161">
        <f>SUMIF(Lanç!$C$115:$C$6504,C1338,Lanç!$G$115:$G$6504)</f>
        <v>0</v>
      </c>
      <c r="H1338" s="162">
        <f t="shared" si="77"/>
        <v>0</v>
      </c>
      <c r="I1338" s="162">
        <f t="shared" si="78"/>
        <v>0</v>
      </c>
    </row>
    <row r="1339" spans="1:9" hidden="1">
      <c r="A1339" s="151">
        <f t="shared" si="76"/>
        <v>1</v>
      </c>
      <c r="B1339" s="151" t="s">
        <v>206</v>
      </c>
      <c r="C1339" s="159">
        <v>3791017</v>
      </c>
      <c r="D1339" s="160" t="s">
        <v>896</v>
      </c>
      <c r="E1339" s="161">
        <f>SUMIF(Lanç!$C$3:$C$114,C1339,Lanç!$F$3:$F$114)</f>
        <v>0</v>
      </c>
      <c r="F1339" s="161">
        <f>SUMIF(Lanç!$C$115:$C$6504,C1339,Lanç!$F$115:$F$6504)</f>
        <v>0</v>
      </c>
      <c r="G1339" s="161">
        <f>SUMIF(Lanç!$C$115:$C$6504,C1339,Lanç!$G$115:$G$6504)</f>
        <v>0</v>
      </c>
      <c r="H1339" s="162">
        <f t="shared" si="77"/>
        <v>0</v>
      </c>
      <c r="I1339" s="162">
        <f t="shared" si="78"/>
        <v>0</v>
      </c>
    </row>
    <row r="1340" spans="1:9" hidden="1">
      <c r="A1340" s="151">
        <f t="shared" si="76"/>
        <v>1</v>
      </c>
      <c r="B1340" s="151" t="s">
        <v>206</v>
      </c>
      <c r="C1340" s="159">
        <v>3791018</v>
      </c>
      <c r="D1340" s="160" t="s">
        <v>991</v>
      </c>
      <c r="E1340" s="161">
        <f>SUMIF(Lanç!$C$3:$C$114,C1340,Lanç!$F$3:$F$114)</f>
        <v>0</v>
      </c>
      <c r="F1340" s="161">
        <f>SUMIF(Lanç!$C$115:$C$6504,C1340,Lanç!$F$115:$F$6504)</f>
        <v>0</v>
      </c>
      <c r="G1340" s="161">
        <f>SUMIF(Lanç!$C$115:$C$6504,C1340,Lanç!$G$115:$G$6504)</f>
        <v>0</v>
      </c>
      <c r="H1340" s="162">
        <f t="shared" si="77"/>
        <v>0</v>
      </c>
      <c r="I1340" s="162">
        <f t="shared" si="78"/>
        <v>0</v>
      </c>
    </row>
    <row r="1341" spans="1:9" hidden="1">
      <c r="A1341" s="151">
        <f t="shared" si="76"/>
        <v>1</v>
      </c>
      <c r="B1341" s="151" t="s">
        <v>206</v>
      </c>
      <c r="C1341" s="159">
        <v>3791019</v>
      </c>
      <c r="D1341" s="160" t="s">
        <v>992</v>
      </c>
      <c r="E1341" s="161">
        <f>SUMIF(Lanç!C3:C114,C1341,Lanç!F3:F114)</f>
        <v>0</v>
      </c>
      <c r="F1341" s="161">
        <f>SUMIF(Lanç!C115:C6504,C1341,Lanç!F115:F6504)</f>
        <v>0</v>
      </c>
      <c r="G1341" s="161">
        <f>SUMIF(Lanç!C115:C6504,C1341,Lanç!G115:G6504)</f>
        <v>0</v>
      </c>
      <c r="H1341" s="162">
        <f t="shared" si="77"/>
        <v>0</v>
      </c>
      <c r="I1341" s="162">
        <f t="shared" si="78"/>
        <v>0</v>
      </c>
    </row>
    <row r="1342" spans="1:9" hidden="1">
      <c r="A1342" s="151">
        <f t="shared" si="76"/>
        <v>1</v>
      </c>
      <c r="B1342" s="151" t="s">
        <v>206</v>
      </c>
      <c r="C1342" s="159">
        <v>3791020</v>
      </c>
      <c r="D1342" s="160" t="s">
        <v>993</v>
      </c>
      <c r="E1342" s="161">
        <f>SUMIF(Lanç!$C$3:$C$114,C1342,Lanç!$F$3:$F$114)</f>
        <v>0</v>
      </c>
      <c r="F1342" s="161">
        <f>SUMIF(Lanç!$C$115:$C$6504,C1342,Lanç!$F$115:$F$6504)</f>
        <v>0</v>
      </c>
      <c r="G1342" s="161">
        <f>SUMIF(Lanç!$C$115:$C$6504,C1342,Lanç!$G$115:$G$6504)</f>
        <v>0</v>
      </c>
      <c r="H1342" s="162">
        <f t="shared" si="77"/>
        <v>0</v>
      </c>
      <c r="I1342" s="162">
        <f t="shared" si="78"/>
        <v>0</v>
      </c>
    </row>
    <row r="1343" spans="1:9" hidden="1">
      <c r="A1343" s="151">
        <f t="shared" si="76"/>
        <v>1</v>
      </c>
      <c r="B1343" s="151" t="s">
        <v>206</v>
      </c>
      <c r="C1343" s="159">
        <v>3791021</v>
      </c>
      <c r="D1343" s="160" t="s">
        <v>994</v>
      </c>
      <c r="E1343" s="161">
        <f>SUMIF(Lanç!$C$3:$C$114,C1343,Lanç!$F$3:$F$114)</f>
        <v>0</v>
      </c>
      <c r="F1343" s="161">
        <f>SUMIF(Lanç!$C$115:$C$6504,C1343,Lanç!$F$115:$F$6504)</f>
        <v>0</v>
      </c>
      <c r="G1343" s="161">
        <f>SUMIF(Lanç!$C$115:$C$6504,C1343,Lanç!$G$115:$G$6504)</f>
        <v>0</v>
      </c>
      <c r="H1343" s="162">
        <f t="shared" si="77"/>
        <v>0</v>
      </c>
      <c r="I1343" s="162">
        <f t="shared" si="78"/>
        <v>0</v>
      </c>
    </row>
    <row r="1344" spans="1:9" hidden="1">
      <c r="A1344" s="151">
        <f t="shared" si="76"/>
        <v>1</v>
      </c>
      <c r="B1344" s="151" t="s">
        <v>206</v>
      </c>
      <c r="C1344" s="159">
        <v>3791022</v>
      </c>
      <c r="D1344" s="160" t="s">
        <v>995</v>
      </c>
      <c r="E1344" s="161">
        <f>SUMIF(Lanç!$C$3:$C$114,C1344,Lanç!$F$3:$F$114)</f>
        <v>0</v>
      </c>
      <c r="F1344" s="161">
        <f>SUMIF(Lanç!$C$115:$C$6504,C1344,Lanç!$F$115:$F$6504)</f>
        <v>0</v>
      </c>
      <c r="G1344" s="161">
        <f>SUMIF(Lanç!$C$115:$C$6504,C1344,Lanç!$G$115:$G$6504)</f>
        <v>0</v>
      </c>
      <c r="H1344" s="162">
        <f t="shared" si="77"/>
        <v>0</v>
      </c>
      <c r="I1344" s="162">
        <f t="shared" si="78"/>
        <v>0</v>
      </c>
    </row>
    <row r="1345" spans="1:9" hidden="1">
      <c r="A1345" s="151">
        <f t="shared" si="76"/>
        <v>1</v>
      </c>
      <c r="B1345" s="151" t="s">
        <v>206</v>
      </c>
      <c r="C1345" s="159">
        <v>3791023</v>
      </c>
      <c r="D1345" s="160" t="s">
        <v>996</v>
      </c>
      <c r="E1345" s="161">
        <f>SUMIF(Lanç!$C$3:$C$114,C1345,Lanç!$F$3:$F$114)</f>
        <v>0</v>
      </c>
      <c r="F1345" s="161">
        <f>SUMIF(Lanç!$C$115:$C$6504,C1345,Lanç!$F$115:$F$6504)</f>
        <v>0</v>
      </c>
      <c r="G1345" s="161">
        <f>SUMIF(Lanç!$C$115:$C$6504,C1345,Lanç!$G$115:$G$6504)</f>
        <v>0</v>
      </c>
      <c r="H1345" s="162">
        <f t="shared" si="77"/>
        <v>0</v>
      </c>
      <c r="I1345" s="162">
        <f t="shared" si="78"/>
        <v>0</v>
      </c>
    </row>
    <row r="1346" spans="1:9" hidden="1">
      <c r="A1346" s="151">
        <f t="shared" si="76"/>
        <v>1</v>
      </c>
      <c r="B1346" s="151" t="s">
        <v>206</v>
      </c>
      <c r="C1346" s="159">
        <v>3791024</v>
      </c>
      <c r="D1346" s="160" t="s">
        <v>897</v>
      </c>
      <c r="E1346" s="161">
        <f>SUMIF(Lanç!$C$3:$C$114,C1346,Lanç!$F$3:$F$114)</f>
        <v>0</v>
      </c>
      <c r="F1346" s="161">
        <f>SUMIF(Lanç!$C$115:$C$6504,C1346,Lanç!$F$115:$F$6504)</f>
        <v>0</v>
      </c>
      <c r="G1346" s="161">
        <f>SUMIF(Lanç!$C$115:$C$6504,C1346,Lanç!$G$115:$G$6504)</f>
        <v>0</v>
      </c>
      <c r="H1346" s="162">
        <f t="shared" si="77"/>
        <v>0</v>
      </c>
      <c r="I1346" s="162">
        <f t="shared" si="78"/>
        <v>0</v>
      </c>
    </row>
    <row r="1347" spans="1:9" hidden="1">
      <c r="A1347" s="151">
        <f t="shared" si="76"/>
        <v>1</v>
      </c>
      <c r="B1347" s="151" t="s">
        <v>206</v>
      </c>
      <c r="C1347" s="159">
        <v>3791025</v>
      </c>
      <c r="D1347" s="160" t="s">
        <v>893</v>
      </c>
      <c r="E1347" s="161">
        <f>SUMIF(Lanç!$C$3:$C$114,C1347,Lanç!$F$3:$F$114)</f>
        <v>0</v>
      </c>
      <c r="F1347" s="161">
        <f>SUMIF(Lanç!$C$115:$C$6504,C1347,Lanç!$F$115:$F$6504)</f>
        <v>0</v>
      </c>
      <c r="G1347" s="161">
        <f>SUMIF(Lanç!$C$115:$C$6504,C1347,Lanç!$G$115:$G$6504)</f>
        <v>0</v>
      </c>
      <c r="H1347" s="162">
        <f t="shared" si="77"/>
        <v>0</v>
      </c>
      <c r="I1347" s="162">
        <f t="shared" si="78"/>
        <v>0</v>
      </c>
    </row>
    <row r="1348" spans="1:9" hidden="1">
      <c r="A1348" s="151">
        <f t="shared" si="76"/>
        <v>1</v>
      </c>
      <c r="B1348" s="151" t="s">
        <v>206</v>
      </c>
      <c r="C1348" s="159">
        <v>3791026</v>
      </c>
      <c r="D1348" s="160" t="s">
        <v>899</v>
      </c>
      <c r="E1348" s="161">
        <f>SUMIF(Lanç!$C$3:$C$114,C1348,Lanç!$F$3:$F$114)</f>
        <v>0</v>
      </c>
      <c r="F1348" s="161">
        <f>SUMIF(Lanç!$C$115:$C$6504,C1348,Lanç!$F$115:$F$6504)</f>
        <v>0</v>
      </c>
      <c r="G1348" s="161">
        <f>SUMIF(Lanç!$C$115:$C$6504,C1348,Lanç!$G$115:$G$6504)</f>
        <v>0</v>
      </c>
      <c r="H1348" s="162">
        <f t="shared" si="77"/>
        <v>0</v>
      </c>
      <c r="I1348" s="162">
        <f t="shared" si="78"/>
        <v>0</v>
      </c>
    </row>
    <row r="1349" spans="1:9" hidden="1">
      <c r="A1349" s="151">
        <f t="shared" si="76"/>
        <v>1</v>
      </c>
      <c r="B1349" s="151" t="s">
        <v>206</v>
      </c>
      <c r="C1349" s="159">
        <v>3791027</v>
      </c>
      <c r="D1349" s="160" t="s">
        <v>997</v>
      </c>
      <c r="E1349" s="161">
        <f>SUMIF(Lanç!$C$3:$C$114,C1349,Lanç!$F$3:$F$114)</f>
        <v>0</v>
      </c>
      <c r="F1349" s="161">
        <f>SUMIF(Lanç!$C$115:$C$6504,C1349,Lanç!$F$115:$F$6504)</f>
        <v>0</v>
      </c>
      <c r="G1349" s="161">
        <f>SUMIF(Lanç!$C$115:$C$6504,C1349,Lanç!$G$115:$G$6504)</f>
        <v>0</v>
      </c>
      <c r="H1349" s="162">
        <f t="shared" si="77"/>
        <v>0</v>
      </c>
      <c r="I1349" s="162">
        <f t="shared" si="78"/>
        <v>0</v>
      </c>
    </row>
    <row r="1350" spans="1:9" hidden="1">
      <c r="A1350" s="151">
        <f t="shared" si="76"/>
        <v>1</v>
      </c>
      <c r="B1350" s="151" t="s">
        <v>206</v>
      </c>
      <c r="C1350" s="159">
        <v>3791028</v>
      </c>
      <c r="D1350" s="160" t="s">
        <v>998</v>
      </c>
      <c r="E1350" s="161">
        <f>SUMIF(Lanç!$C$3:$C$114,C1350,Lanç!$F$3:$F$114)</f>
        <v>0</v>
      </c>
      <c r="F1350" s="161">
        <f>SUMIF(Lanç!$C$115:$C$6504,C1350,Lanç!$F$115:$F$6504)</f>
        <v>0</v>
      </c>
      <c r="G1350" s="161">
        <f>SUMIF(Lanç!$C$115:$C$6504,C1350,Lanç!$G$115:$G$6504)</f>
        <v>0</v>
      </c>
      <c r="H1350" s="162">
        <f t="shared" si="77"/>
        <v>0</v>
      </c>
      <c r="I1350" s="162">
        <f t="shared" si="78"/>
        <v>0</v>
      </c>
    </row>
    <row r="1351" spans="1:9" hidden="1">
      <c r="A1351" s="151">
        <f t="shared" si="76"/>
        <v>1</v>
      </c>
      <c r="B1351" s="151" t="s">
        <v>206</v>
      </c>
      <c r="C1351" s="159">
        <v>3791029</v>
      </c>
      <c r="D1351" s="160" t="s">
        <v>999</v>
      </c>
      <c r="E1351" s="161">
        <f>SUMIF(Lanç!$C$3:$C$114,C1351,Lanç!$F$3:$F$114)</f>
        <v>0</v>
      </c>
      <c r="F1351" s="161">
        <f>SUMIF(Lanç!$C$115:$C$6504,C1351,Lanç!$F$115:$F$6504)</f>
        <v>0</v>
      </c>
      <c r="G1351" s="161">
        <f>SUMIF(Lanç!$C$115:$C$6504,C1351,Lanç!$G$115:$G$6504)</f>
        <v>0</v>
      </c>
      <c r="H1351" s="162">
        <f t="shared" si="77"/>
        <v>0</v>
      </c>
      <c r="I1351" s="162">
        <f t="shared" si="78"/>
        <v>0</v>
      </c>
    </row>
    <row r="1352" spans="1:9" hidden="1">
      <c r="A1352" s="151">
        <f t="shared" si="76"/>
        <v>1</v>
      </c>
      <c r="B1352" s="151" t="s">
        <v>206</v>
      </c>
      <c r="C1352" s="159">
        <v>3791030</v>
      </c>
      <c r="D1352" s="160" t="s">
        <v>1000</v>
      </c>
      <c r="E1352" s="161">
        <f>SUMIF(Lanç!$C$3:$C$114,C1352,Lanç!$F$3:$F$114)</f>
        <v>0</v>
      </c>
      <c r="F1352" s="161">
        <f>SUMIF(Lanç!$C$115:$C$6504,C1352,Lanç!$F$115:$F$6504)</f>
        <v>0</v>
      </c>
      <c r="G1352" s="161">
        <f>SUMIF(Lanç!$C$115:$C$6504,C1352,Lanç!$G$115:$G$6504)</f>
        <v>0</v>
      </c>
      <c r="H1352" s="162">
        <f t="shared" si="77"/>
        <v>0</v>
      </c>
      <c r="I1352" s="162">
        <f t="shared" si="78"/>
        <v>0</v>
      </c>
    </row>
    <row r="1353" spans="1:9" hidden="1">
      <c r="A1353" s="151">
        <f t="shared" si="76"/>
        <v>1</v>
      </c>
      <c r="B1353" s="151" t="s">
        <v>206</v>
      </c>
      <c r="C1353" s="159">
        <v>3791031</v>
      </c>
      <c r="D1353" s="160" t="s">
        <v>1001</v>
      </c>
      <c r="E1353" s="161">
        <f>SUMIF(Lanç!$C$3:$C$114,C1353,Lanç!$F$3:$F$114)</f>
        <v>0</v>
      </c>
      <c r="F1353" s="161">
        <f>SUMIF(Lanç!$C$115:$C$6504,C1353,Lanç!$F$115:$F$6504)</f>
        <v>0</v>
      </c>
      <c r="G1353" s="161">
        <f>SUMIF(Lanç!$C$115:$C$6504,C1353,Lanç!$G$115:$G$6504)</f>
        <v>0</v>
      </c>
      <c r="H1353" s="162">
        <f t="shared" si="77"/>
        <v>0</v>
      </c>
      <c r="I1353" s="162">
        <f t="shared" si="78"/>
        <v>0</v>
      </c>
    </row>
    <row r="1354" spans="1:9" hidden="1">
      <c r="A1354" s="151">
        <f t="shared" si="76"/>
        <v>1</v>
      </c>
      <c r="B1354" s="151" t="s">
        <v>206</v>
      </c>
      <c r="C1354" s="159">
        <v>3791032</v>
      </c>
      <c r="D1354" s="160" t="s">
        <v>1002</v>
      </c>
      <c r="E1354" s="161">
        <f>SUMIF(Lanç!$C$3:$C$114,C1354,Lanç!$F$3:$F$114)</f>
        <v>0</v>
      </c>
      <c r="F1354" s="161">
        <f>SUMIF(Lanç!$C$115:$C$6504,C1354,Lanç!$F$115:$F$6504)</f>
        <v>0</v>
      </c>
      <c r="G1354" s="161">
        <f>SUMIF(Lanç!$C$115:$C$6504,C1354,Lanç!$G$115:$G$6504)</f>
        <v>0</v>
      </c>
      <c r="H1354" s="162">
        <f t="shared" si="77"/>
        <v>0</v>
      </c>
      <c r="I1354" s="162">
        <f t="shared" si="78"/>
        <v>0</v>
      </c>
    </row>
    <row r="1355" spans="1:9" hidden="1">
      <c r="A1355" s="151">
        <f t="shared" si="76"/>
        <v>1</v>
      </c>
      <c r="B1355" s="151" t="s">
        <v>206</v>
      </c>
      <c r="C1355" s="159">
        <v>3791033</v>
      </c>
      <c r="D1355" s="160" t="s">
        <v>1003</v>
      </c>
      <c r="E1355" s="161">
        <f>SUMIF(Lanç!$C$3:$C$114,C1355,Lanç!$F$3:$F$114)</f>
        <v>0</v>
      </c>
      <c r="F1355" s="161">
        <f>SUMIF(Lanç!$C$115:$C$6504,C1355,Lanç!$F$115:$F$6504)</f>
        <v>0</v>
      </c>
      <c r="G1355" s="161">
        <f>SUMIF(Lanç!$C$115:$C$6504,C1355,Lanç!$G$115:$G$6504)</f>
        <v>0</v>
      </c>
      <c r="H1355" s="162">
        <f t="shared" si="77"/>
        <v>0</v>
      </c>
      <c r="I1355" s="162">
        <f t="shared" si="78"/>
        <v>0</v>
      </c>
    </row>
    <row r="1356" spans="1:9" hidden="1">
      <c r="A1356" s="151">
        <f t="shared" si="76"/>
        <v>1</v>
      </c>
      <c r="B1356" s="151" t="s">
        <v>206</v>
      </c>
      <c r="C1356" s="159">
        <v>3791034</v>
      </c>
      <c r="D1356" s="160" t="s">
        <v>1004</v>
      </c>
      <c r="E1356" s="161">
        <f>SUMIF(Lanç!$C$3:$C$114,C1356,Lanç!$F$3:$F$114)</f>
        <v>0</v>
      </c>
      <c r="F1356" s="161">
        <f>SUMIF(Lanç!$C$115:$C$6504,C1356,Lanç!$F$115:$F$6504)</f>
        <v>0</v>
      </c>
      <c r="G1356" s="161">
        <f>SUMIF(Lanç!$C$115:$C$6504,C1356,Lanç!$G$115:$G$6504)</f>
        <v>0</v>
      </c>
      <c r="H1356" s="162">
        <f t="shared" si="77"/>
        <v>0</v>
      </c>
      <c r="I1356" s="162">
        <f t="shared" si="78"/>
        <v>0</v>
      </c>
    </row>
    <row r="1357" spans="1:9" hidden="1">
      <c r="A1357" s="151">
        <f t="shared" si="76"/>
        <v>1</v>
      </c>
      <c r="B1357" s="151" t="s">
        <v>206</v>
      </c>
      <c r="C1357" s="159">
        <v>3791035</v>
      </c>
      <c r="D1357" s="160" t="s">
        <v>1005</v>
      </c>
      <c r="E1357" s="161">
        <f>SUMIF(Lanç!$C$3:$C$114,C1357,Lanç!$F$3:$F$114)</f>
        <v>0</v>
      </c>
      <c r="F1357" s="161">
        <f>SUMIF(Lanç!$C$115:$C$6504,C1357,Lanç!$F$115:$F$6504)</f>
        <v>0</v>
      </c>
      <c r="G1357" s="161">
        <f>SUMIF(Lanç!$C$115:$C$6504,C1357,Lanç!$G$115:$G$6504)</f>
        <v>0</v>
      </c>
      <c r="H1357" s="162">
        <f t="shared" si="77"/>
        <v>0</v>
      </c>
      <c r="I1357" s="162">
        <f t="shared" si="78"/>
        <v>0</v>
      </c>
    </row>
    <row r="1358" spans="1:9" hidden="1">
      <c r="A1358" s="151">
        <f t="shared" si="76"/>
        <v>1</v>
      </c>
      <c r="B1358" s="151" t="s">
        <v>206</v>
      </c>
      <c r="C1358" s="159">
        <v>3791036</v>
      </c>
      <c r="D1358" s="160" t="s">
        <v>1006</v>
      </c>
      <c r="E1358" s="161">
        <f>SUMIF(Lanç!$C$3:$C$114,C1358,Lanç!$F$3:$F$114)</f>
        <v>0</v>
      </c>
      <c r="F1358" s="161">
        <f>SUMIF(Lanç!$C$115:$C$6504,C1358,Lanç!$F$115:$F$6504)</f>
        <v>0</v>
      </c>
      <c r="G1358" s="161">
        <f>SUMIF(Lanç!$C$115:$C$6504,C1358,Lanç!$G$115:$G$6504)</f>
        <v>0</v>
      </c>
      <c r="H1358" s="162">
        <f t="shared" si="77"/>
        <v>0</v>
      </c>
      <c r="I1358" s="162">
        <f t="shared" si="78"/>
        <v>0</v>
      </c>
    </row>
    <row r="1359" spans="1:9" hidden="1">
      <c r="A1359" s="151">
        <f t="shared" si="76"/>
        <v>1</v>
      </c>
      <c r="B1359" s="151" t="s">
        <v>206</v>
      </c>
      <c r="C1359" s="159">
        <v>3791037</v>
      </c>
      <c r="D1359" s="160" t="s">
        <v>1007</v>
      </c>
      <c r="E1359" s="161">
        <f>SUMIF(Lanç!$C$3:$C$114,C1359,Lanç!$F$3:$F$114)</f>
        <v>0</v>
      </c>
      <c r="F1359" s="161">
        <f>SUMIF(Lanç!$C$115:$C$6504,C1359,Lanç!$F$115:$F$6504)</f>
        <v>0</v>
      </c>
      <c r="G1359" s="161">
        <f>SUMIF(Lanç!$C$115:$C$6504,C1359,Lanç!$G$115:$G$6504)</f>
        <v>0</v>
      </c>
      <c r="H1359" s="162">
        <f t="shared" si="77"/>
        <v>0</v>
      </c>
      <c r="I1359" s="162">
        <f t="shared" si="78"/>
        <v>0</v>
      </c>
    </row>
    <row r="1360" spans="1:9" hidden="1">
      <c r="A1360" s="151">
        <f t="shared" si="76"/>
        <v>1</v>
      </c>
      <c r="B1360" s="151" t="s">
        <v>206</v>
      </c>
      <c r="C1360" s="159">
        <v>3791038</v>
      </c>
      <c r="D1360" s="160" t="s">
        <v>1008</v>
      </c>
      <c r="E1360" s="161">
        <f>SUMIF(Lanç!$C$3:$C$114,C1360,Lanç!$F$3:$F$114)</f>
        <v>0</v>
      </c>
      <c r="F1360" s="161">
        <f>SUMIF(Lanç!$C$115:$C$6504,C1360,Lanç!$F$115:$F$6504)</f>
        <v>0</v>
      </c>
      <c r="G1360" s="161">
        <f>SUMIF(Lanç!$C$115:$C$6504,C1360,Lanç!$G$115:$G$6504)</f>
        <v>0</v>
      </c>
      <c r="H1360" s="162">
        <f t="shared" si="77"/>
        <v>0</v>
      </c>
      <c r="I1360" s="162">
        <f t="shared" si="78"/>
        <v>0</v>
      </c>
    </row>
    <row r="1361" spans="1:9" hidden="1">
      <c r="A1361" s="151">
        <f t="shared" si="76"/>
        <v>1</v>
      </c>
      <c r="B1361" s="151" t="s">
        <v>206</v>
      </c>
      <c r="C1361" s="159">
        <v>3791039</v>
      </c>
      <c r="D1361" s="160" t="s">
        <v>1009</v>
      </c>
      <c r="E1361" s="161">
        <f>SUMIF(Lanç!$C$3:$C$114,C1361,Lanç!$F$3:$F$114)</f>
        <v>0</v>
      </c>
      <c r="F1361" s="161">
        <f>SUMIF(Lanç!$C$115:$C$6504,C1361,Lanç!$F$115:$F$6504)</f>
        <v>0</v>
      </c>
      <c r="G1361" s="161">
        <f>SUMIF(Lanç!$C$115:$C$6504,C1361,Lanç!$G$115:$G$6504)</f>
        <v>0</v>
      </c>
      <c r="H1361" s="162">
        <f t="shared" si="77"/>
        <v>0</v>
      </c>
      <c r="I1361" s="162">
        <f t="shared" si="78"/>
        <v>0</v>
      </c>
    </row>
    <row r="1362" spans="1:9" hidden="1">
      <c r="A1362" s="151">
        <f t="shared" si="76"/>
        <v>1</v>
      </c>
      <c r="B1362" s="151" t="s">
        <v>206</v>
      </c>
      <c r="C1362" s="159">
        <v>3791040</v>
      </c>
      <c r="D1362" s="160" t="s">
        <v>918</v>
      </c>
      <c r="E1362" s="161">
        <f>SUMIF(Lanç!$C$3:$C$114,C1362,Lanç!$F$3:$F$114)</f>
        <v>0</v>
      </c>
      <c r="F1362" s="161">
        <f>SUMIF(Lanç!$C$115:$C$6504,C1362,Lanç!$F$115:$F$6504)</f>
        <v>0</v>
      </c>
      <c r="G1362" s="161">
        <f>SUMIF(Lanç!$C$115:$C$6504,C1362,Lanç!$G$115:$G$6504)</f>
        <v>0</v>
      </c>
      <c r="H1362" s="162">
        <f t="shared" si="77"/>
        <v>0</v>
      </c>
      <c r="I1362" s="162">
        <f t="shared" si="78"/>
        <v>0</v>
      </c>
    </row>
    <row r="1363" spans="1:9" hidden="1">
      <c r="A1363" s="151">
        <f t="shared" si="76"/>
        <v>1</v>
      </c>
      <c r="B1363" s="151" t="s">
        <v>206</v>
      </c>
      <c r="C1363" s="159">
        <v>3791041</v>
      </c>
      <c r="D1363" s="160" t="s">
        <v>1010</v>
      </c>
      <c r="E1363" s="161">
        <f>SUMIF(Lanç!$C$3:$C$114,C1363,Lanç!$F$3:$F$114)</f>
        <v>0</v>
      </c>
      <c r="F1363" s="161">
        <f>SUMIF(Lanç!$C$115:$C$6504,C1363,Lanç!$F$115:$F$6504)</f>
        <v>0</v>
      </c>
      <c r="G1363" s="161">
        <f>SUMIF(Lanç!$C$115:$C$6504,C1363,Lanç!$G$115:$G$6504)</f>
        <v>0</v>
      </c>
      <c r="H1363" s="162">
        <f t="shared" si="77"/>
        <v>0</v>
      </c>
      <c r="I1363" s="162">
        <f t="shared" si="78"/>
        <v>0</v>
      </c>
    </row>
    <row r="1364" spans="1:9" hidden="1">
      <c r="A1364" s="151">
        <f t="shared" si="76"/>
        <v>1</v>
      </c>
      <c r="B1364" s="151" t="s">
        <v>206</v>
      </c>
      <c r="C1364" s="159">
        <v>3791042</v>
      </c>
      <c r="D1364" s="160" t="s">
        <v>919</v>
      </c>
      <c r="E1364" s="161">
        <f>SUMIF(Lanç!$C$3:$C$114,C1364,Lanç!$F$3:$F$114)</f>
        <v>0</v>
      </c>
      <c r="F1364" s="161">
        <f>SUMIF(Lanç!$C$115:$C$6504,C1364,Lanç!$F$115:$F$6504)</f>
        <v>0</v>
      </c>
      <c r="G1364" s="161">
        <f>SUMIF(Lanç!$C$115:$C$6504,C1364,Lanç!$G$115:$G$6504)</f>
        <v>0</v>
      </c>
      <c r="H1364" s="162">
        <f t="shared" si="77"/>
        <v>0</v>
      </c>
      <c r="I1364" s="162">
        <f t="shared" si="78"/>
        <v>0</v>
      </c>
    </row>
    <row r="1365" spans="1:9" hidden="1">
      <c r="A1365" s="151">
        <f t="shared" si="76"/>
        <v>1</v>
      </c>
      <c r="B1365" s="151" t="s">
        <v>206</v>
      </c>
      <c r="C1365" s="159">
        <v>3791043</v>
      </c>
      <c r="D1365" s="160" t="s">
        <v>1011</v>
      </c>
      <c r="E1365" s="161">
        <f>SUMIF(Lanç!$C$3:$C$114,C1365,Lanç!$F$3:$F$114)</f>
        <v>0</v>
      </c>
      <c r="F1365" s="161">
        <f>SUMIF(Lanç!$C$115:$C$6504,C1365,Lanç!$F$115:$F$6504)</f>
        <v>0</v>
      </c>
      <c r="G1365" s="161">
        <f>SUMIF(Lanç!$C$115:$C$6504,C1365,Lanç!$G$115:$G$6504)</f>
        <v>0</v>
      </c>
      <c r="H1365" s="162">
        <f t="shared" si="77"/>
        <v>0</v>
      </c>
      <c r="I1365" s="162">
        <f t="shared" si="78"/>
        <v>0</v>
      </c>
    </row>
    <row r="1366" spans="1:9" hidden="1">
      <c r="A1366" s="151">
        <f t="shared" si="76"/>
        <v>1</v>
      </c>
      <c r="B1366" s="151" t="s">
        <v>206</v>
      </c>
      <c r="C1366" s="159">
        <v>3791044</v>
      </c>
      <c r="D1366" s="160" t="s">
        <v>1012</v>
      </c>
      <c r="E1366" s="161">
        <f>SUMIF(Lanç!$C$3:$C$114,C1366,Lanç!$F$3:$F$114)</f>
        <v>0</v>
      </c>
      <c r="F1366" s="161">
        <f>SUMIF(Lanç!$C$115:$C$6504,C1366,Lanç!$F$115:$F$6504)</f>
        <v>0</v>
      </c>
      <c r="G1366" s="161">
        <f>SUMIF(Lanç!$C$115:$C$6504,C1366,Lanç!$G$115:$G$6504)</f>
        <v>0</v>
      </c>
      <c r="H1366" s="162">
        <f t="shared" si="77"/>
        <v>0</v>
      </c>
      <c r="I1366" s="162">
        <f t="shared" si="78"/>
        <v>0</v>
      </c>
    </row>
    <row r="1367" spans="1:9" hidden="1">
      <c r="A1367" s="151">
        <f t="shared" si="76"/>
        <v>1</v>
      </c>
      <c r="B1367" s="151" t="s">
        <v>206</v>
      </c>
      <c r="C1367" s="159">
        <v>3791046</v>
      </c>
      <c r="D1367" s="160" t="s">
        <v>971</v>
      </c>
      <c r="E1367" s="161">
        <f>SUMIF(Lanç!$C$3:$C$114,C1367,Lanç!$F$3:$F$114)</f>
        <v>0</v>
      </c>
      <c r="F1367" s="161">
        <f>SUMIF(Lanç!$C$115:$C$6504,C1367,Lanç!$F$115:$F$6504)</f>
        <v>0</v>
      </c>
      <c r="G1367" s="161">
        <f>SUMIF(Lanç!$C$115:$C$6504,C1367,Lanç!$G$115:$G$6504)</f>
        <v>0</v>
      </c>
      <c r="H1367" s="162">
        <f t="shared" si="77"/>
        <v>0</v>
      </c>
      <c r="I1367" s="162">
        <f t="shared" si="78"/>
        <v>0</v>
      </c>
    </row>
    <row r="1368" spans="1:9">
      <c r="A1368" s="151">
        <f t="shared" si="76"/>
        <v>0</v>
      </c>
      <c r="B1368" s="151" t="s">
        <v>206</v>
      </c>
      <c r="C1368" s="159">
        <v>3791047</v>
      </c>
      <c r="D1368" s="160" t="s">
        <v>902</v>
      </c>
      <c r="E1368" s="161">
        <f>SUMIF(Lanç!$C$3:$C$114,C1368,Lanç!$F$3:$F$114)</f>
        <v>81035.820000000007</v>
      </c>
      <c r="F1368" s="161">
        <f>SUMIF(Lanç!$C$115:$C$6504,C1368,Lanç!$F$115:$F$6504)</f>
        <v>0</v>
      </c>
      <c r="G1368" s="161">
        <f>SUMIF(Lanç!$C$115:$C$6504,C1368,Lanç!$G$115:$G$6504)</f>
        <v>0</v>
      </c>
      <c r="H1368" s="162">
        <f t="shared" si="77"/>
        <v>0</v>
      </c>
      <c r="I1368" s="162">
        <f t="shared" si="78"/>
        <v>81035.820000000007</v>
      </c>
    </row>
    <row r="1369" spans="1:9" hidden="1">
      <c r="A1369" s="151">
        <f t="shared" si="76"/>
        <v>1</v>
      </c>
      <c r="B1369" s="151" t="s">
        <v>206</v>
      </c>
      <c r="C1369" s="159">
        <v>3791048</v>
      </c>
      <c r="D1369" s="160" t="s">
        <v>1013</v>
      </c>
      <c r="E1369" s="161">
        <f>SUMIF(Lanç!$C$3:$C$114,C1369,Lanç!$F$3:$F$114)</f>
        <v>0</v>
      </c>
      <c r="F1369" s="161">
        <f>SUMIF(Lanç!$C$115:$C$6504,C1369,Lanç!$F$115:$F$6504)</f>
        <v>0</v>
      </c>
      <c r="G1369" s="161">
        <f>SUMIF(Lanç!$C$115:$C$6504,C1369,Lanç!$G$115:$G$6504)</f>
        <v>0</v>
      </c>
      <c r="H1369" s="162">
        <f t="shared" si="77"/>
        <v>0</v>
      </c>
      <c r="I1369" s="162">
        <f t="shared" si="78"/>
        <v>0</v>
      </c>
    </row>
    <row r="1370" spans="1:9" hidden="1">
      <c r="A1370" s="151">
        <f t="shared" si="76"/>
        <v>1</v>
      </c>
      <c r="B1370" s="151" t="s">
        <v>206</v>
      </c>
      <c r="C1370" s="159">
        <v>3791049</v>
      </c>
      <c r="D1370" s="160" t="s">
        <v>908</v>
      </c>
      <c r="E1370" s="161">
        <f>SUMIF(Lanç!C3:C114,C1370,Lanç!F3:F114)</f>
        <v>0</v>
      </c>
      <c r="F1370" s="161">
        <f>SUMIF(Lanç!C115:C6504,C1370,Lanç!F115:F6504)</f>
        <v>0</v>
      </c>
      <c r="G1370" s="161">
        <f>SUMIF(Lanç!C115:C6504,C1370,Lanç!G115:G6504)</f>
        <v>0</v>
      </c>
      <c r="H1370" s="162">
        <f t="shared" si="77"/>
        <v>0</v>
      </c>
      <c r="I1370" s="162">
        <f t="shared" si="78"/>
        <v>0</v>
      </c>
    </row>
    <row r="1371" spans="1:9" hidden="1">
      <c r="A1371" s="151">
        <f t="shared" si="76"/>
        <v>1</v>
      </c>
      <c r="B1371" s="151" t="s">
        <v>206</v>
      </c>
      <c r="C1371" s="159">
        <v>3791050</v>
      </c>
      <c r="D1371" s="160" t="s">
        <v>1014</v>
      </c>
      <c r="E1371" s="161">
        <f>SUMIF(Lanç!C3:C114,C1371,Lanç!F3:F114)</f>
        <v>0</v>
      </c>
      <c r="F1371" s="161">
        <f>SUMIF(Lanç!C115:C6504,C1371,Lanç!F115:F6504)</f>
        <v>0</v>
      </c>
      <c r="G1371" s="161">
        <f>SUMIF(Lanç!C115:C6504,C1371,Lanç!G115:G6504)</f>
        <v>0</v>
      </c>
      <c r="H1371" s="162">
        <f t="shared" si="77"/>
        <v>0</v>
      </c>
      <c r="I1371" s="162">
        <f t="shared" si="78"/>
        <v>0</v>
      </c>
    </row>
    <row r="1372" spans="1:9" hidden="1">
      <c r="A1372" s="151">
        <f t="shared" si="76"/>
        <v>1</v>
      </c>
      <c r="B1372" s="151" t="s">
        <v>206</v>
      </c>
      <c r="C1372" s="159">
        <v>3791051</v>
      </c>
      <c r="D1372" s="160" t="s">
        <v>1015</v>
      </c>
      <c r="E1372" s="161">
        <f>SUMIF(Lanç!$C$3:$C$114,C1372,Lanç!$F$3:$F$114)</f>
        <v>0</v>
      </c>
      <c r="F1372" s="161">
        <f>SUMIF(Lanç!$C$115:$C$6504,C1372,Lanç!$F$115:$F$6504)</f>
        <v>0</v>
      </c>
      <c r="G1372" s="161">
        <f>SUMIF(Lanç!$C$115:$C$6504,C1372,Lanç!$G$115:$G$6504)</f>
        <v>0</v>
      </c>
      <c r="H1372" s="162">
        <f t="shared" si="77"/>
        <v>0</v>
      </c>
      <c r="I1372" s="162">
        <f t="shared" si="78"/>
        <v>0</v>
      </c>
    </row>
    <row r="1373" spans="1:9" hidden="1">
      <c r="A1373" s="151">
        <f t="shared" ref="A1373:A1441" si="79">IF(E1373+F1373+G1373+H1373+I1373=0,1,0)</f>
        <v>1</v>
      </c>
      <c r="B1373" s="151" t="s">
        <v>206</v>
      </c>
      <c r="C1373" s="159">
        <v>3791052</v>
      </c>
      <c r="D1373" s="160" t="s">
        <v>1016</v>
      </c>
      <c r="E1373" s="161">
        <f>SUMIF(Lanç!$C$3:$C$114,C1373,Lanç!$F$3:$F$114)</f>
        <v>0</v>
      </c>
      <c r="F1373" s="161">
        <f>SUMIF(Lanç!$C$115:$C$6504,C1373,Lanç!$F$115:$F$6504)</f>
        <v>0</v>
      </c>
      <c r="G1373" s="161">
        <f>SUMIF(Lanç!$C$115:$C$6504,C1373,Lanç!$G$115:$G$6504)</f>
        <v>0</v>
      </c>
      <c r="H1373" s="162">
        <f t="shared" ref="H1373:H1441" si="80">(F1373)-(G1373)</f>
        <v>0</v>
      </c>
      <c r="I1373" s="162">
        <f t="shared" ref="I1373:I1441" si="81">(E1373)+(H1373)</f>
        <v>0</v>
      </c>
    </row>
    <row r="1374" spans="1:9" hidden="1">
      <c r="A1374" s="151">
        <f t="shared" si="79"/>
        <v>1</v>
      </c>
      <c r="B1374" s="151" t="s">
        <v>206</v>
      </c>
      <c r="C1374" s="159">
        <v>3791053</v>
      </c>
      <c r="D1374" s="160" t="s">
        <v>1017</v>
      </c>
      <c r="E1374" s="161">
        <f>SUMIF(Lanç!$C$3:$C$114,C1374,Lanç!$F$3:$F$114)</f>
        <v>0</v>
      </c>
      <c r="F1374" s="161">
        <f>SUMIF(Lanç!$C$115:$C$6504,C1374,Lanç!$F$115:$F$6504)</f>
        <v>0</v>
      </c>
      <c r="G1374" s="161">
        <f>SUMIF(Lanç!$C$115:$C$6504,C1374,Lanç!$G$115:$G$6504)</f>
        <v>0</v>
      </c>
      <c r="H1374" s="162">
        <f t="shared" si="80"/>
        <v>0</v>
      </c>
      <c r="I1374" s="162">
        <f t="shared" si="81"/>
        <v>0</v>
      </c>
    </row>
    <row r="1375" spans="1:9" hidden="1">
      <c r="A1375" s="151">
        <f t="shared" si="79"/>
        <v>1</v>
      </c>
      <c r="B1375" s="151" t="s">
        <v>206</v>
      </c>
      <c r="C1375" s="159">
        <v>3791054</v>
      </c>
      <c r="D1375" s="160" t="s">
        <v>1018</v>
      </c>
      <c r="E1375" s="161">
        <f>SUMIF(Lanç!$C$3:$C$114,C1375,Lanç!$F$3:$F$114)</f>
        <v>0</v>
      </c>
      <c r="F1375" s="161">
        <f>SUMIF(Lanç!$C$115:$C$6504,C1375,Lanç!$F$115:$F$6504)</f>
        <v>0</v>
      </c>
      <c r="G1375" s="161">
        <f>SUMIF(Lanç!$C$115:$C$6504,C1375,Lanç!$G$115:$G$6504)</f>
        <v>0</v>
      </c>
      <c r="H1375" s="162">
        <f t="shared" si="80"/>
        <v>0</v>
      </c>
      <c r="I1375" s="162">
        <f t="shared" si="81"/>
        <v>0</v>
      </c>
    </row>
    <row r="1376" spans="1:9" hidden="1">
      <c r="A1376" s="151">
        <f t="shared" si="79"/>
        <v>1</v>
      </c>
      <c r="B1376" s="151" t="s">
        <v>206</v>
      </c>
      <c r="C1376" s="159">
        <v>3791055</v>
      </c>
      <c r="D1376" s="160" t="s">
        <v>906</v>
      </c>
      <c r="E1376" s="161">
        <f>SUMIF(Lanç!$C$3:$C$114,C1376,Lanç!$F$3:$F$114)</f>
        <v>0</v>
      </c>
      <c r="F1376" s="161">
        <f>SUMIF(Lanç!$C$115:$C$6504,C1376,Lanç!$F$115:$F$6504)</f>
        <v>0</v>
      </c>
      <c r="G1376" s="161">
        <f>SUMIF(Lanç!$C$115:$C$6504,C1376,Lanç!$G$115:$G$6504)</f>
        <v>0</v>
      </c>
      <c r="H1376" s="162">
        <f t="shared" si="80"/>
        <v>0</v>
      </c>
      <c r="I1376" s="162">
        <f t="shared" si="81"/>
        <v>0</v>
      </c>
    </row>
    <row r="1377" spans="1:9" hidden="1">
      <c r="A1377" s="151">
        <f t="shared" si="79"/>
        <v>1</v>
      </c>
      <c r="B1377" s="151" t="s">
        <v>206</v>
      </c>
      <c r="C1377" s="159">
        <v>3791056</v>
      </c>
      <c r="D1377" s="160" t="s">
        <v>1019</v>
      </c>
      <c r="E1377" s="161">
        <f>SUMIF(Lanç!$C$3:$C$114,C1377,Lanç!$F$3:$F$114)</f>
        <v>0</v>
      </c>
      <c r="F1377" s="161">
        <f>SUMIF(Lanç!$C$115:$C$6504,C1377,Lanç!$F$115:$F$6504)</f>
        <v>0</v>
      </c>
      <c r="G1377" s="161">
        <f>SUMIF(Lanç!$C$115:$C$6504,C1377,Lanç!$G$115:$G$6504)</f>
        <v>0</v>
      </c>
      <c r="H1377" s="162">
        <f t="shared" si="80"/>
        <v>0</v>
      </c>
      <c r="I1377" s="162">
        <f t="shared" si="81"/>
        <v>0</v>
      </c>
    </row>
    <row r="1378" spans="1:9" hidden="1">
      <c r="A1378" s="151">
        <f t="shared" si="79"/>
        <v>1</v>
      </c>
      <c r="B1378" s="151" t="s">
        <v>206</v>
      </c>
      <c r="C1378" s="159">
        <v>3791057</v>
      </c>
      <c r="D1378" s="160" t="s">
        <v>1020</v>
      </c>
      <c r="E1378" s="161">
        <f>SUMIF(Lanç!$C$3:$C$114,C1378,Lanç!$F$3:$F$114)</f>
        <v>0</v>
      </c>
      <c r="F1378" s="161">
        <f>SUMIF(Lanç!$C$115:$C$6504,C1378,Lanç!$F$115:$F$6504)</f>
        <v>0</v>
      </c>
      <c r="G1378" s="161">
        <f>SUMIF(Lanç!$C$115:$C$6504,C1378,Lanç!$G$115:$G$6504)</f>
        <v>0</v>
      </c>
      <c r="H1378" s="162">
        <f t="shared" si="80"/>
        <v>0</v>
      </c>
      <c r="I1378" s="162">
        <f t="shared" si="81"/>
        <v>0</v>
      </c>
    </row>
    <row r="1379" spans="1:9" hidden="1">
      <c r="A1379" s="151">
        <f t="shared" si="79"/>
        <v>1</v>
      </c>
      <c r="B1379" s="151" t="s">
        <v>206</v>
      </c>
      <c r="C1379" s="159">
        <v>3791058</v>
      </c>
      <c r="D1379" s="160" t="s">
        <v>1021</v>
      </c>
      <c r="E1379" s="161">
        <f>SUMIF(Lanç!C3:C114,C1379,Lanç!F3:F114)</f>
        <v>0</v>
      </c>
      <c r="F1379" s="161">
        <f>SUMIF(Lanç!C115:C6504,C1379,Lanç!F115:F6504)</f>
        <v>0</v>
      </c>
      <c r="G1379" s="161">
        <f>SUMIF(Lanç!C115:C6504,C1379,Lanç!G115:G6504)</f>
        <v>0</v>
      </c>
      <c r="H1379" s="162">
        <f t="shared" si="80"/>
        <v>0</v>
      </c>
      <c r="I1379" s="162">
        <f t="shared" si="81"/>
        <v>0</v>
      </c>
    </row>
    <row r="1380" spans="1:9" hidden="1">
      <c r="A1380" s="151">
        <f t="shared" si="79"/>
        <v>1</v>
      </c>
      <c r="B1380" s="151" t="s">
        <v>206</v>
      </c>
      <c r="C1380" s="159">
        <v>3791059</v>
      </c>
      <c r="D1380" s="160" t="s">
        <v>913</v>
      </c>
      <c r="E1380" s="161">
        <f>SUMIF(Lanç!$C$3:$C$114,C1380,Lanç!$F$3:$F$114)</f>
        <v>0</v>
      </c>
      <c r="F1380" s="161">
        <f>SUMIF(Lanç!$C$115:$C$6504,C1380,Lanç!$F$115:$F$6504)</f>
        <v>0</v>
      </c>
      <c r="G1380" s="161">
        <f>SUMIF(Lanç!$C$115:$C$6504,C1380,Lanç!$G$115:$G$6504)</f>
        <v>0</v>
      </c>
      <c r="H1380" s="162">
        <f t="shared" si="80"/>
        <v>0</v>
      </c>
      <c r="I1380" s="162">
        <f t="shared" si="81"/>
        <v>0</v>
      </c>
    </row>
    <row r="1381" spans="1:9" hidden="1">
      <c r="A1381" s="151">
        <f t="shared" si="79"/>
        <v>1</v>
      </c>
      <c r="B1381" s="151" t="s">
        <v>206</v>
      </c>
      <c r="C1381" s="159">
        <v>3791060</v>
      </c>
      <c r="D1381" s="160" t="s">
        <v>1022</v>
      </c>
      <c r="E1381" s="161">
        <f>SUMIF(Lanç!$C$3:$C$114,C1381,Lanç!$F$3:$F$114)</f>
        <v>0</v>
      </c>
      <c r="F1381" s="161">
        <f>SUMIF(Lanç!$C$115:$C$6504,C1381,Lanç!$F$115:$F$6504)</f>
        <v>0</v>
      </c>
      <c r="G1381" s="161">
        <f>SUMIF(Lanç!$C$115:$C$6504,C1381,Lanç!$G$115:$G$6504)</f>
        <v>0</v>
      </c>
      <c r="H1381" s="162">
        <f t="shared" si="80"/>
        <v>0</v>
      </c>
      <c r="I1381" s="162">
        <f t="shared" si="81"/>
        <v>0</v>
      </c>
    </row>
    <row r="1382" spans="1:9" hidden="1">
      <c r="A1382" s="151">
        <f t="shared" si="79"/>
        <v>1</v>
      </c>
      <c r="B1382" s="151" t="s">
        <v>206</v>
      </c>
      <c r="C1382" s="159">
        <v>3791061</v>
      </c>
      <c r="D1382" s="160" t="s">
        <v>710</v>
      </c>
      <c r="E1382" s="161">
        <f>SUMIF(Lanç!$C$3:$C$114,C1382,Lanç!$F$3:$F$114)</f>
        <v>0</v>
      </c>
      <c r="F1382" s="161">
        <f>SUMIF(Lanç!$C$115:$C$6504,C1382,Lanç!$F$115:$F$6504)</f>
        <v>0</v>
      </c>
      <c r="G1382" s="161">
        <f>SUMIF(Lanç!$C$115:$C$6504,C1382,Lanç!$G$115:$G$6504)</f>
        <v>0</v>
      </c>
      <c r="H1382" s="162">
        <f t="shared" si="80"/>
        <v>0</v>
      </c>
      <c r="I1382" s="162">
        <f t="shared" si="81"/>
        <v>0</v>
      </c>
    </row>
    <row r="1383" spans="1:9" hidden="1">
      <c r="A1383" s="151">
        <f t="shared" si="79"/>
        <v>1</v>
      </c>
      <c r="B1383" s="151" t="s">
        <v>206</v>
      </c>
      <c r="C1383" s="159">
        <v>3791062</v>
      </c>
      <c r="D1383" s="160" t="s">
        <v>1023</v>
      </c>
      <c r="E1383" s="161">
        <f>SUMIF(Lanç!$C$3:$C$114,C1383,Lanç!$F$3:$F$114)</f>
        <v>0</v>
      </c>
      <c r="F1383" s="161">
        <f>SUMIF(Lanç!$C$115:$C$6504,C1383,Lanç!$F$115:$F$6504)</f>
        <v>0</v>
      </c>
      <c r="G1383" s="161">
        <f>SUMIF(Lanç!$C$115:$C$6504,C1383,Lanç!$G$115:$G$6504)</f>
        <v>0</v>
      </c>
      <c r="H1383" s="162">
        <f t="shared" si="80"/>
        <v>0</v>
      </c>
      <c r="I1383" s="162">
        <f t="shared" si="81"/>
        <v>0</v>
      </c>
    </row>
    <row r="1384" spans="1:9" hidden="1">
      <c r="A1384" s="151">
        <f t="shared" si="79"/>
        <v>1</v>
      </c>
      <c r="B1384" s="151" t="s">
        <v>206</v>
      </c>
      <c r="C1384" s="159">
        <v>3791063</v>
      </c>
      <c r="D1384" s="160" t="s">
        <v>1024</v>
      </c>
      <c r="E1384" s="161">
        <f>SUMIF(Lanç!$C$3:$C$114,C1384,Lanç!$F$3:$F$114)</f>
        <v>0</v>
      </c>
      <c r="F1384" s="161">
        <f>SUMIF(Lanç!$C$115:$C$6504,C1384,Lanç!$F$115:$F$6504)</f>
        <v>0</v>
      </c>
      <c r="G1384" s="161">
        <f>SUMIF(Lanç!$C$115:$C$6504,C1384,Lanç!$G$115:$G$6504)</f>
        <v>0</v>
      </c>
      <c r="H1384" s="162">
        <f t="shared" si="80"/>
        <v>0</v>
      </c>
      <c r="I1384" s="162">
        <f t="shared" si="81"/>
        <v>0</v>
      </c>
    </row>
    <row r="1385" spans="1:9" hidden="1">
      <c r="A1385" s="151">
        <f t="shared" si="79"/>
        <v>1</v>
      </c>
      <c r="B1385" s="151" t="s">
        <v>206</v>
      </c>
      <c r="C1385" s="159">
        <v>3791064</v>
      </c>
      <c r="D1385" s="160" t="s">
        <v>1025</v>
      </c>
      <c r="E1385" s="161">
        <f>SUMIF(Lanç!$C$3:$C$114,C1385,Lanç!$F$3:$F$114)</f>
        <v>0</v>
      </c>
      <c r="F1385" s="161">
        <f>SUMIF(Lanç!$C$115:$C$6504,C1385,Lanç!$F$115:$F$6504)</f>
        <v>0</v>
      </c>
      <c r="G1385" s="161">
        <f>SUMIF(Lanç!$C$115:$C$6504,C1385,Lanç!$G$115:$G$6504)</f>
        <v>0</v>
      </c>
      <c r="H1385" s="162">
        <f t="shared" si="80"/>
        <v>0</v>
      </c>
      <c r="I1385" s="162">
        <f t="shared" si="81"/>
        <v>0</v>
      </c>
    </row>
    <row r="1386" spans="1:9" hidden="1">
      <c r="A1386" s="151">
        <f t="shared" si="79"/>
        <v>1</v>
      </c>
      <c r="B1386" s="151" t="s">
        <v>206</v>
      </c>
      <c r="C1386" s="159">
        <v>3791065</v>
      </c>
      <c r="D1386" s="160" t="s">
        <v>1026</v>
      </c>
      <c r="E1386" s="161">
        <f>SUMIF(Lanç!$C$3:$C$114,C1386,Lanç!$F$3:$F$114)</f>
        <v>0</v>
      </c>
      <c r="F1386" s="161">
        <f>SUMIF(Lanç!$C$115:$C$6504,C1386,Lanç!$F$115:$F$6504)</f>
        <v>0</v>
      </c>
      <c r="G1386" s="161">
        <f>SUMIF(Lanç!$C$115:$C$6504,C1386,Lanç!$G$115:$G$6504)</f>
        <v>0</v>
      </c>
      <c r="H1386" s="162">
        <f t="shared" si="80"/>
        <v>0</v>
      </c>
      <c r="I1386" s="162">
        <f t="shared" si="81"/>
        <v>0</v>
      </c>
    </row>
    <row r="1387" spans="1:9" hidden="1">
      <c r="A1387" s="151">
        <f t="shared" si="79"/>
        <v>1</v>
      </c>
      <c r="B1387" s="151" t="s">
        <v>206</v>
      </c>
      <c r="C1387" s="159">
        <v>3791066</v>
      </c>
      <c r="D1387" s="160" t="s">
        <v>1027</v>
      </c>
      <c r="E1387" s="161">
        <f>SUMIF(Lanç!$C$3:$C$114,C1387,Lanç!$F$3:$F$114)</f>
        <v>0</v>
      </c>
      <c r="F1387" s="161">
        <f>SUMIF(Lanç!$C$115:$C$6504,C1387,Lanç!$F$115:$F$6504)</f>
        <v>0</v>
      </c>
      <c r="G1387" s="161">
        <f>SUMIF(Lanç!$C$115:$C$6504,C1387,Lanç!$G$115:$G$6504)</f>
        <v>0</v>
      </c>
      <c r="H1387" s="162">
        <f t="shared" si="80"/>
        <v>0</v>
      </c>
      <c r="I1387" s="162">
        <f t="shared" si="81"/>
        <v>0</v>
      </c>
    </row>
    <row r="1388" spans="1:9" hidden="1">
      <c r="A1388" s="151">
        <f t="shared" si="79"/>
        <v>1</v>
      </c>
      <c r="B1388" s="151" t="s">
        <v>206</v>
      </c>
      <c r="C1388" s="159">
        <v>3791067</v>
      </c>
      <c r="D1388" s="160" t="s">
        <v>1028</v>
      </c>
      <c r="E1388" s="161">
        <f>SUMIF(Lanç!$C$3:$C$114,C1388,Lanç!$F$3:$F$114)</f>
        <v>0</v>
      </c>
      <c r="F1388" s="161">
        <f>SUMIF(Lanç!$C$115:$C$6504,C1388,Lanç!$F$115:$F$6504)</f>
        <v>0</v>
      </c>
      <c r="G1388" s="161">
        <f>SUMIF(Lanç!$C$115:$C$6504,C1388,Lanç!$G$115:$G$6504)</f>
        <v>0</v>
      </c>
      <c r="H1388" s="162">
        <f t="shared" si="80"/>
        <v>0</v>
      </c>
      <c r="I1388" s="162">
        <f t="shared" si="81"/>
        <v>0</v>
      </c>
    </row>
    <row r="1389" spans="1:9" hidden="1">
      <c r="A1389" s="151">
        <f t="shared" si="79"/>
        <v>1</v>
      </c>
      <c r="B1389" s="151" t="s">
        <v>206</v>
      </c>
      <c r="C1389" s="159">
        <v>3791068</v>
      </c>
      <c r="D1389" s="160" t="s">
        <v>1029</v>
      </c>
      <c r="E1389" s="161">
        <f>SUMIF(Lanç!$C$3:$C$114,C1389,Lanç!$F$3:$F$114)</f>
        <v>0</v>
      </c>
      <c r="F1389" s="161">
        <f>SUMIF(Lanç!$C$115:$C$6504,C1389,Lanç!$F$115:$F$6504)</f>
        <v>0</v>
      </c>
      <c r="G1389" s="161">
        <f>SUMIF(Lanç!$C$115:$C$6504,C1389,Lanç!$G$115:$G$6504)</f>
        <v>0</v>
      </c>
      <c r="H1389" s="162">
        <f t="shared" si="80"/>
        <v>0</v>
      </c>
      <c r="I1389" s="162">
        <f t="shared" si="81"/>
        <v>0</v>
      </c>
    </row>
    <row r="1390" spans="1:9" hidden="1">
      <c r="A1390" s="151">
        <f t="shared" si="79"/>
        <v>1</v>
      </c>
      <c r="B1390" s="151" t="s">
        <v>206</v>
      </c>
      <c r="C1390" s="159">
        <v>3791069</v>
      </c>
      <c r="D1390" s="160" t="s">
        <v>1030</v>
      </c>
      <c r="E1390" s="161">
        <f>SUMIF(Lanç!$C$3:$C$114,C1390,Lanç!$F$3:$F$114)</f>
        <v>0</v>
      </c>
      <c r="F1390" s="161">
        <f>SUMIF(Lanç!$C$115:$C$6504,C1390,Lanç!$F$115:$F$6504)</f>
        <v>0</v>
      </c>
      <c r="G1390" s="161">
        <f>SUMIF(Lanç!$C$115:$C$6504,C1390,Lanç!$G$115:$G$6504)</f>
        <v>0</v>
      </c>
      <c r="H1390" s="162">
        <f t="shared" si="80"/>
        <v>0</v>
      </c>
      <c r="I1390" s="162">
        <f t="shared" si="81"/>
        <v>0</v>
      </c>
    </row>
    <row r="1391" spans="1:9" hidden="1">
      <c r="A1391" s="151">
        <f t="shared" si="79"/>
        <v>1</v>
      </c>
      <c r="B1391" s="151" t="s">
        <v>206</v>
      </c>
      <c r="C1391" s="159">
        <v>3791070</v>
      </c>
      <c r="D1391" s="160" t="s">
        <v>1031</v>
      </c>
      <c r="E1391" s="161">
        <f>SUMIF(Lanç!$C$3:$C$114,C1391,Lanç!$F$3:$F$114)</f>
        <v>0</v>
      </c>
      <c r="F1391" s="161">
        <f>SUMIF(Lanç!$C$115:$C$6504,C1391,Lanç!$F$115:$F$6504)</f>
        <v>0</v>
      </c>
      <c r="G1391" s="161">
        <f>SUMIF(Lanç!$C$115:$C$6504,C1391,Lanç!$G$115:$G$6504)</f>
        <v>0</v>
      </c>
      <c r="H1391" s="162">
        <f t="shared" si="80"/>
        <v>0</v>
      </c>
      <c r="I1391" s="162">
        <f t="shared" si="81"/>
        <v>0</v>
      </c>
    </row>
    <row r="1392" spans="1:9" hidden="1">
      <c r="A1392" s="151">
        <f t="shared" si="79"/>
        <v>1</v>
      </c>
      <c r="B1392" s="151" t="s">
        <v>206</v>
      </c>
      <c r="C1392" s="159">
        <v>3791071</v>
      </c>
      <c r="D1392" s="160" t="s">
        <v>1032</v>
      </c>
      <c r="E1392" s="161">
        <f>SUMIF(Lanç!$C$3:$C$114,C1392,Lanç!$F$3:$F$114)</f>
        <v>0</v>
      </c>
      <c r="F1392" s="161">
        <f>SUMIF(Lanç!$C$115:$C$6504,C1392,Lanç!$F$115:$F$6504)</f>
        <v>0</v>
      </c>
      <c r="G1392" s="161">
        <f>SUMIF(Lanç!$C$115:$C$6504,C1392,Lanç!$G$115:$G$6504)</f>
        <v>0</v>
      </c>
      <c r="H1392" s="162">
        <f t="shared" si="80"/>
        <v>0</v>
      </c>
      <c r="I1392" s="162">
        <f t="shared" si="81"/>
        <v>0</v>
      </c>
    </row>
    <row r="1393" spans="1:9" hidden="1">
      <c r="A1393" s="151">
        <f t="shared" si="79"/>
        <v>1</v>
      </c>
      <c r="B1393" s="151" t="s">
        <v>206</v>
      </c>
      <c r="C1393" s="159">
        <v>3791072</v>
      </c>
      <c r="D1393" s="160" t="s">
        <v>1790</v>
      </c>
      <c r="E1393" s="161">
        <f>SUMIF(Lanç!$C$3:$C$114,C1393,Lanç!$F$3:$F$114)</f>
        <v>0</v>
      </c>
      <c r="F1393" s="161">
        <f>SUMIF(Lanç!$C$115:$C$6504,C1393,Lanç!$F$115:$F$6504)</f>
        <v>0</v>
      </c>
      <c r="G1393" s="161">
        <f>SUMIF(Lanç!$C$115:$C$6504,C1393,Lanç!$G$115:$G$6504)</f>
        <v>0</v>
      </c>
      <c r="H1393" s="162">
        <f t="shared" si="80"/>
        <v>0</v>
      </c>
      <c r="I1393" s="162">
        <f t="shared" si="81"/>
        <v>0</v>
      </c>
    </row>
    <row r="1394" spans="1:9" hidden="1">
      <c r="A1394" s="151">
        <f>IF(E1394+F1394+G1394+H1394+I1394=0,1,0)</f>
        <v>1</v>
      </c>
      <c r="B1394" s="151" t="s">
        <v>206</v>
      </c>
      <c r="C1394" s="159">
        <v>3791073</v>
      </c>
      <c r="D1394" s="160" t="s">
        <v>1814</v>
      </c>
      <c r="E1394" s="161">
        <f>SUMIF(Lanç!$C$3:$C$114,C1394,Lanç!$F$3:$F$114)</f>
        <v>0</v>
      </c>
      <c r="F1394" s="161">
        <f>SUMIF(Lanç!$C$115:$C$6504,C1394,Lanç!$F$115:$F$6504)</f>
        <v>0</v>
      </c>
      <c r="G1394" s="161">
        <f>SUMIF(Lanç!$C$115:$C$6504,C1394,Lanç!$G$115:$G$6504)</f>
        <v>0</v>
      </c>
      <c r="H1394" s="162">
        <f>(F1394)-(G1394)</f>
        <v>0</v>
      </c>
      <c r="I1394" s="162">
        <f>(E1394)+(H1394)</f>
        <v>0</v>
      </c>
    </row>
    <row r="1395" spans="1:9">
      <c r="A1395" s="151">
        <f>IF(E1395+F1395+G1395+H1395+I1395=0,1,0)</f>
        <v>0</v>
      </c>
      <c r="B1395" s="151" t="s">
        <v>206</v>
      </c>
      <c r="C1395" s="159">
        <v>3791074</v>
      </c>
      <c r="D1395" s="160" t="s">
        <v>1815</v>
      </c>
      <c r="E1395" s="161">
        <f>SUMIF(Lanç!$C$3:$C$114,C1395,Lanç!$F$3:$F$114)</f>
        <v>-982000</v>
      </c>
      <c r="F1395" s="161">
        <f>SUMIF(Lanç!$C$115:$C$6504,C1395,Lanç!$F$115:$F$6504)</f>
        <v>0</v>
      </c>
      <c r="G1395" s="161">
        <f>SUMIF(Lanç!$C$115:$C$6504,C1395,Lanç!$G$115:$G$6504)</f>
        <v>0</v>
      </c>
      <c r="H1395" s="162">
        <f>(F1395)-(G1395)</f>
        <v>0</v>
      </c>
      <c r="I1395" s="162">
        <f>(E1395)+(H1395)</f>
        <v>-982000</v>
      </c>
    </row>
    <row r="1396" spans="1:9" hidden="1">
      <c r="A1396" s="151">
        <f>IF(E1396+F1396+G1396+H1396+I1396=0,1,0)</f>
        <v>1</v>
      </c>
      <c r="B1396" s="151" t="s">
        <v>206</v>
      </c>
      <c r="C1396" s="159">
        <v>3791075</v>
      </c>
      <c r="D1396" s="160" t="s">
        <v>1816</v>
      </c>
      <c r="E1396" s="161">
        <f>SUMIF(Lanç!$C$3:$C$114,C1396,Lanç!$F$3:$F$114)</f>
        <v>0</v>
      </c>
      <c r="F1396" s="161">
        <f>SUMIF(Lanç!$C$115:$C$6504,C1396,Lanç!$F$115:$F$6504)</f>
        <v>0</v>
      </c>
      <c r="G1396" s="161">
        <f>SUMIF(Lanç!$C$115:$C$6504,C1396,Lanç!$G$115:$G$6504)</f>
        <v>0</v>
      </c>
      <c r="H1396" s="162">
        <f>(F1396)-(G1396)</f>
        <v>0</v>
      </c>
      <c r="I1396" s="162">
        <f>(E1396)+(H1396)</f>
        <v>0</v>
      </c>
    </row>
    <row r="1397" spans="1:9" hidden="1">
      <c r="A1397" s="151">
        <f t="shared" si="79"/>
        <v>1</v>
      </c>
      <c r="B1397" s="151" t="s">
        <v>206</v>
      </c>
      <c r="C1397" s="159">
        <v>3791999</v>
      </c>
      <c r="D1397" s="160" t="s">
        <v>975</v>
      </c>
      <c r="E1397" s="161">
        <f>SUMIF(Lanç!$C$3:$C$114,C1397,Lanç!$F$3:$F$114)</f>
        <v>0</v>
      </c>
      <c r="F1397" s="161">
        <f>SUMIF(Lanç!$C$115:$C$6504,C1397,Lanç!$F$115:$F$6504)</f>
        <v>0</v>
      </c>
      <c r="G1397" s="161">
        <f>SUMIF(Lanç!$C$115:$C$6504,C1397,Lanç!$G$115:$G$6504)</f>
        <v>0</v>
      </c>
      <c r="H1397" s="162">
        <f t="shared" si="80"/>
        <v>0</v>
      </c>
      <c r="I1397" s="162">
        <f t="shared" si="81"/>
        <v>0</v>
      </c>
    </row>
    <row r="1398" spans="1:9" s="57" customFormat="1" hidden="1">
      <c r="A1398" s="155">
        <f t="shared" si="79"/>
        <v>1</v>
      </c>
      <c r="B1398" s="155" t="s">
        <v>204</v>
      </c>
      <c r="C1398" s="156">
        <v>3792</v>
      </c>
      <c r="D1398" s="157" t="s">
        <v>1033</v>
      </c>
      <c r="E1398" s="158">
        <f>SUM(E1399:E1418)</f>
        <v>0</v>
      </c>
      <c r="F1398" s="158">
        <f>SUM(F1399:F1418)</f>
        <v>0</v>
      </c>
      <c r="G1398" s="158">
        <f>SUM(G1399:G1418)</f>
        <v>0</v>
      </c>
      <c r="H1398" s="163">
        <f t="shared" si="80"/>
        <v>0</v>
      </c>
      <c r="I1398" s="163">
        <f t="shared" si="81"/>
        <v>0</v>
      </c>
    </row>
    <row r="1399" spans="1:9" hidden="1">
      <c r="A1399" s="151">
        <f t="shared" si="79"/>
        <v>1</v>
      </c>
      <c r="B1399" s="151" t="s">
        <v>206</v>
      </c>
      <c r="C1399" s="159">
        <v>3792001</v>
      </c>
      <c r="D1399" s="160" t="s">
        <v>1034</v>
      </c>
      <c r="E1399" s="161">
        <f>SUMIF(Lanç!$C$3:$C$114,C1399,Lanç!$F$3:$F$114)</f>
        <v>0</v>
      </c>
      <c r="F1399" s="161">
        <f>SUMIF(Lanç!$C$115:$C$6504,C1399,Lanç!$F$115:$F$6504)</f>
        <v>0</v>
      </c>
      <c r="G1399" s="161">
        <f>SUMIF(Lanç!$C$115:$C$6504,C1399,Lanç!$G$115:$G$6504)</f>
        <v>0</v>
      </c>
      <c r="H1399" s="162">
        <f t="shared" si="80"/>
        <v>0</v>
      </c>
      <c r="I1399" s="162">
        <f t="shared" si="81"/>
        <v>0</v>
      </c>
    </row>
    <row r="1400" spans="1:9" hidden="1">
      <c r="A1400" s="151">
        <f t="shared" si="79"/>
        <v>1</v>
      </c>
      <c r="B1400" s="151" t="s">
        <v>206</v>
      </c>
      <c r="C1400" s="159">
        <v>3792002</v>
      </c>
      <c r="D1400" s="160" t="s">
        <v>1035</v>
      </c>
      <c r="E1400" s="161">
        <f>SUMIF(Lanç!$C$3:$C$114,C1400,Lanç!$F$3:$F$114)</f>
        <v>0</v>
      </c>
      <c r="F1400" s="161">
        <f>SUMIF(Lanç!$C$115:$C$6504,C1400,Lanç!$F$115:$F$6504)</f>
        <v>0</v>
      </c>
      <c r="G1400" s="161">
        <f>SUMIF(Lanç!$C$115:$C$6504,C1400,Lanç!$G$115:$G$6504)</f>
        <v>0</v>
      </c>
      <c r="H1400" s="162">
        <f t="shared" si="80"/>
        <v>0</v>
      </c>
      <c r="I1400" s="162">
        <f t="shared" si="81"/>
        <v>0</v>
      </c>
    </row>
    <row r="1401" spans="1:9" hidden="1">
      <c r="A1401" s="151">
        <f t="shared" si="79"/>
        <v>1</v>
      </c>
      <c r="B1401" s="151" t="s">
        <v>206</v>
      </c>
      <c r="C1401" s="159">
        <v>3792003</v>
      </c>
      <c r="D1401" s="160" t="s">
        <v>1036</v>
      </c>
      <c r="E1401" s="161">
        <f>SUMIF(Lanç!$C$3:$C$114,C1401,Lanç!$F$3:$F$114)</f>
        <v>0</v>
      </c>
      <c r="F1401" s="161">
        <f>SUMIF(Lanç!$C$115:$C$6504,C1401,Lanç!$F$115:$F$6504)</f>
        <v>0</v>
      </c>
      <c r="G1401" s="161">
        <f>SUMIF(Lanç!$C$115:$C$6504,C1401,Lanç!$G$115:$G$6504)</f>
        <v>0</v>
      </c>
      <c r="H1401" s="162">
        <f t="shared" si="80"/>
        <v>0</v>
      </c>
      <c r="I1401" s="162">
        <f t="shared" si="81"/>
        <v>0</v>
      </c>
    </row>
    <row r="1402" spans="1:9" hidden="1">
      <c r="A1402" s="151">
        <f t="shared" si="79"/>
        <v>1</v>
      </c>
      <c r="B1402" s="151" t="s">
        <v>206</v>
      </c>
      <c r="C1402" s="159">
        <v>3792004</v>
      </c>
      <c r="D1402" s="160" t="s">
        <v>1037</v>
      </c>
      <c r="E1402" s="161">
        <f>SUMIF(Lanç!$C$3:$C$114,C1402,Lanç!$F$3:$F$114)</f>
        <v>0</v>
      </c>
      <c r="F1402" s="161">
        <f>SUMIF(Lanç!$C$115:$C$6504,C1402,Lanç!$F$115:$F$6504)</f>
        <v>0</v>
      </c>
      <c r="G1402" s="161">
        <f>SUMIF(Lanç!$C$115:$C$6504,C1402,Lanç!$G$115:$G$6504)</f>
        <v>0</v>
      </c>
      <c r="H1402" s="162">
        <f t="shared" si="80"/>
        <v>0</v>
      </c>
      <c r="I1402" s="162">
        <f t="shared" si="81"/>
        <v>0</v>
      </c>
    </row>
    <row r="1403" spans="1:9" hidden="1">
      <c r="A1403" s="151">
        <f t="shared" si="79"/>
        <v>1</v>
      </c>
      <c r="B1403" s="151" t="s">
        <v>206</v>
      </c>
      <c r="C1403" s="159">
        <v>3792005</v>
      </c>
      <c r="D1403" s="160" t="s">
        <v>1038</v>
      </c>
      <c r="E1403" s="161">
        <f>SUMIF(Lanç!$C$3:$C$114,C1403,Lanç!$F$3:$F$114)</f>
        <v>0</v>
      </c>
      <c r="F1403" s="161">
        <f>SUMIF(Lanç!$C$115:$C$6504,C1403,Lanç!$F$115:$F$6504)</f>
        <v>0</v>
      </c>
      <c r="G1403" s="161">
        <f>SUMIF(Lanç!$C$115:$C$6504,C1403,Lanç!$G$115:$G$6504)</f>
        <v>0</v>
      </c>
      <c r="H1403" s="162">
        <f t="shared" si="80"/>
        <v>0</v>
      </c>
      <c r="I1403" s="162">
        <f t="shared" si="81"/>
        <v>0</v>
      </c>
    </row>
    <row r="1404" spans="1:9" hidden="1">
      <c r="A1404" s="151">
        <f t="shared" si="79"/>
        <v>1</v>
      </c>
      <c r="B1404" s="151" t="s">
        <v>206</v>
      </c>
      <c r="C1404" s="159">
        <v>3792007</v>
      </c>
      <c r="D1404" s="160" t="s">
        <v>893</v>
      </c>
      <c r="E1404" s="161">
        <f>SUMIF(Lanç!$C$3:$C$114,C1404,Lanç!$F$3:$F$114)</f>
        <v>0</v>
      </c>
      <c r="F1404" s="161">
        <f>SUMIF(Lanç!$C$115:$C$6504,C1404,Lanç!$F$115:$F$6504)</f>
        <v>0</v>
      </c>
      <c r="G1404" s="161">
        <f>SUMIF(Lanç!$C$115:$C$6504,C1404,Lanç!$G$115:$G$6504)</f>
        <v>0</v>
      </c>
      <c r="H1404" s="162">
        <f t="shared" si="80"/>
        <v>0</v>
      </c>
      <c r="I1404" s="162">
        <f t="shared" si="81"/>
        <v>0</v>
      </c>
    </row>
    <row r="1405" spans="1:9" hidden="1">
      <c r="A1405" s="151">
        <f t="shared" si="79"/>
        <v>1</v>
      </c>
      <c r="B1405" s="151" t="s">
        <v>206</v>
      </c>
      <c r="C1405" s="159">
        <v>3792008</v>
      </c>
      <c r="D1405" s="160" t="s">
        <v>501</v>
      </c>
      <c r="E1405" s="161">
        <f>SUMIF(Lanç!$C$3:$C$114,C1405,Lanç!$F$3:$F$114)</f>
        <v>0</v>
      </c>
      <c r="F1405" s="161">
        <f>SUMIF(Lanç!$C$115:$C$6504,C1405,Lanç!$F$115:$F$6504)</f>
        <v>0</v>
      </c>
      <c r="G1405" s="161">
        <f>SUMIF(Lanç!$C$115:$C$6504,C1405,Lanç!$G$115:$G$6504)</f>
        <v>0</v>
      </c>
      <c r="H1405" s="162">
        <f t="shared" si="80"/>
        <v>0</v>
      </c>
      <c r="I1405" s="162">
        <f t="shared" si="81"/>
        <v>0</v>
      </c>
    </row>
    <row r="1406" spans="1:9" hidden="1">
      <c r="A1406" s="151">
        <f t="shared" si="79"/>
        <v>1</v>
      </c>
      <c r="B1406" s="151" t="s">
        <v>206</v>
      </c>
      <c r="C1406" s="159">
        <v>3792009</v>
      </c>
      <c r="D1406" s="160" t="s">
        <v>891</v>
      </c>
      <c r="E1406" s="161">
        <f>SUMIF(Lanç!$C$3:$C$114,C1406,Lanç!$F$3:$F$114)</f>
        <v>0</v>
      </c>
      <c r="F1406" s="161">
        <f>SUMIF(Lanç!$C$115:$C$6504,C1406,Lanç!$F$115:$F$6504)</f>
        <v>0</v>
      </c>
      <c r="G1406" s="161">
        <f>SUMIF(Lanç!$C$115:$C$6504,C1406,Lanç!$G$115:$G$6504)</f>
        <v>0</v>
      </c>
      <c r="H1406" s="162">
        <f t="shared" si="80"/>
        <v>0</v>
      </c>
      <c r="I1406" s="162">
        <f t="shared" si="81"/>
        <v>0</v>
      </c>
    </row>
    <row r="1407" spans="1:9" hidden="1">
      <c r="A1407" s="151">
        <f t="shared" si="79"/>
        <v>1</v>
      </c>
      <c r="B1407" s="151" t="s">
        <v>206</v>
      </c>
      <c r="C1407" s="159">
        <v>3792010</v>
      </c>
      <c r="D1407" s="160" t="s">
        <v>1039</v>
      </c>
      <c r="E1407" s="161">
        <f>SUMIF(Lanç!$C$3:$C$114,C1407,Lanç!$F$3:$F$114)</f>
        <v>0</v>
      </c>
      <c r="F1407" s="161">
        <f>SUMIF(Lanç!$C$115:$C$6504,C1407,Lanç!$F$115:$F$6504)</f>
        <v>0</v>
      </c>
      <c r="G1407" s="161">
        <f>SUMIF(Lanç!$C$115:$C$6504,C1407,Lanç!$G$115:$G$6504)</f>
        <v>0</v>
      </c>
      <c r="H1407" s="162">
        <f t="shared" si="80"/>
        <v>0</v>
      </c>
      <c r="I1407" s="162">
        <f t="shared" si="81"/>
        <v>0</v>
      </c>
    </row>
    <row r="1408" spans="1:9" hidden="1">
      <c r="A1408" s="151">
        <f t="shared" si="79"/>
        <v>1</v>
      </c>
      <c r="B1408" s="151" t="s">
        <v>206</v>
      </c>
      <c r="C1408" s="159">
        <v>3792011</v>
      </c>
      <c r="D1408" s="160" t="s">
        <v>890</v>
      </c>
      <c r="E1408" s="161">
        <f>SUMIF(Lanç!$C$3:$C$114,C1408,Lanç!$F$3:$F$114)</f>
        <v>0</v>
      </c>
      <c r="F1408" s="161">
        <f>SUMIF(Lanç!$C$115:$C$6504,C1408,Lanç!$F$115:$F$6504)</f>
        <v>0</v>
      </c>
      <c r="G1408" s="161">
        <f>SUMIF(Lanç!$C$115:$C$6504,C1408,Lanç!$G$115:$G$6504)</f>
        <v>0</v>
      </c>
      <c r="H1408" s="162">
        <f t="shared" si="80"/>
        <v>0</v>
      </c>
      <c r="I1408" s="162">
        <f t="shared" si="81"/>
        <v>0</v>
      </c>
    </row>
    <row r="1409" spans="1:14" hidden="1">
      <c r="A1409" s="151">
        <f t="shared" si="79"/>
        <v>1</v>
      </c>
      <c r="B1409" s="151" t="s">
        <v>206</v>
      </c>
      <c r="C1409" s="159">
        <v>3792012</v>
      </c>
      <c r="D1409" s="160" t="s">
        <v>1040</v>
      </c>
      <c r="E1409" s="161">
        <f>SUMIF(Lanç!$C$3:$C$114,C1409,Lanç!$F$3:$F$114)</f>
        <v>0</v>
      </c>
      <c r="F1409" s="161">
        <f>SUMIF(Lanç!$C$115:$C$6504,C1409,Lanç!$F$115:$F$6504)</f>
        <v>0</v>
      </c>
      <c r="G1409" s="161">
        <f>SUMIF(Lanç!$C$115:$C$6504,C1409,Lanç!$G$115:$G$6504)</f>
        <v>0</v>
      </c>
      <c r="H1409" s="162">
        <f t="shared" si="80"/>
        <v>0</v>
      </c>
      <c r="I1409" s="162">
        <f t="shared" si="81"/>
        <v>0</v>
      </c>
    </row>
    <row r="1410" spans="1:14" hidden="1">
      <c r="A1410" s="151">
        <f t="shared" si="79"/>
        <v>1</v>
      </c>
      <c r="B1410" s="151" t="s">
        <v>206</v>
      </c>
      <c r="C1410" s="159">
        <v>3792013</v>
      </c>
      <c r="D1410" s="160" t="s">
        <v>1041</v>
      </c>
      <c r="E1410" s="161">
        <f>SUMIF(Lanç!$C$3:$C$114,C1410,Lanç!$F$3:$F$114)</f>
        <v>0</v>
      </c>
      <c r="F1410" s="161">
        <f>SUMIF(Lanç!$C$115:$C$6504,C1410,Lanç!$F$115:$F$6504)</f>
        <v>0</v>
      </c>
      <c r="G1410" s="161">
        <f>SUMIF(Lanç!$C$115:$C$6504,C1410,Lanç!$G$115:$G$6504)</f>
        <v>0</v>
      </c>
      <c r="H1410" s="162">
        <f t="shared" si="80"/>
        <v>0</v>
      </c>
      <c r="I1410" s="162">
        <f t="shared" si="81"/>
        <v>0</v>
      </c>
    </row>
    <row r="1411" spans="1:14" hidden="1">
      <c r="A1411" s="151">
        <f t="shared" si="79"/>
        <v>1</v>
      </c>
      <c r="B1411" s="151" t="s">
        <v>206</v>
      </c>
      <c r="C1411" s="159">
        <v>3792014</v>
      </c>
      <c r="D1411" s="160" t="s">
        <v>1042</v>
      </c>
      <c r="E1411" s="161">
        <f>SUMIF(Lanç!$C$3:$C$114,C1411,Lanç!$F$3:$F$114)</f>
        <v>0</v>
      </c>
      <c r="F1411" s="161">
        <f>SUMIF(Lanç!$C$115:$C$6504,C1411,Lanç!$F$115:$F$6504)</f>
        <v>0</v>
      </c>
      <c r="G1411" s="161">
        <f>SUMIF(Lanç!$C$115:$C$6504,C1411,Lanç!$G$115:$G$6504)</f>
        <v>0</v>
      </c>
      <c r="H1411" s="162">
        <f t="shared" si="80"/>
        <v>0</v>
      </c>
      <c r="I1411" s="162">
        <f t="shared" si="81"/>
        <v>0</v>
      </c>
    </row>
    <row r="1412" spans="1:14" hidden="1">
      <c r="A1412" s="151">
        <f t="shared" si="79"/>
        <v>1</v>
      </c>
      <c r="B1412" s="151" t="s">
        <v>206</v>
      </c>
      <c r="C1412" s="159">
        <v>3792015</v>
      </c>
      <c r="D1412" s="160" t="s">
        <v>1043</v>
      </c>
      <c r="E1412" s="161">
        <f>SUMIF(Lanç!$C$3:$C$114,C1412,Lanç!$F$3:$F$114)</f>
        <v>0</v>
      </c>
      <c r="F1412" s="161">
        <f>SUMIF(Lanç!$C$115:$C$6504,C1412,Lanç!$F$115:$F$6504)</f>
        <v>0</v>
      </c>
      <c r="G1412" s="161">
        <f>SUMIF(Lanç!$C$115:$C$6504,C1412,Lanç!$G$115:$G$6504)</f>
        <v>0</v>
      </c>
      <c r="H1412" s="162">
        <f t="shared" si="80"/>
        <v>0</v>
      </c>
      <c r="I1412" s="162">
        <f t="shared" si="81"/>
        <v>0</v>
      </c>
    </row>
    <row r="1413" spans="1:14" hidden="1">
      <c r="A1413" s="151">
        <f t="shared" si="79"/>
        <v>1</v>
      </c>
      <c r="B1413" s="151" t="s">
        <v>206</v>
      </c>
      <c r="C1413" s="159">
        <v>3792016</v>
      </c>
      <c r="D1413" s="160" t="s">
        <v>1044</v>
      </c>
      <c r="E1413" s="161">
        <f>SUMIF(Lanç!$C$3:$C$114,C1413,Lanç!$F$3:$F$114)</f>
        <v>0</v>
      </c>
      <c r="F1413" s="161">
        <f>SUMIF(Lanç!$C$115:$C$6504,C1413,Lanç!$F$115:$F$6504)</f>
        <v>0</v>
      </c>
      <c r="G1413" s="161">
        <f>SUMIF(Lanç!$C$115:$C$6504,C1413,Lanç!$G$115:$G$6504)</f>
        <v>0</v>
      </c>
      <c r="H1413" s="162">
        <f t="shared" si="80"/>
        <v>0</v>
      </c>
      <c r="I1413" s="162">
        <f t="shared" si="81"/>
        <v>0</v>
      </c>
    </row>
    <row r="1414" spans="1:14" hidden="1">
      <c r="A1414" s="151">
        <f t="shared" si="79"/>
        <v>1</v>
      </c>
      <c r="B1414" s="151" t="s">
        <v>206</v>
      </c>
      <c r="C1414" s="159">
        <v>3792017</v>
      </c>
      <c r="D1414" s="160" t="s">
        <v>1045</v>
      </c>
      <c r="E1414" s="161">
        <f>SUMIF(Lanç!$C$3:$C$114,C1414,Lanç!$F$3:$F$114)</f>
        <v>0</v>
      </c>
      <c r="F1414" s="161">
        <f>SUMIF(Lanç!$C$115:$C$6504,C1414,Lanç!$F$115:$F$6504)</f>
        <v>0</v>
      </c>
      <c r="G1414" s="161">
        <f>SUMIF(Lanç!$C$115:$C$6504,C1414,Lanç!$G$115:$G$6504)</f>
        <v>0</v>
      </c>
      <c r="H1414" s="162">
        <f t="shared" si="80"/>
        <v>0</v>
      </c>
      <c r="I1414" s="162">
        <f t="shared" si="81"/>
        <v>0</v>
      </c>
    </row>
    <row r="1415" spans="1:14" hidden="1">
      <c r="A1415" s="151">
        <f t="shared" si="79"/>
        <v>1</v>
      </c>
      <c r="B1415" s="151" t="s">
        <v>206</v>
      </c>
      <c r="C1415" s="159">
        <v>3792018</v>
      </c>
      <c r="D1415" s="160" t="s">
        <v>1046</v>
      </c>
      <c r="E1415" s="161">
        <f>SUMIF(Lanç!$C$3:$C$114,C1415,Lanç!$F$3:$F$114)</f>
        <v>0</v>
      </c>
      <c r="F1415" s="161">
        <f>SUMIF(Lanç!$C$115:$C$6504,C1415,Lanç!$F$115:$F$6504)</f>
        <v>0</v>
      </c>
      <c r="G1415" s="161">
        <f>SUMIF(Lanç!$C$115:$C$6504,C1415,Lanç!$G$115:$G$6504)</f>
        <v>0</v>
      </c>
      <c r="H1415" s="162">
        <f t="shared" si="80"/>
        <v>0</v>
      </c>
      <c r="I1415" s="162">
        <f t="shared" si="81"/>
        <v>0</v>
      </c>
    </row>
    <row r="1416" spans="1:14" hidden="1">
      <c r="A1416" s="151">
        <f>IF(E1416+F1416+G1416+H1416+I1416=0,1,0)</f>
        <v>1</v>
      </c>
      <c r="B1416" s="151" t="s">
        <v>206</v>
      </c>
      <c r="C1416" s="159">
        <v>3792019</v>
      </c>
      <c r="D1416" s="160" t="s">
        <v>1047</v>
      </c>
      <c r="E1416" s="161">
        <f>SUMIF(Lanç!$C$3:$C$114,C1416,Lanç!$F$3:$F$114)</f>
        <v>0</v>
      </c>
      <c r="F1416" s="161">
        <f>SUMIF(Lanç!$C$115:$C$6504,C1416,Lanç!$F$115:$F$6504)</f>
        <v>0</v>
      </c>
      <c r="G1416" s="161">
        <f>SUMIF(Lanç!$C$115:$C$6504,C1416,Lanç!$G$115:$G$6504)</f>
        <v>0</v>
      </c>
      <c r="H1416" s="162">
        <f>(F1416)-(G1416)</f>
        <v>0</v>
      </c>
      <c r="I1416" s="162">
        <f>(E1416)+(H1416)</f>
        <v>0</v>
      </c>
    </row>
    <row r="1417" spans="1:14" hidden="1">
      <c r="A1417" s="151">
        <f>IF(E1417+F1417+G1417+H1417+I1417=0,1,0)</f>
        <v>1</v>
      </c>
      <c r="B1417" s="151" t="s">
        <v>206</v>
      </c>
      <c r="C1417" s="159">
        <v>3792020</v>
      </c>
      <c r="D1417" s="160" t="s">
        <v>901</v>
      </c>
      <c r="E1417" s="161">
        <f>SUMIF(Lanç!$C$3:$C$114,C1417,Lanç!$F$3:$F$114)</f>
        <v>0</v>
      </c>
      <c r="F1417" s="161">
        <f>SUMIF(Lanç!$C$115:$C$6504,C1417,Lanç!$F$115:$F$6504)</f>
        <v>0</v>
      </c>
      <c r="G1417" s="161">
        <f>SUMIF(Lanç!$C$115:$C$6504,C1417,Lanç!$G$115:$G$6504)</f>
        <v>0</v>
      </c>
      <c r="H1417" s="162">
        <f>(F1417)-(G1417)</f>
        <v>0</v>
      </c>
      <c r="I1417" s="162">
        <f>(E1417)+(H1417)</f>
        <v>0</v>
      </c>
    </row>
    <row r="1418" spans="1:14" hidden="1">
      <c r="A1418" s="151">
        <f>IF(E1418+F1418+G1418+H1418+I1418=0,1,0)</f>
        <v>1</v>
      </c>
      <c r="B1418" s="151" t="s">
        <v>206</v>
      </c>
      <c r="C1418" s="159">
        <v>3792021</v>
      </c>
      <c r="D1418" s="160" t="s">
        <v>911</v>
      </c>
      <c r="E1418" s="161">
        <f>SUMIF(Lanç!$C$3:$C$114,C1418,Lanç!$F$3:$F$114)</f>
        <v>0</v>
      </c>
      <c r="F1418" s="161">
        <f>SUMIF(Lanç!$C$115:$C$6504,C1418,Lanç!$F$115:$F$6504)</f>
        <v>0</v>
      </c>
      <c r="G1418" s="161">
        <f>SUMIF(Lanç!$C$115:$C$6504,C1418,Lanç!$G$115:$G$6504)</f>
        <v>0</v>
      </c>
      <c r="H1418" s="162">
        <f>(F1418)-(G1418)</f>
        <v>0</v>
      </c>
      <c r="I1418" s="162">
        <f>(E1418)+(H1418)</f>
        <v>0</v>
      </c>
    </row>
    <row r="1419" spans="1:14">
      <c r="A1419" s="151">
        <f t="shared" si="79"/>
        <v>0</v>
      </c>
      <c r="B1419" s="155" t="s">
        <v>202</v>
      </c>
      <c r="C1419" s="156">
        <v>38</v>
      </c>
      <c r="D1419" s="157" t="s">
        <v>1048</v>
      </c>
      <c r="E1419" s="158">
        <f>SUM(E1420,E1430,E1432,E1435,E1438)</f>
        <v>-2919625.49</v>
      </c>
      <c r="F1419" s="158">
        <f>SUM(F1420,F1430,F1432,F1435,F1438)</f>
        <v>0</v>
      </c>
      <c r="G1419" s="158">
        <f>SUM(G1420,G1430,G1432,G1435,G1438)</f>
        <v>0</v>
      </c>
      <c r="H1419" s="154">
        <f t="shared" si="80"/>
        <v>0</v>
      </c>
      <c r="I1419" s="154">
        <f t="shared" si="81"/>
        <v>-2919625.49</v>
      </c>
      <c r="J1419" s="1"/>
      <c r="K1419" s="1"/>
      <c r="L1419" s="1"/>
      <c r="M1419" s="1"/>
      <c r="N1419" s="1"/>
    </row>
    <row r="1420" spans="1:14">
      <c r="A1420" s="151">
        <f t="shared" si="79"/>
        <v>0</v>
      </c>
      <c r="B1420" s="155" t="s">
        <v>204</v>
      </c>
      <c r="C1420" s="156">
        <v>381</v>
      </c>
      <c r="D1420" s="157" t="s">
        <v>1049</v>
      </c>
      <c r="E1420" s="158">
        <f>SUM(E1421,E1424,E1427)</f>
        <v>-2919625.49</v>
      </c>
      <c r="F1420" s="158">
        <f>SUM(F1421,F1424,F1427)</f>
        <v>0</v>
      </c>
      <c r="G1420" s="158">
        <f>SUM(G1421,G1424,G1427)</f>
        <v>0</v>
      </c>
      <c r="H1420" s="154">
        <f t="shared" si="80"/>
        <v>0</v>
      </c>
      <c r="I1420" s="154">
        <f t="shared" si="81"/>
        <v>-2919625.49</v>
      </c>
    </row>
    <row r="1421" spans="1:14" hidden="1">
      <c r="A1421" s="151">
        <f t="shared" si="79"/>
        <v>1</v>
      </c>
      <c r="B1421" s="155" t="s">
        <v>204</v>
      </c>
      <c r="C1421" s="156">
        <v>3811</v>
      </c>
      <c r="D1421" s="157" t="s">
        <v>1050</v>
      </c>
      <c r="E1421" s="158">
        <f>SUM(E1422:E1423)</f>
        <v>0</v>
      </c>
      <c r="F1421" s="158">
        <f>SUM(F1422:F1423)</f>
        <v>0</v>
      </c>
      <c r="G1421" s="158">
        <f>SUM(G1422:G1423)</f>
        <v>0</v>
      </c>
      <c r="H1421" s="154">
        <f t="shared" si="80"/>
        <v>0</v>
      </c>
      <c r="I1421" s="154">
        <f t="shared" si="81"/>
        <v>0</v>
      </c>
    </row>
    <row r="1422" spans="1:14" hidden="1">
      <c r="A1422" s="151">
        <f t="shared" si="79"/>
        <v>1</v>
      </c>
      <c r="B1422" s="151" t="s">
        <v>206</v>
      </c>
      <c r="C1422" s="159">
        <v>38111</v>
      </c>
      <c r="D1422" s="160" t="s">
        <v>423</v>
      </c>
      <c r="E1422" s="161">
        <f>SUMIF(Lanç!$C$3:$C$114,C1422,Lanç!$F$3:$F$114)</f>
        <v>0</v>
      </c>
      <c r="F1422" s="161">
        <f>SUMIF(Lanç!$C$115:$C$6504,C1422,Lanç!$F$115:$F$6504)</f>
        <v>0</v>
      </c>
      <c r="G1422" s="161">
        <f>SUMIF(Lanç!$C$115:$C$6504,C1422,Lanç!$G$115:$G$6504)</f>
        <v>0</v>
      </c>
      <c r="H1422" s="162">
        <f t="shared" si="80"/>
        <v>0</v>
      </c>
      <c r="I1422" s="162">
        <f t="shared" si="81"/>
        <v>0</v>
      </c>
    </row>
    <row r="1423" spans="1:14" hidden="1">
      <c r="A1423" s="151">
        <f t="shared" si="79"/>
        <v>1</v>
      </c>
      <c r="B1423" s="151" t="s">
        <v>206</v>
      </c>
      <c r="C1423" s="159">
        <v>38112</v>
      </c>
      <c r="D1423" s="160" t="s">
        <v>429</v>
      </c>
      <c r="E1423" s="161">
        <f>SUMIF(Lanç!$C$3:$C$114,C1423,Lanç!$F$3:$F$114)</f>
        <v>0</v>
      </c>
      <c r="F1423" s="161">
        <f>SUMIF(Lanç!$C$115:$C$6504,C1423,Lanç!$F$115:$F$6504)</f>
        <v>0</v>
      </c>
      <c r="G1423" s="161">
        <f>SUMIF(Lanç!$C$115:$C$6504,C1423,Lanç!$G$115:$G$6504)</f>
        <v>0</v>
      </c>
      <c r="H1423" s="162">
        <f t="shared" si="80"/>
        <v>0</v>
      </c>
      <c r="I1423" s="162">
        <f t="shared" si="81"/>
        <v>0</v>
      </c>
    </row>
    <row r="1424" spans="1:14" hidden="1">
      <c r="A1424" s="151">
        <f t="shared" si="79"/>
        <v>1</v>
      </c>
      <c r="B1424" s="155" t="s">
        <v>204</v>
      </c>
      <c r="C1424" s="156">
        <v>3812</v>
      </c>
      <c r="D1424" s="157" t="s">
        <v>1051</v>
      </c>
      <c r="E1424" s="158">
        <f>SUM(E1425:E1426)</f>
        <v>0</v>
      </c>
      <c r="F1424" s="158">
        <f>SUM(F1425:F1426)</f>
        <v>0</v>
      </c>
      <c r="G1424" s="158">
        <f>SUM(G1425:G1426)</f>
        <v>0</v>
      </c>
      <c r="H1424" s="154">
        <f t="shared" si="80"/>
        <v>0</v>
      </c>
      <c r="I1424" s="154">
        <f t="shared" si="81"/>
        <v>0</v>
      </c>
      <c r="J1424" s="1"/>
      <c r="K1424" s="1"/>
      <c r="L1424" s="1"/>
      <c r="M1424" s="1"/>
      <c r="N1424" s="1"/>
    </row>
    <row r="1425" spans="1:14" hidden="1">
      <c r="A1425" s="151">
        <f t="shared" si="79"/>
        <v>1</v>
      </c>
      <c r="B1425" s="151" t="s">
        <v>206</v>
      </c>
      <c r="C1425" s="159">
        <v>38121</v>
      </c>
      <c r="D1425" s="160" t="s">
        <v>423</v>
      </c>
      <c r="E1425" s="161">
        <f>SUMIF(Lanç!$C$3:$C$114,C1425,Lanç!$F$3:$F$114)</f>
        <v>0</v>
      </c>
      <c r="F1425" s="161">
        <f>SUMIF(Lanç!$C$115:$C$6504,C1425,Lanç!$F$115:$F$6504)</f>
        <v>0</v>
      </c>
      <c r="G1425" s="161">
        <f>SUMIF(Lanç!$C$115:$C$6504,C1425,Lanç!$G$115:$G$6504)</f>
        <v>0</v>
      </c>
      <c r="H1425" s="162">
        <f t="shared" si="80"/>
        <v>0</v>
      </c>
      <c r="I1425" s="162">
        <f t="shared" si="81"/>
        <v>0</v>
      </c>
    </row>
    <row r="1426" spans="1:14" hidden="1">
      <c r="A1426" s="151">
        <f t="shared" si="79"/>
        <v>1</v>
      </c>
      <c r="B1426" s="151" t="s">
        <v>206</v>
      </c>
      <c r="C1426" s="159">
        <v>38122</v>
      </c>
      <c r="D1426" s="160" t="s">
        <v>429</v>
      </c>
      <c r="E1426" s="161">
        <f>SUMIF(Lanç!$C$3:$C$114,C1426,Lanç!$F$3:$F$114)</f>
        <v>0</v>
      </c>
      <c r="F1426" s="161">
        <f>SUMIF(Lanç!$C$115:$C$6504,C1426,Lanç!$F$115:$F$6504)</f>
        <v>0</v>
      </c>
      <c r="G1426" s="161">
        <f>SUMIF(Lanç!$C$115:$C$6504,C1426,Lanç!$G$115:$G$6504)</f>
        <v>0</v>
      </c>
      <c r="H1426" s="162">
        <f t="shared" si="80"/>
        <v>0</v>
      </c>
      <c r="I1426" s="162">
        <f t="shared" si="81"/>
        <v>0</v>
      </c>
    </row>
    <row r="1427" spans="1:14">
      <c r="A1427" s="151">
        <f t="shared" si="79"/>
        <v>0</v>
      </c>
      <c r="B1427" s="155" t="s">
        <v>204</v>
      </c>
      <c r="C1427" s="156">
        <v>3813</v>
      </c>
      <c r="D1427" s="157" t="s">
        <v>1052</v>
      </c>
      <c r="E1427" s="158">
        <f>SUM(E1428:E1429)</f>
        <v>-2919625.49</v>
      </c>
      <c r="F1427" s="158">
        <f>SUM(F1428:F1429)</f>
        <v>0</v>
      </c>
      <c r="G1427" s="158">
        <f>SUM(G1428:G1429)</f>
        <v>0</v>
      </c>
      <c r="H1427" s="154">
        <f t="shared" si="80"/>
        <v>0</v>
      </c>
      <c r="I1427" s="154">
        <f t="shared" si="81"/>
        <v>-2919625.49</v>
      </c>
      <c r="J1427" s="1"/>
      <c r="K1427" s="1"/>
      <c r="L1427" s="1"/>
      <c r="M1427" s="1"/>
      <c r="N1427" s="1"/>
    </row>
    <row r="1428" spans="1:14" hidden="1">
      <c r="A1428" s="151">
        <f t="shared" si="79"/>
        <v>1</v>
      </c>
      <c r="B1428" s="151" t="s">
        <v>206</v>
      </c>
      <c r="C1428" s="159">
        <v>38131</v>
      </c>
      <c r="D1428" s="160" t="s">
        <v>423</v>
      </c>
      <c r="E1428" s="161">
        <f>SUMIF(Lanç!$C$3:$C$114,C1428,Lanç!$F$3:$F$114)</f>
        <v>0</v>
      </c>
      <c r="F1428" s="161">
        <f>SUMIF(Lanç!$C$115:$C$6504,C1428,Lanç!$F$115:$F$6504)</f>
        <v>0</v>
      </c>
      <c r="G1428" s="161">
        <f>SUMIF(Lanç!$C$115:$C$6504,C1428,Lanç!$G$115:$G$6504)</f>
        <v>0</v>
      </c>
      <c r="H1428" s="162">
        <f t="shared" si="80"/>
        <v>0</v>
      </c>
      <c r="I1428" s="162">
        <f t="shared" si="81"/>
        <v>0</v>
      </c>
    </row>
    <row r="1429" spans="1:14">
      <c r="A1429" s="151">
        <f t="shared" si="79"/>
        <v>0</v>
      </c>
      <c r="B1429" s="151" t="s">
        <v>206</v>
      </c>
      <c r="C1429" s="159">
        <v>38132</v>
      </c>
      <c r="D1429" s="160" t="s">
        <v>429</v>
      </c>
      <c r="E1429" s="161">
        <f>SUMIF(Lanç!$C$3:$C$114,C1429,Lanç!$F$3:$F$114)</f>
        <v>-2919625.49</v>
      </c>
      <c r="F1429" s="161">
        <f>SUMIF(Lanç!$C$115:$C$6504,C1429,Lanç!$F$115:$F$6504)</f>
        <v>0</v>
      </c>
      <c r="G1429" s="161">
        <f>SUMIF(Lanç!$C$115:$C$6504,C1429,Lanç!$G$115:$G$6504)</f>
        <v>0</v>
      </c>
      <c r="H1429" s="162">
        <f t="shared" si="80"/>
        <v>0</v>
      </c>
      <c r="I1429" s="162">
        <f t="shared" si="81"/>
        <v>-2919625.49</v>
      </c>
    </row>
    <row r="1430" spans="1:14" hidden="1">
      <c r="A1430" s="151">
        <f t="shared" si="79"/>
        <v>1</v>
      </c>
      <c r="B1430" s="155" t="s">
        <v>204</v>
      </c>
      <c r="C1430" s="156">
        <v>382</v>
      </c>
      <c r="D1430" s="157" t="s">
        <v>1053</v>
      </c>
      <c r="E1430" s="158">
        <f>SUM(E1431)</f>
        <v>0</v>
      </c>
      <c r="F1430" s="158">
        <f>SUM(F1431)</f>
        <v>0</v>
      </c>
      <c r="G1430" s="158">
        <f>SUM(G1431)</f>
        <v>0</v>
      </c>
      <c r="H1430" s="154">
        <f t="shared" si="80"/>
        <v>0</v>
      </c>
      <c r="I1430" s="154">
        <f t="shared" si="81"/>
        <v>0</v>
      </c>
      <c r="J1430" s="1"/>
      <c r="K1430" s="1"/>
      <c r="L1430" s="1"/>
      <c r="M1430" s="1"/>
      <c r="N1430" s="1"/>
    </row>
    <row r="1431" spans="1:14" hidden="1">
      <c r="A1431" s="151">
        <f t="shared" si="79"/>
        <v>1</v>
      </c>
      <c r="B1431" s="151" t="s">
        <v>206</v>
      </c>
      <c r="C1431" s="159">
        <v>3821</v>
      </c>
      <c r="D1431" s="160" t="s">
        <v>269</v>
      </c>
      <c r="E1431" s="161">
        <f>SUMIF(Lanç!$C$3:$C$114,C1431,Lanç!$F$3:$F$114)</f>
        <v>0</v>
      </c>
      <c r="F1431" s="161">
        <f>SUMIF(Lanç!$C$115:$C$6504,C1431,Lanç!$F$115:$F$6504)</f>
        <v>0</v>
      </c>
      <c r="G1431" s="161">
        <f>SUMIF(Lanç!$C$115:$C$6504,C1431,Lanç!$G$115:$G$6504)</f>
        <v>0</v>
      </c>
      <c r="H1431" s="162">
        <f t="shared" si="80"/>
        <v>0</v>
      </c>
      <c r="I1431" s="162">
        <f t="shared" si="81"/>
        <v>0</v>
      </c>
    </row>
    <row r="1432" spans="1:14" hidden="1">
      <c r="A1432" s="151">
        <f t="shared" si="79"/>
        <v>1</v>
      </c>
      <c r="B1432" s="155" t="s">
        <v>204</v>
      </c>
      <c r="C1432" s="156">
        <v>383</v>
      </c>
      <c r="D1432" s="157" t="s">
        <v>1054</v>
      </c>
      <c r="E1432" s="158">
        <f>SUM(E1433:E1434)</f>
        <v>0</v>
      </c>
      <c r="F1432" s="158">
        <f>SUM(F1433:F1434)</f>
        <v>0</v>
      </c>
      <c r="G1432" s="158">
        <f>SUM(G1433:G1434)</f>
        <v>0</v>
      </c>
      <c r="H1432" s="154">
        <f t="shared" si="80"/>
        <v>0</v>
      </c>
      <c r="I1432" s="154">
        <f t="shared" si="81"/>
        <v>0</v>
      </c>
      <c r="J1432" s="1"/>
      <c r="K1432" s="1"/>
      <c r="L1432" s="1"/>
      <c r="M1432" s="1"/>
      <c r="N1432" s="1"/>
    </row>
    <row r="1433" spans="1:14" hidden="1">
      <c r="A1433" s="151">
        <f t="shared" si="79"/>
        <v>1</v>
      </c>
      <c r="B1433" s="151" t="s">
        <v>206</v>
      </c>
      <c r="C1433" s="159">
        <v>3831</v>
      </c>
      <c r="D1433" s="160" t="s">
        <v>1055</v>
      </c>
      <c r="E1433" s="161">
        <f>SUMIF(Lanç!$C$3:$C$114,C1433,Lanç!$F$3:$F$114)</f>
        <v>0</v>
      </c>
      <c r="F1433" s="161">
        <f>SUMIF(Lanç!$C$115:$C$6504,C1433,Lanç!$F$115:$F$6504)</f>
        <v>0</v>
      </c>
      <c r="G1433" s="161">
        <f>SUMIF(Lanç!$C$115:$C$6504,C1433,Lanç!$G$115:$G$6504)</f>
        <v>0</v>
      </c>
      <c r="H1433" s="162">
        <f t="shared" si="80"/>
        <v>0</v>
      </c>
      <c r="I1433" s="162">
        <f t="shared" si="81"/>
        <v>0</v>
      </c>
    </row>
    <row r="1434" spans="1:14" hidden="1">
      <c r="A1434" s="151">
        <f t="shared" si="79"/>
        <v>1</v>
      </c>
      <c r="B1434" s="151" t="s">
        <v>206</v>
      </c>
      <c r="C1434" s="159">
        <v>3832</v>
      </c>
      <c r="D1434" s="160" t="s">
        <v>1056</v>
      </c>
      <c r="E1434" s="161">
        <f>SUMIF(Lanç!$C$3:$C$114,C1434,Lanç!$F$3:$F$114)</f>
        <v>0</v>
      </c>
      <c r="F1434" s="161">
        <f>SUMIF(Lanç!$C$115:$C$6504,C1434,Lanç!$F$115:$F$6504)</f>
        <v>0</v>
      </c>
      <c r="G1434" s="161">
        <f>SUMIF(Lanç!$C$115:$C$6504,C1434,Lanç!$G$115:$G$6504)</f>
        <v>0</v>
      </c>
      <c r="H1434" s="162">
        <f t="shared" si="80"/>
        <v>0</v>
      </c>
      <c r="I1434" s="162">
        <f t="shared" si="81"/>
        <v>0</v>
      </c>
    </row>
    <row r="1435" spans="1:14" hidden="1">
      <c r="A1435" s="151">
        <f t="shared" si="79"/>
        <v>1</v>
      </c>
      <c r="B1435" s="155" t="s">
        <v>204</v>
      </c>
      <c r="C1435" s="156">
        <v>384</v>
      </c>
      <c r="D1435" s="157" t="s">
        <v>1057</v>
      </c>
      <c r="E1435" s="158">
        <f>SUM(E1436:E1437)</f>
        <v>0</v>
      </c>
      <c r="F1435" s="158">
        <f>SUM(F1436:F1437)</f>
        <v>0</v>
      </c>
      <c r="G1435" s="158">
        <f>SUM(G1436:G1437)</f>
        <v>0</v>
      </c>
      <c r="H1435" s="154">
        <f t="shared" si="80"/>
        <v>0</v>
      </c>
      <c r="I1435" s="154">
        <f t="shared" si="81"/>
        <v>0</v>
      </c>
      <c r="J1435" s="1"/>
      <c r="K1435" s="1"/>
      <c r="L1435" s="1"/>
      <c r="M1435" s="1"/>
      <c r="N1435" s="1"/>
    </row>
    <row r="1436" spans="1:14" hidden="1">
      <c r="A1436" s="151">
        <f t="shared" si="79"/>
        <v>1</v>
      </c>
      <c r="B1436" s="151" t="s">
        <v>206</v>
      </c>
      <c r="C1436" s="159">
        <v>3841</v>
      </c>
      <c r="D1436" s="160" t="s">
        <v>269</v>
      </c>
      <c r="E1436" s="161">
        <f>SUMIF(Lanç!$C$3:$C$114,C1436,Lanç!$F$3:$F$114)</f>
        <v>0</v>
      </c>
      <c r="F1436" s="161">
        <f>SUMIF(Lanç!$C$115:$C$6504,C1436,Lanç!$F$115:$F$6504)</f>
        <v>0</v>
      </c>
      <c r="G1436" s="161">
        <f>SUMIF(Lanç!$C$115:$C$6504,C1436,Lanç!$G$115:$G$6504)</f>
        <v>0</v>
      </c>
      <c r="H1436" s="162">
        <f t="shared" si="80"/>
        <v>0</v>
      </c>
      <c r="I1436" s="162">
        <f t="shared" si="81"/>
        <v>0</v>
      </c>
    </row>
    <row r="1437" spans="1:14" hidden="1">
      <c r="A1437" s="151">
        <f t="shared" si="79"/>
        <v>1</v>
      </c>
      <c r="B1437" s="151" t="s">
        <v>206</v>
      </c>
      <c r="C1437" s="159">
        <v>38812</v>
      </c>
      <c r="D1437" s="160" t="s">
        <v>429</v>
      </c>
      <c r="E1437" s="161">
        <f>SUMIF(Lanç!$C$3:$C$114,C1437,Lanç!$F$3:$F$114)</f>
        <v>0</v>
      </c>
      <c r="F1437" s="161">
        <f>SUMIF(Lanç!$C$115:$C$6504,C1437,Lanç!$F$115:$F$6504)</f>
        <v>0</v>
      </c>
      <c r="G1437" s="161">
        <f>SUMIF(Lanç!$C$115:$C$6504,C1437,Lanç!$G$115:$G$6504)</f>
        <v>0</v>
      </c>
      <c r="H1437" s="162">
        <f t="shared" si="80"/>
        <v>0</v>
      </c>
      <c r="I1437" s="162">
        <f t="shared" si="81"/>
        <v>0</v>
      </c>
    </row>
    <row r="1438" spans="1:14" hidden="1">
      <c r="A1438" s="151">
        <f t="shared" si="79"/>
        <v>1</v>
      </c>
      <c r="B1438" s="155" t="s">
        <v>204</v>
      </c>
      <c r="C1438" s="156">
        <v>389</v>
      </c>
      <c r="D1438" s="157" t="s">
        <v>1058</v>
      </c>
      <c r="E1438" s="158">
        <f t="shared" ref="E1438:G1439" si="82">SUM(E1439)</f>
        <v>0</v>
      </c>
      <c r="F1438" s="158">
        <f t="shared" si="82"/>
        <v>0</v>
      </c>
      <c r="G1438" s="158">
        <f t="shared" si="82"/>
        <v>0</v>
      </c>
      <c r="H1438" s="154">
        <f t="shared" si="80"/>
        <v>0</v>
      </c>
      <c r="I1438" s="154">
        <f t="shared" si="81"/>
        <v>0</v>
      </c>
      <c r="J1438" s="1"/>
      <c r="K1438" s="1"/>
      <c r="L1438" s="1"/>
      <c r="M1438" s="1"/>
      <c r="N1438" s="1"/>
    </row>
    <row r="1439" spans="1:14" hidden="1">
      <c r="A1439" s="151">
        <f t="shared" si="79"/>
        <v>1</v>
      </c>
      <c r="B1439" s="155" t="s">
        <v>204</v>
      </c>
      <c r="C1439" s="156">
        <v>3891</v>
      </c>
      <c r="D1439" s="157" t="s">
        <v>1059</v>
      </c>
      <c r="E1439" s="158">
        <f t="shared" si="82"/>
        <v>0</v>
      </c>
      <c r="F1439" s="158">
        <f t="shared" si="82"/>
        <v>0</v>
      </c>
      <c r="G1439" s="158">
        <f t="shared" si="82"/>
        <v>0</v>
      </c>
      <c r="H1439" s="154">
        <f t="shared" si="80"/>
        <v>0</v>
      </c>
      <c r="I1439" s="154">
        <f t="shared" si="81"/>
        <v>0</v>
      </c>
      <c r="J1439" s="1"/>
      <c r="K1439" s="1"/>
      <c r="L1439" s="1"/>
      <c r="M1439" s="1"/>
      <c r="N1439" s="1"/>
    </row>
    <row r="1440" spans="1:14" hidden="1">
      <c r="A1440" s="151">
        <f t="shared" si="79"/>
        <v>1</v>
      </c>
      <c r="B1440" s="151" t="s">
        <v>206</v>
      </c>
      <c r="C1440" s="159">
        <v>38911</v>
      </c>
      <c r="D1440" s="160" t="s">
        <v>423</v>
      </c>
      <c r="E1440" s="161">
        <f>SUMIF(Lanç!$C$3:$C$114,C1440,Lanç!$F$3:$F$114)</f>
        <v>0</v>
      </c>
      <c r="F1440" s="161">
        <f>SUMIF(Lanç!$C$115:$C$6504,C1440,Lanç!$F$115:$F$6504)</f>
        <v>0</v>
      </c>
      <c r="G1440" s="161">
        <f>SUMIF(Lanç!$C$115:$C$6504,C1440,Lanç!$G$115:$G$6504)</f>
        <v>0</v>
      </c>
      <c r="H1440" s="162">
        <f t="shared" si="80"/>
        <v>0</v>
      </c>
      <c r="I1440" s="162">
        <f t="shared" si="81"/>
        <v>0</v>
      </c>
    </row>
    <row r="1441" spans="1:14" hidden="1">
      <c r="A1441" s="151">
        <f t="shared" si="79"/>
        <v>1</v>
      </c>
      <c r="B1441" s="155" t="s">
        <v>202</v>
      </c>
      <c r="C1441" s="156">
        <v>39</v>
      </c>
      <c r="D1441" s="157" t="s">
        <v>1060</v>
      </c>
      <c r="E1441" s="158">
        <f>SUM(E1442,E1444,E1446,E1448,E1451)</f>
        <v>0</v>
      </c>
      <c r="F1441" s="158">
        <f>SUM(F1442,F1444,F1446,F1448,F1451)</f>
        <v>0</v>
      </c>
      <c r="G1441" s="158">
        <f>SUM(G1442,G1444,G1446,G1448,G1451)</f>
        <v>0</v>
      </c>
      <c r="H1441" s="154">
        <f t="shared" si="80"/>
        <v>0</v>
      </c>
      <c r="I1441" s="154">
        <f t="shared" si="81"/>
        <v>0</v>
      </c>
      <c r="J1441" s="1"/>
      <c r="K1441" s="1"/>
      <c r="L1441" s="1"/>
      <c r="M1441" s="1"/>
      <c r="N1441" s="1"/>
    </row>
    <row r="1442" spans="1:14" hidden="1">
      <c r="A1442" s="151">
        <f t="shared" ref="A1442:A1505" si="83">IF(E1442+F1442+G1442+H1442+I1442=0,1,0)</f>
        <v>1</v>
      </c>
      <c r="B1442" s="155" t="s">
        <v>204</v>
      </c>
      <c r="C1442" s="156">
        <v>391</v>
      </c>
      <c r="D1442" s="157" t="s">
        <v>1061</v>
      </c>
      <c r="E1442" s="158">
        <f>SUM(E1443)</f>
        <v>0</v>
      </c>
      <c r="F1442" s="158">
        <f>SUM(F1443)</f>
        <v>0</v>
      </c>
      <c r="G1442" s="158">
        <f>SUM(G1443)</f>
        <v>0</v>
      </c>
      <c r="H1442" s="154">
        <f t="shared" ref="H1442:H1505" si="84">(F1442)-(G1442)</f>
        <v>0</v>
      </c>
      <c r="I1442" s="154">
        <f t="shared" ref="I1442:I1505" si="85">(E1442)+(H1442)</f>
        <v>0</v>
      </c>
    </row>
    <row r="1443" spans="1:14" hidden="1">
      <c r="A1443" s="151">
        <f t="shared" si="83"/>
        <v>1</v>
      </c>
      <c r="B1443" s="151" t="s">
        <v>206</v>
      </c>
      <c r="C1443" s="159">
        <v>3911</v>
      </c>
      <c r="D1443" s="160" t="s">
        <v>269</v>
      </c>
      <c r="E1443" s="161">
        <f>SUMIF(Lanç!$C$3:$C$114,C1443,Lanç!$F$3:$F$114)</f>
        <v>0</v>
      </c>
      <c r="F1443" s="161">
        <f>SUMIF(Lanç!$C$3:$C$114,D1443,Lanç!$F$3:$F$114)</f>
        <v>0</v>
      </c>
      <c r="G1443" s="161">
        <f>SUMIF(Lanç!$C$3:$C$114,E1443,Lanç!$F$3:$F$114)</f>
        <v>0</v>
      </c>
      <c r="H1443" s="162">
        <f t="shared" si="84"/>
        <v>0</v>
      </c>
      <c r="I1443" s="162">
        <f t="shared" si="85"/>
        <v>0</v>
      </c>
    </row>
    <row r="1444" spans="1:14" hidden="1">
      <c r="A1444" s="151">
        <f t="shared" si="83"/>
        <v>1</v>
      </c>
      <c r="B1444" s="155" t="s">
        <v>204</v>
      </c>
      <c r="C1444" s="156">
        <v>392</v>
      </c>
      <c r="D1444" s="157" t="s">
        <v>1062</v>
      </c>
      <c r="E1444" s="158">
        <f>SUM(E1445)</f>
        <v>0</v>
      </c>
      <c r="F1444" s="158">
        <f>SUM(F1445)</f>
        <v>0</v>
      </c>
      <c r="G1444" s="158">
        <f>SUM(G1445)</f>
        <v>0</v>
      </c>
      <c r="H1444" s="154">
        <f t="shared" si="84"/>
        <v>0</v>
      </c>
      <c r="I1444" s="154">
        <f t="shared" si="85"/>
        <v>0</v>
      </c>
      <c r="J1444" s="1"/>
      <c r="K1444" s="1"/>
      <c r="L1444" s="1"/>
      <c r="M1444" s="1"/>
      <c r="N1444" s="1"/>
    </row>
    <row r="1445" spans="1:14" hidden="1">
      <c r="A1445" s="151">
        <f t="shared" si="83"/>
        <v>1</v>
      </c>
      <c r="B1445" s="151" t="s">
        <v>206</v>
      </c>
      <c r="C1445" s="159">
        <v>3921</v>
      </c>
      <c r="D1445" s="160" t="s">
        <v>269</v>
      </c>
      <c r="E1445" s="161">
        <f>SUMIF(Lanç!$C$3:$C$114,C1445,Lanç!$F$3:$F$114)</f>
        <v>0</v>
      </c>
      <c r="F1445" s="161">
        <f>SUMIF(Lanç!$C$115:$C$6504,C1445,Lanç!$F$115:$F$6504)</f>
        <v>0</v>
      </c>
      <c r="G1445" s="161">
        <f>SUMIF(Lanç!$C$115:$C$6504,C1445,Lanç!$G$115:$G$6504)</f>
        <v>0</v>
      </c>
      <c r="H1445" s="162">
        <f t="shared" si="84"/>
        <v>0</v>
      </c>
      <c r="I1445" s="162">
        <f t="shared" si="85"/>
        <v>0</v>
      </c>
    </row>
    <row r="1446" spans="1:14" hidden="1">
      <c r="A1446" s="151">
        <f t="shared" si="83"/>
        <v>1</v>
      </c>
      <c r="B1446" s="155" t="s">
        <v>204</v>
      </c>
      <c r="C1446" s="156">
        <v>393</v>
      </c>
      <c r="D1446" s="157" t="s">
        <v>1063</v>
      </c>
      <c r="E1446" s="158">
        <f>SUM(E1447)</f>
        <v>0</v>
      </c>
      <c r="F1446" s="158">
        <f>SUM(F1447)</f>
        <v>0</v>
      </c>
      <c r="G1446" s="158">
        <f>SUM(G1447)</f>
        <v>0</v>
      </c>
      <c r="H1446" s="154">
        <f t="shared" si="84"/>
        <v>0</v>
      </c>
      <c r="I1446" s="154">
        <f t="shared" si="85"/>
        <v>0</v>
      </c>
      <c r="J1446" s="1"/>
      <c r="K1446" s="1"/>
      <c r="L1446" s="1"/>
      <c r="M1446" s="1"/>
      <c r="N1446" s="1"/>
    </row>
    <row r="1447" spans="1:14" hidden="1">
      <c r="A1447" s="151">
        <f t="shared" si="83"/>
        <v>1</v>
      </c>
      <c r="B1447" s="151" t="s">
        <v>206</v>
      </c>
      <c r="C1447" s="159">
        <v>3931</v>
      </c>
      <c r="D1447" s="160" t="s">
        <v>269</v>
      </c>
      <c r="E1447" s="161">
        <f>SUMIF(Lanç!$C$3:$C$114,C1447,Lanç!$F$3:$F$114)</f>
        <v>0</v>
      </c>
      <c r="F1447" s="161">
        <f>SUMIF(Lanç!$C$115:$C$6504,C1447,Lanç!$F$115:$F$6504)</f>
        <v>0</v>
      </c>
      <c r="G1447" s="161">
        <f>SUMIF(Lanç!$C$115:$C$6504,C1447,Lanç!$G$115:$G$6504)</f>
        <v>0</v>
      </c>
      <c r="H1447" s="162">
        <f t="shared" si="84"/>
        <v>0</v>
      </c>
      <c r="I1447" s="162">
        <f t="shared" si="85"/>
        <v>0</v>
      </c>
    </row>
    <row r="1448" spans="1:14" hidden="1">
      <c r="A1448" s="151">
        <f t="shared" si="83"/>
        <v>1</v>
      </c>
      <c r="B1448" s="155" t="s">
        <v>204</v>
      </c>
      <c r="C1448" s="156">
        <v>394</v>
      </c>
      <c r="D1448" s="157" t="s">
        <v>1064</v>
      </c>
      <c r="E1448" s="158">
        <f>SUM(E1449:E1450)</f>
        <v>0</v>
      </c>
      <c r="F1448" s="158">
        <f>SUM(F1449:F1450)</f>
        <v>0</v>
      </c>
      <c r="G1448" s="158">
        <f>SUM(G1449:G1450)</f>
        <v>0</v>
      </c>
      <c r="H1448" s="154">
        <f t="shared" si="84"/>
        <v>0</v>
      </c>
      <c r="I1448" s="154">
        <f t="shared" si="85"/>
        <v>0</v>
      </c>
      <c r="J1448" s="1"/>
      <c r="K1448" s="1"/>
      <c r="L1448" s="1"/>
      <c r="M1448" s="1"/>
      <c r="N1448" s="1"/>
    </row>
    <row r="1449" spans="1:14" hidden="1">
      <c r="A1449" s="151">
        <f t="shared" si="83"/>
        <v>1</v>
      </c>
      <c r="B1449" s="151" t="s">
        <v>206</v>
      </c>
      <c r="C1449" s="159">
        <v>3941</v>
      </c>
      <c r="D1449" s="160" t="s">
        <v>269</v>
      </c>
      <c r="E1449" s="161">
        <f>SUMIF(Lanç!$C$3:$C$114,C1449,Lanç!$F$3:$F$114)</f>
        <v>0</v>
      </c>
      <c r="F1449" s="161">
        <f>SUMIF(Lanç!$C$115:$C$6504,C1449,Lanç!$F$115:$F$6504)</f>
        <v>0</v>
      </c>
      <c r="G1449" s="161">
        <f>SUMIF(Lanç!$C$115:$C$6504,C1449,Lanç!$G$115:$G$6504)</f>
        <v>0</v>
      </c>
      <c r="H1449" s="162">
        <f t="shared" si="84"/>
        <v>0</v>
      </c>
      <c r="I1449" s="162">
        <f t="shared" si="85"/>
        <v>0</v>
      </c>
    </row>
    <row r="1450" spans="1:14" hidden="1">
      <c r="A1450" s="151">
        <f t="shared" si="83"/>
        <v>1</v>
      </c>
      <c r="B1450" s="151" t="s">
        <v>206</v>
      </c>
      <c r="C1450" s="159">
        <v>3971001</v>
      </c>
      <c r="D1450" s="160"/>
      <c r="E1450" s="161">
        <f>SUMIF(Lanç!$C$3:$C$114,C1450,Lanç!$F$3:$F$114)</f>
        <v>0</v>
      </c>
      <c r="F1450" s="161">
        <f>SUMIF(Lanç!$C$115:$C$6504,C1450,Lanç!$F$115:$F$6504)</f>
        <v>0</v>
      </c>
      <c r="G1450" s="161">
        <f>SUMIF(Lanç!$C$115:$C$6504,C1450,Lanç!$G$115:$G$6504)</f>
        <v>0</v>
      </c>
      <c r="H1450" s="162">
        <f t="shared" si="84"/>
        <v>0</v>
      </c>
      <c r="I1450" s="162">
        <f t="shared" si="85"/>
        <v>0</v>
      </c>
    </row>
    <row r="1451" spans="1:14" hidden="1">
      <c r="A1451" s="151">
        <f t="shared" si="83"/>
        <v>1</v>
      </c>
      <c r="B1451" s="155" t="s">
        <v>204</v>
      </c>
      <c r="C1451" s="156">
        <v>399</v>
      </c>
      <c r="D1451" s="157" t="s">
        <v>1065</v>
      </c>
      <c r="E1451" s="158">
        <f>SUM(E1452:E1452)</f>
        <v>0</v>
      </c>
      <c r="F1451" s="158">
        <f>SUM(F1452:F1452)</f>
        <v>0</v>
      </c>
      <c r="G1451" s="158">
        <f>SUM(G1452:G1452)</f>
        <v>0</v>
      </c>
      <c r="H1451" s="154">
        <f t="shared" si="84"/>
        <v>0</v>
      </c>
      <c r="I1451" s="154">
        <f t="shared" si="85"/>
        <v>0</v>
      </c>
      <c r="J1451" s="1"/>
      <c r="K1451" s="1"/>
      <c r="L1451" s="1"/>
      <c r="M1451" s="1"/>
      <c r="N1451" s="1"/>
    </row>
    <row r="1452" spans="1:14" hidden="1">
      <c r="A1452" s="151">
        <f t="shared" si="83"/>
        <v>1</v>
      </c>
      <c r="B1452" s="151" t="s">
        <v>206</v>
      </c>
      <c r="C1452" s="159">
        <v>3991</v>
      </c>
      <c r="D1452" s="160" t="s">
        <v>1066</v>
      </c>
      <c r="E1452" s="161">
        <f>SUMIF(Lanç!$C$3:$C$114,C1452,Lanç!$F$3:$F$114)</f>
        <v>0</v>
      </c>
      <c r="F1452" s="161">
        <f>SUMIF(Lanç!$C$115:$C$6504,C1452,Lanç!$F$115:$F$6504)</f>
        <v>0</v>
      </c>
      <c r="G1452" s="161">
        <f>SUMIF(Lanç!$C$115:$C$6504,C1452,Lanç!$G$115:$G$6504)</f>
        <v>0</v>
      </c>
      <c r="H1452" s="162">
        <f t="shared" si="84"/>
        <v>0</v>
      </c>
      <c r="I1452" s="162">
        <f t="shared" si="85"/>
        <v>0</v>
      </c>
    </row>
    <row r="1453" spans="1:14">
      <c r="A1453" s="151">
        <f t="shared" si="83"/>
        <v>0</v>
      </c>
      <c r="B1453" s="152" t="s">
        <v>200</v>
      </c>
      <c r="C1453" s="153">
        <v>4</v>
      </c>
      <c r="D1453" s="164" t="s">
        <v>1067</v>
      </c>
      <c r="E1453" s="165">
        <f>SUM(E1454,E1465,E1476,E1493,E1500,E1521,E1523,E1525,E1530)</f>
        <v>99141178.139999971</v>
      </c>
      <c r="F1453" s="165">
        <f>SUM(F1454,F1465,F1476,F1493,F1500,F1521,F1523,F1525,F1530)</f>
        <v>293073340.75</v>
      </c>
      <c r="G1453" s="165">
        <f>SUM(G1454,G1465,G1476,G1493,G1500,G1521,G1523,G1525,G1530)</f>
        <v>362150991.38000005</v>
      </c>
      <c r="H1453" s="154">
        <f t="shared" si="84"/>
        <v>-69077650.630000055</v>
      </c>
      <c r="I1453" s="154">
        <f t="shared" si="85"/>
        <v>30063527.509999916</v>
      </c>
      <c r="J1453" s="1"/>
      <c r="K1453" s="1"/>
      <c r="L1453" s="1"/>
      <c r="M1453" s="1"/>
      <c r="N1453" s="1"/>
    </row>
    <row r="1454" spans="1:14" hidden="1">
      <c r="A1454" s="151">
        <f t="shared" si="83"/>
        <v>1</v>
      </c>
      <c r="B1454" s="155" t="s">
        <v>202</v>
      </c>
      <c r="C1454" s="156">
        <v>41</v>
      </c>
      <c r="D1454" s="157" t="s">
        <v>1068</v>
      </c>
      <c r="E1454" s="158">
        <f>SUM(E1455,E1459,E1463)</f>
        <v>0</v>
      </c>
      <c r="F1454" s="158">
        <f>SUMIF(Lanç!$C$115:$C$6504,C1454,Lanç!$F$115:$F$6504)</f>
        <v>0</v>
      </c>
      <c r="G1454" s="158">
        <f>SUMIF(Lanç!$C$115:$C$6504,C1454,Lanç!$G$115:$G$6504)</f>
        <v>0</v>
      </c>
      <c r="H1454" s="154">
        <f t="shared" si="84"/>
        <v>0</v>
      </c>
      <c r="I1454" s="154">
        <f t="shared" si="85"/>
        <v>0</v>
      </c>
    </row>
    <row r="1455" spans="1:14" hidden="1">
      <c r="A1455" s="151">
        <f t="shared" si="83"/>
        <v>1</v>
      </c>
      <c r="B1455" s="155" t="s">
        <v>204</v>
      </c>
      <c r="C1455" s="156">
        <v>411</v>
      </c>
      <c r="D1455" s="157" t="s">
        <v>1069</v>
      </c>
      <c r="E1455" s="158">
        <f>SUM(E1456:E1458)</f>
        <v>0</v>
      </c>
      <c r="F1455" s="158">
        <f>SUM(F1456:F1458)</f>
        <v>0</v>
      </c>
      <c r="G1455" s="158">
        <f>SUM(G1456:G1458)</f>
        <v>0</v>
      </c>
      <c r="H1455" s="154">
        <f t="shared" si="84"/>
        <v>0</v>
      </c>
      <c r="I1455" s="154">
        <f t="shared" si="85"/>
        <v>0</v>
      </c>
    </row>
    <row r="1456" spans="1:14" hidden="1">
      <c r="A1456" s="151">
        <f t="shared" si="83"/>
        <v>1</v>
      </c>
      <c r="B1456" s="151" t="s">
        <v>206</v>
      </c>
      <c r="C1456" s="159">
        <v>4111</v>
      </c>
      <c r="D1456" s="160" t="s">
        <v>1070</v>
      </c>
      <c r="E1456" s="161">
        <f>SUMIF(Lanç!$C$3:$C$114,C1456,Lanç!$F$3:$F$114)</f>
        <v>0</v>
      </c>
      <c r="F1456" s="161">
        <f>SUMIF(Lanç!$C$115:$C$6504,C1456,Lanç!$F$115:$F$6504)</f>
        <v>0</v>
      </c>
      <c r="G1456" s="161">
        <f>SUMIF(Lanç!$C$115:$C$6504,C1456,Lanç!$G$115:$G$6504)</f>
        <v>0</v>
      </c>
      <c r="H1456" s="162">
        <f t="shared" si="84"/>
        <v>0</v>
      </c>
      <c r="I1456" s="162">
        <f t="shared" si="85"/>
        <v>0</v>
      </c>
    </row>
    <row r="1457" spans="1:14" hidden="1">
      <c r="A1457" s="151">
        <f t="shared" si="83"/>
        <v>1</v>
      </c>
      <c r="B1457" s="151" t="s">
        <v>206</v>
      </c>
      <c r="C1457" s="159">
        <v>4112</v>
      </c>
      <c r="D1457" s="160" t="s">
        <v>428</v>
      </c>
      <c r="E1457" s="161">
        <f>SUMIF(Lanç!$C$3:$C$114,C1457,Lanç!$F$3:$F$114)</f>
        <v>0</v>
      </c>
      <c r="F1457" s="161">
        <f>SUMIF(Lanç!$C$115:$C$6504,C1457,Lanç!$F$115:$F$6504)</f>
        <v>0</v>
      </c>
      <c r="G1457" s="161">
        <f>SUMIF(Lanç!$C$115:$C$6504,C1457,Lanç!$G$115:$G$6504)</f>
        <v>0</v>
      </c>
      <c r="H1457" s="162">
        <f t="shared" si="84"/>
        <v>0</v>
      </c>
      <c r="I1457" s="162">
        <f t="shared" si="85"/>
        <v>0</v>
      </c>
    </row>
    <row r="1458" spans="1:14" hidden="1">
      <c r="A1458" s="151">
        <f t="shared" si="83"/>
        <v>1</v>
      </c>
      <c r="B1458" s="151" t="s">
        <v>206</v>
      </c>
      <c r="C1458" s="159">
        <v>4113</v>
      </c>
      <c r="D1458" s="160" t="s">
        <v>267</v>
      </c>
      <c r="E1458" s="161">
        <f>SUMIF(Lanç!$C$3:$C$114,C1458,Lanç!$F$3:$F$114)</f>
        <v>0</v>
      </c>
      <c r="F1458" s="161">
        <f>SUMIF(Lanç!$C$115:$C$6504,C1458,Lanç!$F$115:$F$6504)</f>
        <v>0</v>
      </c>
      <c r="G1458" s="161">
        <f>SUMIF(Lanç!$C$115:$C$6504,C1458,Lanç!$G$115:$G$6504)</f>
        <v>0</v>
      </c>
      <c r="H1458" s="162">
        <f t="shared" si="84"/>
        <v>0</v>
      </c>
      <c r="I1458" s="162">
        <f t="shared" si="85"/>
        <v>0</v>
      </c>
      <c r="J1458" s="1"/>
      <c r="K1458" s="1"/>
      <c r="L1458" s="1"/>
      <c r="M1458" s="1"/>
      <c r="N1458" s="1"/>
    </row>
    <row r="1459" spans="1:14" hidden="1">
      <c r="A1459" s="151">
        <f t="shared" si="83"/>
        <v>1</v>
      </c>
      <c r="B1459" s="155" t="s">
        <v>204</v>
      </c>
      <c r="C1459" s="156">
        <v>412</v>
      </c>
      <c r="D1459" s="157" t="s">
        <v>1071</v>
      </c>
      <c r="E1459" s="158">
        <f>SUM(E1460:E1462)</f>
        <v>0</v>
      </c>
      <c r="F1459" s="158">
        <f>SUM(F1460:F1462)</f>
        <v>0</v>
      </c>
      <c r="G1459" s="158">
        <f>SUM(G1460:G1462)</f>
        <v>0</v>
      </c>
      <c r="H1459" s="154">
        <f t="shared" si="84"/>
        <v>0</v>
      </c>
      <c r="I1459" s="154">
        <f t="shared" si="85"/>
        <v>0</v>
      </c>
    </row>
    <row r="1460" spans="1:14" hidden="1">
      <c r="A1460" s="151">
        <f t="shared" si="83"/>
        <v>1</v>
      </c>
      <c r="B1460" s="151" t="s">
        <v>206</v>
      </c>
      <c r="C1460" s="159">
        <v>4121</v>
      </c>
      <c r="D1460" s="160" t="s">
        <v>1072</v>
      </c>
      <c r="E1460" s="161">
        <f>SUMIF(Lanç!$C$3:$C$114,C1460,Lanç!$F$3:$F$114)</f>
        <v>0</v>
      </c>
      <c r="F1460" s="161">
        <f>SUMIF(Lanç!$C$115:$C$6504,C1460,Lanç!$F$115:$F$6504)</f>
        <v>0</v>
      </c>
      <c r="G1460" s="161">
        <f>SUMIF(Lanç!$C$115:$C$6504,C1460,Lanç!$G$115:$G$6504)</f>
        <v>0</v>
      </c>
      <c r="H1460" s="162">
        <f t="shared" si="84"/>
        <v>0</v>
      </c>
      <c r="I1460" s="162">
        <f t="shared" si="85"/>
        <v>0</v>
      </c>
    </row>
    <row r="1461" spans="1:14" hidden="1">
      <c r="A1461" s="151">
        <f t="shared" si="83"/>
        <v>1</v>
      </c>
      <c r="B1461" s="151" t="s">
        <v>206</v>
      </c>
      <c r="C1461" s="159">
        <v>4122</v>
      </c>
      <c r="D1461" s="160" t="s">
        <v>428</v>
      </c>
      <c r="E1461" s="161">
        <f>SUMIF(Lanç!$C$3:$C$114,C1461,Lanç!$F$3:$F$114)</f>
        <v>0</v>
      </c>
      <c r="F1461" s="161">
        <f>SUMIF(Lanç!$C$115:$C$6504,C1461,Lanç!$F$115:$F$6504)</f>
        <v>0</v>
      </c>
      <c r="G1461" s="161">
        <f>SUMIF(Lanç!$C$115:$C$6504,C1461,Lanç!$G$115:$G$6504)</f>
        <v>0</v>
      </c>
      <c r="H1461" s="162">
        <f t="shared" si="84"/>
        <v>0</v>
      </c>
      <c r="I1461" s="162">
        <f t="shared" si="85"/>
        <v>0</v>
      </c>
    </row>
    <row r="1462" spans="1:14" hidden="1">
      <c r="A1462" s="151">
        <f t="shared" si="83"/>
        <v>1</v>
      </c>
      <c r="B1462" s="151" t="s">
        <v>206</v>
      </c>
      <c r="C1462" s="159">
        <v>4123</v>
      </c>
      <c r="D1462" s="160" t="s">
        <v>267</v>
      </c>
      <c r="E1462" s="161">
        <f>SUMIF(Lanç!$C$3:$C$114,C1462,Lanç!$F$3:$F$114)</f>
        <v>0</v>
      </c>
      <c r="F1462" s="161">
        <f>SUMIF(Lanç!$C$115:$C$6504,C1462,Lanç!$F$115:$F$6504)</f>
        <v>0</v>
      </c>
      <c r="G1462" s="161">
        <f>SUMIF(Lanç!$C$115:$C$6504,C1462,Lanç!$G$115:$G$6504)</f>
        <v>0</v>
      </c>
      <c r="H1462" s="162">
        <f t="shared" si="84"/>
        <v>0</v>
      </c>
      <c r="I1462" s="162">
        <f t="shared" si="85"/>
        <v>0</v>
      </c>
      <c r="J1462" s="1"/>
      <c r="K1462" s="1"/>
      <c r="L1462" s="1"/>
      <c r="M1462" s="1"/>
      <c r="N1462" s="1"/>
    </row>
    <row r="1463" spans="1:14" hidden="1">
      <c r="A1463" s="151">
        <f t="shared" si="83"/>
        <v>1</v>
      </c>
      <c r="B1463" s="155" t="s">
        <v>204</v>
      </c>
      <c r="C1463" s="156">
        <v>413</v>
      </c>
      <c r="D1463" s="157" t="s">
        <v>1073</v>
      </c>
      <c r="E1463" s="158">
        <f>SUM(E1464)</f>
        <v>0</v>
      </c>
      <c r="F1463" s="158">
        <f>SUM(F1464)</f>
        <v>0</v>
      </c>
      <c r="G1463" s="158">
        <f>SUM(G1464)</f>
        <v>0</v>
      </c>
      <c r="H1463" s="154">
        <f t="shared" si="84"/>
        <v>0</v>
      </c>
      <c r="I1463" s="154">
        <f t="shared" si="85"/>
        <v>0</v>
      </c>
    </row>
    <row r="1464" spans="1:14" hidden="1">
      <c r="A1464" s="151">
        <f t="shared" si="83"/>
        <v>1</v>
      </c>
      <c r="B1464" s="151" t="s">
        <v>206</v>
      </c>
      <c r="C1464" s="159">
        <v>4131</v>
      </c>
      <c r="D1464" s="160" t="s">
        <v>269</v>
      </c>
      <c r="E1464" s="161">
        <f>SUMIF(Lanç!$C$3:$C$114,C1464,Lanç!$F$3:$F$114)</f>
        <v>0</v>
      </c>
      <c r="F1464" s="161">
        <f>SUMIF(Lanç!$C$115:$C$6504,C1464,Lanç!$F$115:$F$6504)</f>
        <v>0</v>
      </c>
      <c r="G1464" s="161">
        <f>SUMIF(Lanç!$C$115:$C$6504,C1464,Lanç!$G$115:$G$6504)</f>
        <v>0</v>
      </c>
      <c r="H1464" s="162">
        <f t="shared" si="84"/>
        <v>0</v>
      </c>
      <c r="I1464" s="162">
        <f t="shared" si="85"/>
        <v>0</v>
      </c>
      <c r="J1464" s="1"/>
      <c r="K1464" s="1"/>
      <c r="L1464" s="1"/>
      <c r="M1464" s="1"/>
      <c r="N1464" s="1"/>
    </row>
    <row r="1465" spans="1:14">
      <c r="A1465" s="151">
        <f t="shared" si="83"/>
        <v>0</v>
      </c>
      <c r="B1465" s="155" t="s">
        <v>202</v>
      </c>
      <c r="C1465" s="156">
        <v>42</v>
      </c>
      <c r="D1465" s="157" t="s">
        <v>1074</v>
      </c>
      <c r="E1465" s="158">
        <f>SUM(E1466,E1470)</f>
        <v>250000</v>
      </c>
      <c r="F1465" s="158">
        <f>SUM(F1466,F1470)</f>
        <v>0</v>
      </c>
      <c r="G1465" s="158">
        <f>SUM(G1466,G1470)</f>
        <v>0</v>
      </c>
      <c r="H1465" s="154">
        <f t="shared" si="84"/>
        <v>0</v>
      </c>
      <c r="I1465" s="154">
        <f t="shared" si="85"/>
        <v>250000</v>
      </c>
    </row>
    <row r="1466" spans="1:14">
      <c r="A1466" s="151">
        <f t="shared" si="83"/>
        <v>0</v>
      </c>
      <c r="B1466" s="155" t="s">
        <v>204</v>
      </c>
      <c r="C1466" s="156">
        <v>421</v>
      </c>
      <c r="D1466" s="157" t="s">
        <v>1075</v>
      </c>
      <c r="E1466" s="158">
        <f>SUM(E1467:E1469)</f>
        <v>250000</v>
      </c>
      <c r="F1466" s="158">
        <f>SUM(F1467:F1469)</f>
        <v>0</v>
      </c>
      <c r="G1466" s="158">
        <f>SUM(G1467:G1469)</f>
        <v>0</v>
      </c>
      <c r="H1466" s="154">
        <f t="shared" si="84"/>
        <v>0</v>
      </c>
      <c r="I1466" s="154">
        <f t="shared" si="85"/>
        <v>250000</v>
      </c>
    </row>
    <row r="1467" spans="1:14" hidden="1">
      <c r="A1467" s="151">
        <f t="shared" si="83"/>
        <v>1</v>
      </c>
      <c r="B1467" s="151" t="s">
        <v>206</v>
      </c>
      <c r="C1467" s="159">
        <v>42101</v>
      </c>
      <c r="D1467" s="160" t="s">
        <v>1076</v>
      </c>
      <c r="E1467" s="161">
        <f>SUMIF(Lanç!$C$3:$C$114,C1467,Lanç!$F$3:$F$114)</f>
        <v>0</v>
      </c>
      <c r="F1467" s="161">
        <f>SUMIF(Lanç!$C$115:$C$6504,C1467,Lanç!$F$115:$F$6504)</f>
        <v>0</v>
      </c>
      <c r="G1467" s="161">
        <f>SUMIF(Lanç!$C$115:$C$6504,C1467,Lanç!$G$115:$G$6504)</f>
        <v>0</v>
      </c>
      <c r="H1467" s="162">
        <f t="shared" si="84"/>
        <v>0</v>
      </c>
      <c r="I1467" s="162">
        <f t="shared" si="85"/>
        <v>0</v>
      </c>
    </row>
    <row r="1468" spans="1:14" hidden="1">
      <c r="A1468" s="151">
        <f t="shared" si="83"/>
        <v>1</v>
      </c>
      <c r="B1468" s="151" t="s">
        <v>206</v>
      </c>
      <c r="C1468" s="159">
        <v>42102</v>
      </c>
      <c r="D1468" s="160" t="s">
        <v>1077</v>
      </c>
      <c r="E1468" s="161">
        <f>SUMIF(Lanç!$C$3:$C$114,C1468,Lanç!$F$3:$F$114)</f>
        <v>0</v>
      </c>
      <c r="F1468" s="161">
        <f>SUMIF(Lanç!$C$115:$C$6504,C1468,Lanç!$F$115:$F$6504)</f>
        <v>0</v>
      </c>
      <c r="G1468" s="161">
        <f>SUMIF(Lanç!$C$115:$C$6504,C1468,Lanç!$G$115:$G$6504)</f>
        <v>0</v>
      </c>
      <c r="H1468" s="162">
        <f t="shared" si="84"/>
        <v>0</v>
      </c>
      <c r="I1468" s="162">
        <f t="shared" si="85"/>
        <v>0</v>
      </c>
    </row>
    <row r="1469" spans="1:14">
      <c r="A1469" s="151">
        <f t="shared" si="83"/>
        <v>0</v>
      </c>
      <c r="B1469" s="151" t="s">
        <v>206</v>
      </c>
      <c r="C1469" s="159">
        <v>42103</v>
      </c>
      <c r="D1469" s="160" t="s">
        <v>1078</v>
      </c>
      <c r="E1469" s="161">
        <f>SUMIF(Lanç!C3:C114,C1469,Lanç!F3:F114)</f>
        <v>250000</v>
      </c>
      <c r="F1469" s="161">
        <f>SUMIF(Lanç!C115:C6504,C1469,Lanç!F115:F6504)</f>
        <v>0</v>
      </c>
      <c r="G1469" s="161">
        <f>SUMIF(Lanç!C115:C6504,C1469,Lanç!G115:G6504)</f>
        <v>0</v>
      </c>
      <c r="H1469" s="162">
        <f t="shared" si="84"/>
        <v>0</v>
      </c>
      <c r="I1469" s="162">
        <f t="shared" si="85"/>
        <v>250000</v>
      </c>
      <c r="J1469" s="1"/>
      <c r="K1469" s="1"/>
      <c r="L1469" s="1"/>
      <c r="M1469" s="1"/>
      <c r="N1469" s="1"/>
    </row>
    <row r="1470" spans="1:14" hidden="1">
      <c r="A1470" s="151">
        <f t="shared" si="83"/>
        <v>1</v>
      </c>
      <c r="B1470" s="155" t="s">
        <v>204</v>
      </c>
      <c r="C1470" s="156">
        <v>422</v>
      </c>
      <c r="D1470" s="157" t="s">
        <v>816</v>
      </c>
      <c r="E1470" s="158">
        <f>SUM(E1471:E1475)</f>
        <v>0</v>
      </c>
      <c r="F1470" s="158">
        <f>SUM(F1471:F1475)</f>
        <v>0</v>
      </c>
      <c r="G1470" s="158">
        <f>SUM(G1471:G1475)</f>
        <v>0</v>
      </c>
      <c r="H1470" s="154">
        <f t="shared" si="84"/>
        <v>0</v>
      </c>
      <c r="I1470" s="154">
        <f t="shared" si="85"/>
        <v>0</v>
      </c>
    </row>
    <row r="1471" spans="1:14" hidden="1">
      <c r="A1471" s="151">
        <f t="shared" si="83"/>
        <v>1</v>
      </c>
      <c r="B1471" s="151" t="s">
        <v>206</v>
      </c>
      <c r="C1471" s="159">
        <v>42201</v>
      </c>
      <c r="D1471" s="160" t="s">
        <v>1079</v>
      </c>
      <c r="E1471" s="161">
        <f>SUMIF(Lanç!$C$3:$C$114,C1471,Lanç!$F$3:$F$114)</f>
        <v>0</v>
      </c>
      <c r="F1471" s="161">
        <f>SUMIF(Lanç!$C$115:$C$6504,C1471,Lanç!$F$115:$F$6504)</f>
        <v>0</v>
      </c>
      <c r="G1471" s="161">
        <f>SUMIF(Lanç!$C$115:$C$6504,C1471,Lanç!$G$115:$G$6504)</f>
        <v>0</v>
      </c>
      <c r="H1471" s="162">
        <f t="shared" si="84"/>
        <v>0</v>
      </c>
      <c r="I1471" s="162">
        <f t="shared" si="85"/>
        <v>0</v>
      </c>
    </row>
    <row r="1472" spans="1:14" hidden="1">
      <c r="A1472" s="151">
        <f t="shared" si="83"/>
        <v>1</v>
      </c>
      <c r="B1472" s="151" t="s">
        <v>206</v>
      </c>
      <c r="C1472" s="159">
        <v>42202</v>
      </c>
      <c r="D1472" s="160" t="s">
        <v>1079</v>
      </c>
      <c r="E1472" s="161">
        <f>SUMIF(Lanç!$C$3:$C$114,C1472,Lanç!$F$3:$F$114)</f>
        <v>0</v>
      </c>
      <c r="F1472" s="161">
        <f>SUMIF(Lanç!$C$115:$C$6504,C1472,Lanç!$F$115:$F$6504)</f>
        <v>0</v>
      </c>
      <c r="G1472" s="161">
        <f>SUMIF(Lanç!$C$115:$C$6504,C1472,Lanç!$G$115:$G$6504)</f>
        <v>0</v>
      </c>
      <c r="H1472" s="162">
        <f t="shared" si="84"/>
        <v>0</v>
      </c>
      <c r="I1472" s="162">
        <f t="shared" si="85"/>
        <v>0</v>
      </c>
    </row>
    <row r="1473" spans="1:14" hidden="1">
      <c r="A1473" s="151">
        <f t="shared" si="83"/>
        <v>1</v>
      </c>
      <c r="B1473" s="151" t="s">
        <v>206</v>
      </c>
      <c r="C1473" s="159">
        <v>424</v>
      </c>
      <c r="D1473" s="160" t="s">
        <v>1080</v>
      </c>
      <c r="E1473" s="161">
        <f>SUMIF(Lanç!$C$3:$C$114,C1473,Lanç!$F$3:$F$114)</f>
        <v>0</v>
      </c>
      <c r="F1473" s="161">
        <f>SUMIF(Lanç!$C$115:$C$6504,C1473,Lanç!$F$115:$F$6504)</f>
        <v>0</v>
      </c>
      <c r="G1473" s="161">
        <f>SUMIF(Lanç!$C$115:$C$6504,C1473,Lanç!$G$115:$G$6504)</f>
        <v>0</v>
      </c>
      <c r="H1473" s="162">
        <f t="shared" si="84"/>
        <v>0</v>
      </c>
      <c r="I1473" s="162">
        <f t="shared" si="85"/>
        <v>0</v>
      </c>
    </row>
    <row r="1474" spans="1:14" hidden="1">
      <c r="A1474" s="151">
        <f t="shared" si="83"/>
        <v>1</v>
      </c>
      <c r="B1474" s="151" t="s">
        <v>206</v>
      </c>
      <c r="C1474" s="159">
        <v>425</v>
      </c>
      <c r="D1474" s="160" t="s">
        <v>1081</v>
      </c>
      <c r="E1474" s="161">
        <f>SUMIF(Lanç!$C$3:$C$114,C1474,Lanç!$F$3:$F$114)</f>
        <v>0</v>
      </c>
      <c r="F1474" s="161">
        <f>SUMIF(Lanç!$C$115:$C$6504,C1474,Lanç!$F$115:$F$6504)</f>
        <v>0</v>
      </c>
      <c r="G1474" s="161">
        <f>SUMIF(Lanç!$C$115:$C$6504,C1474,Lanç!$G$115:$G$6504)</f>
        <v>0</v>
      </c>
      <c r="H1474" s="162">
        <f t="shared" si="84"/>
        <v>0</v>
      </c>
      <c r="I1474" s="162">
        <f t="shared" si="85"/>
        <v>0</v>
      </c>
    </row>
    <row r="1475" spans="1:14" hidden="1">
      <c r="A1475" s="151">
        <f t="shared" si="83"/>
        <v>1</v>
      </c>
      <c r="B1475" s="151" t="s">
        <v>206</v>
      </c>
      <c r="C1475" s="159">
        <v>426</v>
      </c>
      <c r="D1475" s="160" t="s">
        <v>1082</v>
      </c>
      <c r="E1475" s="161">
        <f>SUMIF(Lanç!$C$3:$C$114,C1475,Lanç!$F$3:$F$114)</f>
        <v>0</v>
      </c>
      <c r="F1475" s="161">
        <f>SUMIF(Lanç!$C$115:$C$6504,C1475,Lanç!$F$115:$F$6504)</f>
        <v>0</v>
      </c>
      <c r="G1475" s="161">
        <f>SUMIF(Lanç!$C$115:$C$6504,C1475,Lanç!$G$115:$G$6504)</f>
        <v>0</v>
      </c>
      <c r="H1475" s="162">
        <f t="shared" si="84"/>
        <v>0</v>
      </c>
      <c r="I1475" s="162">
        <f t="shared" si="85"/>
        <v>0</v>
      </c>
      <c r="J1475" s="1"/>
      <c r="K1475" s="1"/>
      <c r="L1475" s="1"/>
      <c r="M1475" s="1"/>
      <c r="N1475" s="1"/>
    </row>
    <row r="1476" spans="1:14">
      <c r="A1476" s="151">
        <f t="shared" si="83"/>
        <v>0</v>
      </c>
      <c r="B1476" s="155" t="s">
        <v>202</v>
      </c>
      <c r="C1476" s="156">
        <v>43</v>
      </c>
      <c r="D1476" s="157" t="s">
        <v>1083</v>
      </c>
      <c r="E1476" s="158">
        <f>SUM(E1477,E1488)</f>
        <v>95694617.029999971</v>
      </c>
      <c r="F1476" s="158">
        <f>SUM(F1477,F1488)</f>
        <v>285482023.64999998</v>
      </c>
      <c r="G1476" s="158">
        <f>SUM(G1477,G1488)</f>
        <v>351353811.71000004</v>
      </c>
      <c r="H1476" s="154">
        <f t="shared" si="84"/>
        <v>-65871788.060000062</v>
      </c>
      <c r="I1476" s="154">
        <f t="shared" si="85"/>
        <v>29822828.969999909</v>
      </c>
    </row>
    <row r="1477" spans="1:14">
      <c r="A1477" s="151">
        <f t="shared" si="83"/>
        <v>0</v>
      </c>
      <c r="B1477" s="155" t="s">
        <v>204</v>
      </c>
      <c r="C1477" s="156">
        <v>431</v>
      </c>
      <c r="D1477" s="157" t="s">
        <v>1075</v>
      </c>
      <c r="E1477" s="158">
        <f>SUM(E1478:E1487)</f>
        <v>95688821.389999971</v>
      </c>
      <c r="F1477" s="158">
        <f>SUM(F1478:F1487)</f>
        <v>285482023.64999998</v>
      </c>
      <c r="G1477" s="158">
        <f>SUM(G1478:G1487)</f>
        <v>351353811.71000004</v>
      </c>
      <c r="H1477" s="154">
        <f t="shared" si="84"/>
        <v>-65871788.060000062</v>
      </c>
      <c r="I1477" s="154">
        <f t="shared" si="85"/>
        <v>29817033.329999909</v>
      </c>
    </row>
    <row r="1478" spans="1:14">
      <c r="A1478" s="151">
        <f t="shared" si="83"/>
        <v>0</v>
      </c>
      <c r="B1478" s="151" t="s">
        <v>206</v>
      </c>
      <c r="C1478" s="159">
        <v>43101</v>
      </c>
      <c r="D1478" s="160" t="s">
        <v>1084</v>
      </c>
      <c r="E1478" s="161">
        <f>SUMIF(Lanç!C3:C114,C1478,Lanç!F3:F114)</f>
        <v>2616587.2899999842</v>
      </c>
      <c r="F1478" s="161">
        <f>SUMIF(Lanç!C115:C6504,C1478,Lanç!F115:F6504)</f>
        <v>7800000</v>
      </c>
      <c r="G1478" s="161">
        <f>SUMIF(Lanç!C115:C6504,C1478,Lanç!G115:G6504)</f>
        <v>9499365.9100000001</v>
      </c>
      <c r="H1478" s="162">
        <f t="shared" si="84"/>
        <v>-1699365.9100000001</v>
      </c>
      <c r="I1478" s="162">
        <f t="shared" si="85"/>
        <v>917221.37999998406</v>
      </c>
    </row>
    <row r="1479" spans="1:14">
      <c r="A1479" s="151">
        <f t="shared" si="83"/>
        <v>0</v>
      </c>
      <c r="B1479" s="151" t="s">
        <v>206</v>
      </c>
      <c r="C1479" s="159">
        <v>43102</v>
      </c>
      <c r="D1479" s="160" t="s">
        <v>1085</v>
      </c>
      <c r="E1479" s="161">
        <f>SUMIF(Lanç!C3:C114,C1479,Lanç!F3:F114)</f>
        <v>54325.089999998214</v>
      </c>
      <c r="F1479" s="161">
        <f>SUMIF(Lanç!C115:C6504,C1479,Lanç!F115:F6504)</f>
        <v>0</v>
      </c>
      <c r="G1479" s="161">
        <f>SUMIF(Lanç!C115:C6504,C1479,Lanç!G115:G6504)</f>
        <v>0</v>
      </c>
      <c r="H1479" s="162">
        <f t="shared" si="84"/>
        <v>0</v>
      </c>
      <c r="I1479" s="162">
        <f t="shared" si="85"/>
        <v>54325.089999998214</v>
      </c>
    </row>
    <row r="1480" spans="1:14">
      <c r="A1480" s="151">
        <f t="shared" si="83"/>
        <v>0</v>
      </c>
      <c r="B1480" s="151" t="s">
        <v>206</v>
      </c>
      <c r="C1480" s="159">
        <v>43103</v>
      </c>
      <c r="D1480" s="160" t="s">
        <v>1086</v>
      </c>
      <c r="E1480" s="161">
        <f>SUMIF(Lanç!C3:C114,C1480,Lanç!F3:F114)</f>
        <v>65126623.799999997</v>
      </c>
      <c r="F1480" s="161">
        <f>SUMIF(Lanç!C115:C6504,C1480,Lanç!F115:F6504)</f>
        <v>82301460.030000001</v>
      </c>
      <c r="G1480" s="161">
        <f>SUMIF(Lanç!C115:C6504,C1480,Lanç!G115:G6504)</f>
        <v>129974728.69000001</v>
      </c>
      <c r="H1480" s="162">
        <f t="shared" si="84"/>
        <v>-47673268.660000011</v>
      </c>
      <c r="I1480" s="162">
        <f t="shared" si="85"/>
        <v>17453355.139999986</v>
      </c>
    </row>
    <row r="1481" spans="1:14" hidden="1">
      <c r="A1481" s="151">
        <f t="shared" si="83"/>
        <v>1</v>
      </c>
      <c r="B1481" s="151" t="s">
        <v>206</v>
      </c>
      <c r="C1481" s="159">
        <v>43104</v>
      </c>
      <c r="D1481" s="160" t="s">
        <v>1087</v>
      </c>
      <c r="E1481" s="161">
        <f>SUMIF(Lanç!$C$3:$C$114,C1481,Lanç!$F$3:$F$114)</f>
        <v>0</v>
      </c>
      <c r="F1481" s="161">
        <f>SUMIF(Lanç!$C$115:$C$6504,C1481,Lanç!$F$115:$F$6504)</f>
        <v>0</v>
      </c>
      <c r="G1481" s="161">
        <f>SUMIF(Lanç!$C$115:$C$6504,C1481,Lanç!$G$115:$G$6504)</f>
        <v>0</v>
      </c>
      <c r="H1481" s="162">
        <f t="shared" si="84"/>
        <v>0</v>
      </c>
      <c r="I1481" s="162">
        <f t="shared" si="85"/>
        <v>0</v>
      </c>
    </row>
    <row r="1482" spans="1:14" hidden="1">
      <c r="A1482" s="151">
        <f t="shared" si="83"/>
        <v>1</v>
      </c>
      <c r="B1482" s="151" t="s">
        <v>206</v>
      </c>
      <c r="C1482" s="159">
        <v>43105</v>
      </c>
      <c r="D1482" s="160" t="s">
        <v>1088</v>
      </c>
      <c r="E1482" s="161">
        <f>SUMIF(Lanç!C3:C114,C1482,Lanç!F3:F114)</f>
        <v>0</v>
      </c>
      <c r="F1482" s="161">
        <f>SUMIF(Lanç!C115:C6504,C1482,Lanç!F115:F6504)</f>
        <v>0</v>
      </c>
      <c r="G1482" s="161">
        <f>SUMIF(Lanç!C115:C6504,C1482,Lanç!G115:G6504)</f>
        <v>0</v>
      </c>
      <c r="H1482" s="162">
        <f t="shared" si="84"/>
        <v>0</v>
      </c>
      <c r="I1482" s="162">
        <f t="shared" si="85"/>
        <v>0</v>
      </c>
    </row>
    <row r="1483" spans="1:14">
      <c r="A1483" s="151">
        <f t="shared" si="83"/>
        <v>0</v>
      </c>
      <c r="B1483" s="151" t="s">
        <v>206</v>
      </c>
      <c r="C1483" s="159">
        <v>43106</v>
      </c>
      <c r="D1483" s="160" t="s">
        <v>1089</v>
      </c>
      <c r="E1483" s="161">
        <f>SUMIF(Lanç!C3:C114,C1483,Lanç!F3:F114)</f>
        <v>27869926.880000003</v>
      </c>
      <c r="F1483" s="161">
        <f>SUMIF(Lanç!C115:C6504,C1483,Lanç!F115:F6504)</f>
        <v>195380563.62</v>
      </c>
      <c r="G1483" s="161">
        <f>SUMIF(Lanç!C115:C6504,C1483,Lanç!G115:G6504)</f>
        <v>211879717.11000001</v>
      </c>
      <c r="H1483" s="162">
        <f t="shared" si="84"/>
        <v>-16499153.49000001</v>
      </c>
      <c r="I1483" s="162">
        <f t="shared" si="85"/>
        <v>11370773.389999993</v>
      </c>
    </row>
    <row r="1484" spans="1:14">
      <c r="A1484" s="151">
        <f t="shared" si="83"/>
        <v>0</v>
      </c>
      <c r="B1484" s="151" t="s">
        <v>206</v>
      </c>
      <c r="C1484" s="159">
        <v>43107</v>
      </c>
      <c r="D1484" s="160" t="s">
        <v>1090</v>
      </c>
      <c r="E1484" s="161">
        <f>SUMIF(Lanç!C3:C114,C1484,Lanç!F3:F114)</f>
        <v>21358.030000000006</v>
      </c>
      <c r="F1484" s="161">
        <f>SUMIF(Lanç!C115:C6504,C1484,Lanç!F115:F6504)</f>
        <v>0</v>
      </c>
      <c r="G1484" s="161">
        <f>SUMIF(Lanç!C115:C6504,C1484,Lanç!G115:G6504)</f>
        <v>0</v>
      </c>
      <c r="H1484" s="162">
        <f t="shared" si="84"/>
        <v>0</v>
      </c>
      <c r="I1484" s="162">
        <f t="shared" si="85"/>
        <v>21358.030000000006</v>
      </c>
    </row>
    <row r="1485" spans="1:14">
      <c r="A1485" s="151">
        <f t="shared" si="83"/>
        <v>0</v>
      </c>
      <c r="B1485" s="151" t="s">
        <v>206</v>
      </c>
      <c r="C1485" s="159">
        <v>43108</v>
      </c>
      <c r="D1485" s="160" t="s">
        <v>1091</v>
      </c>
      <c r="E1485" s="161">
        <f>SUMIF(Lanç!$C$3:$C$114,C1485,Lanç!$F$3:$F$114)</f>
        <v>0.29999999888241291</v>
      </c>
      <c r="F1485" s="161">
        <f>SUMIF(Lanç!$C$115:$C$6504,C1485,Lanç!$F$115:$F$6504)</f>
        <v>0</v>
      </c>
      <c r="G1485" s="161">
        <f>SUMIF(Lanç!$C$115:$C$6504,C1485,Lanç!$G$115:$G$6504)</f>
        <v>0</v>
      </c>
      <c r="H1485" s="162">
        <f t="shared" si="84"/>
        <v>0</v>
      </c>
      <c r="I1485" s="162">
        <f t="shared" si="85"/>
        <v>0.29999999888241291</v>
      </c>
    </row>
    <row r="1486" spans="1:14" hidden="1">
      <c r="A1486" s="151">
        <f t="shared" si="83"/>
        <v>1</v>
      </c>
      <c r="B1486" s="151" t="s">
        <v>206</v>
      </c>
      <c r="C1486" s="159">
        <v>4311</v>
      </c>
      <c r="D1486" s="160" t="s">
        <v>1092</v>
      </c>
      <c r="E1486" s="161">
        <f>SUMIF(Lanç!$C$3:$C$114,C1486,Lanç!$F$3:$F$114)</f>
        <v>0</v>
      </c>
      <c r="F1486" s="161">
        <f>SUMIF(Lanç!$C$115:$C$6504,C1486,Lanç!$F$115:$F$6504)</f>
        <v>0</v>
      </c>
      <c r="G1486" s="161">
        <f>SUMIF(Lanç!$C$115:$C$6504,C1486,Lanç!$G$115:$G$6504)</f>
        <v>0</v>
      </c>
      <c r="H1486" s="162">
        <f t="shared" si="84"/>
        <v>0</v>
      </c>
      <c r="I1486" s="162">
        <f t="shared" si="85"/>
        <v>0</v>
      </c>
    </row>
    <row r="1487" spans="1:14" hidden="1">
      <c r="A1487" s="151">
        <f t="shared" si="83"/>
        <v>1</v>
      </c>
      <c r="B1487" s="151" t="s">
        <v>206</v>
      </c>
      <c r="C1487" s="159">
        <v>4312</v>
      </c>
      <c r="D1487" s="160" t="s">
        <v>1093</v>
      </c>
      <c r="E1487" s="161">
        <f>SUMIF(Lanç!$C$3:$C$114,C1487,Lanç!$F$3:$F$114)</f>
        <v>0</v>
      </c>
      <c r="F1487" s="161">
        <f>SUMIF(Lanç!$C$115:$C$6504,C1487,Lanç!$F$115:$F$6504)</f>
        <v>0</v>
      </c>
      <c r="G1487" s="161">
        <f>SUMIF(Lanç!$C$115:$C$6504,C1487,Lanç!$G$115:$G$6504)</f>
        <v>0</v>
      </c>
      <c r="H1487" s="162">
        <f t="shared" si="84"/>
        <v>0</v>
      </c>
      <c r="I1487" s="162">
        <f t="shared" si="85"/>
        <v>0</v>
      </c>
      <c r="J1487" s="1"/>
      <c r="K1487" s="1"/>
      <c r="L1487" s="1"/>
      <c r="M1487" s="1"/>
      <c r="N1487" s="1"/>
    </row>
    <row r="1488" spans="1:14">
      <c r="A1488" s="151">
        <f t="shared" si="83"/>
        <v>0</v>
      </c>
      <c r="B1488" s="155" t="s">
        <v>204</v>
      </c>
      <c r="C1488" s="156">
        <v>432</v>
      </c>
      <c r="D1488" s="157" t="s">
        <v>816</v>
      </c>
      <c r="E1488" s="158">
        <f>SUM(E1489:E1492)</f>
        <v>5795.6399999996647</v>
      </c>
      <c r="F1488" s="158">
        <f>SUM(F1489:F1492)</f>
        <v>0</v>
      </c>
      <c r="G1488" s="158">
        <f>SUM(G1489:G1492)</f>
        <v>0</v>
      </c>
      <c r="H1488" s="154">
        <f t="shared" si="84"/>
        <v>0</v>
      </c>
      <c r="I1488" s="154">
        <f t="shared" si="85"/>
        <v>5795.6399999996647</v>
      </c>
    </row>
    <row r="1489" spans="1:14" hidden="1">
      <c r="A1489" s="151">
        <f t="shared" si="83"/>
        <v>1</v>
      </c>
      <c r="B1489" s="151" t="s">
        <v>206</v>
      </c>
      <c r="C1489" s="159">
        <v>43201</v>
      </c>
      <c r="D1489" s="160" t="s">
        <v>1723</v>
      </c>
      <c r="E1489" s="161">
        <f>SUMIF(Lanç!C3:C114,C1489,Lanç!F3:F114)</f>
        <v>0</v>
      </c>
      <c r="F1489" s="161">
        <f>SUMIF(Lanç!C115:C6504,C1489,Lanç!F115:F6504)</f>
        <v>0</v>
      </c>
      <c r="G1489" s="161">
        <f>SUMIF(Lanç!C115:C6504,C1489,Lanç!G115:G6504)</f>
        <v>0</v>
      </c>
      <c r="H1489" s="162">
        <f t="shared" si="84"/>
        <v>0</v>
      </c>
      <c r="I1489" s="162">
        <f t="shared" si="85"/>
        <v>0</v>
      </c>
    </row>
    <row r="1490" spans="1:14">
      <c r="A1490" s="151">
        <f t="shared" si="83"/>
        <v>0</v>
      </c>
      <c r="B1490" s="151" t="s">
        <v>206</v>
      </c>
      <c r="C1490" s="159">
        <v>43202</v>
      </c>
      <c r="D1490" s="160" t="s">
        <v>1724</v>
      </c>
      <c r="E1490" s="161">
        <f>SUMIF(Lanç!$C$3:$C$114,C1490,Lanç!$F$3:$F$114)</f>
        <v>5795.6399999996647</v>
      </c>
      <c r="F1490" s="161">
        <f>SUMIF(Lanç!$C$115:$C$6504,C1490,Lanç!$F$115:$F$6504)</f>
        <v>0</v>
      </c>
      <c r="G1490" s="161">
        <f>SUMIF(Lanç!$C$115:$C$6504,C1490,Lanç!$G$115:$G$6504)</f>
        <v>0</v>
      </c>
      <c r="H1490" s="162">
        <f t="shared" si="84"/>
        <v>0</v>
      </c>
      <c r="I1490" s="162">
        <f t="shared" si="85"/>
        <v>5795.6399999996647</v>
      </c>
    </row>
    <row r="1491" spans="1:14" hidden="1">
      <c r="A1491" s="151">
        <f t="shared" si="83"/>
        <v>1</v>
      </c>
      <c r="B1491" s="151" t="s">
        <v>206</v>
      </c>
      <c r="C1491" s="159">
        <v>43203</v>
      </c>
      <c r="D1491" s="160" t="s">
        <v>1094</v>
      </c>
      <c r="E1491" s="161">
        <f>SUMIF(Lanç!$C$3:$C$114,C1491,Lanç!$F$3:$F$114)</f>
        <v>0</v>
      </c>
      <c r="F1491" s="161">
        <f>SUMIF(Lanç!$C$115:$C$6504,C1491,Lanç!$F$115:$F$6504)</f>
        <v>0</v>
      </c>
      <c r="G1491" s="161">
        <f>SUMIF(Lanç!$C$115:$C$6504,C1491,Lanç!$G$115:$G$6504)</f>
        <v>0</v>
      </c>
      <c r="H1491" s="162">
        <f t="shared" si="84"/>
        <v>0</v>
      </c>
      <c r="I1491" s="162">
        <f t="shared" si="85"/>
        <v>0</v>
      </c>
    </row>
    <row r="1492" spans="1:14" hidden="1">
      <c r="A1492" s="151">
        <f t="shared" si="83"/>
        <v>1</v>
      </c>
      <c r="B1492" s="151" t="s">
        <v>206</v>
      </c>
      <c r="C1492" s="159">
        <v>43204</v>
      </c>
      <c r="D1492" s="160" t="s">
        <v>1095</v>
      </c>
      <c r="E1492" s="161">
        <f>SUMIF(Lanç!$C$3:$C$114,C1492,Lanç!$F$3:$F$114)</f>
        <v>0</v>
      </c>
      <c r="F1492" s="161">
        <f>SUMIF(Lanç!$C$115:$C$6504,C1492,Lanç!$F$115:$F$6504)</f>
        <v>0</v>
      </c>
      <c r="G1492" s="161">
        <f>SUMIF(Lanç!$C$115:$C$6504,C1492,Lanç!$G$115:$G$6504)</f>
        <v>0</v>
      </c>
      <c r="H1492" s="162">
        <f t="shared" si="84"/>
        <v>0</v>
      </c>
      <c r="I1492" s="162">
        <f t="shared" si="85"/>
        <v>0</v>
      </c>
      <c r="J1492" s="1"/>
      <c r="K1492" s="1"/>
      <c r="L1492" s="1"/>
      <c r="M1492" s="1"/>
      <c r="N1492" s="1"/>
    </row>
    <row r="1493" spans="1:14" hidden="1">
      <c r="A1493" s="151">
        <f t="shared" si="83"/>
        <v>1</v>
      </c>
      <c r="B1493" s="155" t="s">
        <v>202</v>
      </c>
      <c r="C1493" s="156">
        <v>44</v>
      </c>
      <c r="D1493" s="157" t="s">
        <v>1096</v>
      </c>
      <c r="E1493" s="158">
        <f>SUM(E1494,E1497)</f>
        <v>0</v>
      </c>
      <c r="F1493" s="158">
        <f>SUMIF(Lanç!$C$115:$C$6504,C1493,Lanç!$F$115:$F$6504)</f>
        <v>0</v>
      </c>
      <c r="G1493" s="158">
        <f>SUMIF(Lanç!$C$115:$C$6504,C1493,Lanç!$G$115:$G$6504)</f>
        <v>0</v>
      </c>
      <c r="H1493" s="154">
        <f t="shared" si="84"/>
        <v>0</v>
      </c>
      <c r="I1493" s="154">
        <f t="shared" si="85"/>
        <v>0</v>
      </c>
    </row>
    <row r="1494" spans="1:14" hidden="1">
      <c r="A1494" s="151">
        <f t="shared" si="83"/>
        <v>1</v>
      </c>
      <c r="B1494" s="155" t="s">
        <v>204</v>
      </c>
      <c r="C1494" s="156">
        <v>441</v>
      </c>
      <c r="D1494" s="157" t="s">
        <v>1075</v>
      </c>
      <c r="E1494" s="158">
        <f>SUM(E1495:E1496)</f>
        <v>0</v>
      </c>
      <c r="F1494" s="158">
        <f>SUM(F1495:F1496)</f>
        <v>0</v>
      </c>
      <c r="G1494" s="158">
        <f>SUM(G1495:G1496)</f>
        <v>0</v>
      </c>
      <c r="H1494" s="154">
        <f t="shared" si="84"/>
        <v>0</v>
      </c>
      <c r="I1494" s="154">
        <f t="shared" si="85"/>
        <v>0</v>
      </c>
    </row>
    <row r="1495" spans="1:14" hidden="1">
      <c r="A1495" s="151">
        <f t="shared" si="83"/>
        <v>1</v>
      </c>
      <c r="B1495" s="151" t="s">
        <v>206</v>
      </c>
      <c r="C1495" s="159">
        <v>44101</v>
      </c>
      <c r="D1495" s="160" t="s">
        <v>1079</v>
      </c>
      <c r="E1495" s="161">
        <f>SUMIF(Lanç!$C$3:$C$114,C1495,Lanç!$F$3:$F$114)</f>
        <v>0</v>
      </c>
      <c r="F1495" s="161">
        <f>SUMIF(Lanç!$C$115:$C$6504,C1495,Lanç!$F$115:$F$6504)</f>
        <v>0</v>
      </c>
      <c r="G1495" s="161">
        <f>SUMIF(Lanç!$C$115:$C$6504,C1495,Lanç!$G$115:$G$6504)</f>
        <v>0</v>
      </c>
      <c r="H1495" s="162">
        <f t="shared" si="84"/>
        <v>0</v>
      </c>
      <c r="I1495" s="162">
        <f t="shared" si="85"/>
        <v>0</v>
      </c>
    </row>
    <row r="1496" spans="1:14" hidden="1">
      <c r="A1496" s="151">
        <f t="shared" si="83"/>
        <v>1</v>
      </c>
      <c r="B1496" s="151" t="s">
        <v>206</v>
      </c>
      <c r="C1496" s="159">
        <v>44102</v>
      </c>
      <c r="D1496" s="160" t="s">
        <v>1079</v>
      </c>
      <c r="E1496" s="161">
        <f>SUMIF(Lanç!$C$3:$C$114,C1496,Lanç!$F$3:$F$114)</f>
        <v>0</v>
      </c>
      <c r="F1496" s="161">
        <f>SUMIF(Lanç!$C$115:$C$6504,C1496,Lanç!$F$115:$F$6504)</f>
        <v>0</v>
      </c>
      <c r="G1496" s="161">
        <f>SUMIF(Lanç!$C$115:$C$6504,C1496,Lanç!$G$115:$G$6504)</f>
        <v>0</v>
      </c>
      <c r="H1496" s="162">
        <f t="shared" si="84"/>
        <v>0</v>
      </c>
      <c r="I1496" s="162">
        <f t="shared" si="85"/>
        <v>0</v>
      </c>
      <c r="J1496" s="1"/>
      <c r="K1496" s="1"/>
      <c r="L1496" s="1"/>
      <c r="M1496" s="1"/>
      <c r="N1496" s="1"/>
    </row>
    <row r="1497" spans="1:14" hidden="1">
      <c r="A1497" s="151">
        <f t="shared" si="83"/>
        <v>1</v>
      </c>
      <c r="B1497" s="155" t="s">
        <v>204</v>
      </c>
      <c r="C1497" s="156">
        <v>442</v>
      </c>
      <c r="D1497" s="157" t="s">
        <v>1097</v>
      </c>
      <c r="E1497" s="158">
        <f>SUM(E1498:E1499)</f>
        <v>0</v>
      </c>
      <c r="F1497" s="158">
        <f>SUM(F1498:F1499)</f>
        <v>0</v>
      </c>
      <c r="G1497" s="158">
        <f>SUM(G1498:G1499)</f>
        <v>0</v>
      </c>
      <c r="H1497" s="154">
        <f t="shared" si="84"/>
        <v>0</v>
      </c>
      <c r="I1497" s="154">
        <f t="shared" si="85"/>
        <v>0</v>
      </c>
    </row>
    <row r="1498" spans="1:14" hidden="1">
      <c r="A1498" s="151">
        <f t="shared" si="83"/>
        <v>1</v>
      </c>
      <c r="B1498" s="151" t="s">
        <v>206</v>
      </c>
      <c r="C1498" s="159">
        <v>44201</v>
      </c>
      <c r="D1498" s="160" t="s">
        <v>1079</v>
      </c>
      <c r="E1498" s="161">
        <f>SUMIF(Lanç!$C$3:$C$114,C1498,Lanç!$F$3:$F$114)</f>
        <v>0</v>
      </c>
      <c r="F1498" s="161">
        <f>SUMIF(Lanç!$C$115:$C$6504,C1498,Lanç!$F$115:$F$6504)</f>
        <v>0</v>
      </c>
      <c r="G1498" s="161">
        <f>SUMIF(Lanç!$C$115:$C$6504,C1498,Lanç!$G$115:$G$6504)</f>
        <v>0</v>
      </c>
      <c r="H1498" s="162">
        <f t="shared" si="84"/>
        <v>0</v>
      </c>
      <c r="I1498" s="162">
        <f t="shared" si="85"/>
        <v>0</v>
      </c>
    </row>
    <row r="1499" spans="1:14" hidden="1">
      <c r="A1499" s="151">
        <f t="shared" si="83"/>
        <v>1</v>
      </c>
      <c r="B1499" s="151" t="s">
        <v>206</v>
      </c>
      <c r="C1499" s="159">
        <v>44202</v>
      </c>
      <c r="D1499" s="160" t="s">
        <v>1079</v>
      </c>
      <c r="E1499" s="161">
        <f>SUMIF(Lanç!$C$3:$C$114,C1499,Lanç!$F$3:$F$114)</f>
        <v>0</v>
      </c>
      <c r="F1499" s="161">
        <f>SUMIF(Lanç!$C$115:$C$6504,C1499,Lanç!$F$115:$F$6504)</f>
        <v>0</v>
      </c>
      <c r="G1499" s="161">
        <f>SUMIF(Lanç!$C$115:$C$6504,C1499,Lanç!$G$115:$G$6504)</f>
        <v>0</v>
      </c>
      <c r="H1499" s="162">
        <f t="shared" si="84"/>
        <v>0</v>
      </c>
      <c r="I1499" s="162">
        <f t="shared" si="85"/>
        <v>0</v>
      </c>
      <c r="J1499" s="1"/>
      <c r="K1499" s="1"/>
      <c r="L1499" s="1"/>
      <c r="M1499" s="1"/>
      <c r="N1499" s="1"/>
    </row>
    <row r="1500" spans="1:14">
      <c r="A1500" s="151">
        <f t="shared" si="83"/>
        <v>0</v>
      </c>
      <c r="B1500" s="155" t="s">
        <v>202</v>
      </c>
      <c r="C1500" s="156">
        <v>45</v>
      </c>
      <c r="D1500" s="157" t="s">
        <v>1098</v>
      </c>
      <c r="E1500" s="158">
        <f>SUM(E1501,E1517,E1519)</f>
        <v>3541747.5500000007</v>
      </c>
      <c r="F1500" s="158">
        <f>SUM(F1501,F1517,F1519)</f>
        <v>7591317.0999999996</v>
      </c>
      <c r="G1500" s="158">
        <f>SUM(G1501,G1517,G1519)</f>
        <v>10797179.67</v>
      </c>
      <c r="H1500" s="154">
        <f t="shared" si="84"/>
        <v>-3205862.5700000003</v>
      </c>
      <c r="I1500" s="154">
        <f t="shared" si="85"/>
        <v>335884.98000000045</v>
      </c>
    </row>
    <row r="1501" spans="1:14">
      <c r="A1501" s="151">
        <f t="shared" si="83"/>
        <v>0</v>
      </c>
      <c r="B1501" s="155" t="s">
        <v>204</v>
      </c>
      <c r="C1501" s="156">
        <v>451</v>
      </c>
      <c r="D1501" s="157" t="s">
        <v>1099</v>
      </c>
      <c r="E1501" s="158">
        <f>SUM(E1502,E1516)</f>
        <v>3541747.5500000007</v>
      </c>
      <c r="F1501" s="158">
        <f>SUM(F1502,F1516)</f>
        <v>7591317.0999999996</v>
      </c>
      <c r="G1501" s="158">
        <f>SUM(G1502,G1516)</f>
        <v>10797179.67</v>
      </c>
      <c r="H1501" s="154">
        <f t="shared" si="84"/>
        <v>-3205862.5700000003</v>
      </c>
      <c r="I1501" s="154">
        <f t="shared" si="85"/>
        <v>335884.98000000045</v>
      </c>
    </row>
    <row r="1502" spans="1:14" s="57" customFormat="1">
      <c r="A1502" s="155">
        <f t="shared" si="83"/>
        <v>0</v>
      </c>
      <c r="B1502" s="155" t="s">
        <v>204</v>
      </c>
      <c r="C1502" s="156">
        <v>4511</v>
      </c>
      <c r="D1502" s="157" t="s">
        <v>58</v>
      </c>
      <c r="E1502" s="158">
        <f>SUM(E1503:E1504)</f>
        <v>3541747.5500000007</v>
      </c>
      <c r="F1502" s="158">
        <f>SUM(F1503:F1504)</f>
        <v>7591317.0999999996</v>
      </c>
      <c r="G1502" s="158">
        <f>SUM(G1503:G1504)</f>
        <v>10797179.67</v>
      </c>
      <c r="H1502" s="163">
        <f t="shared" si="84"/>
        <v>-3205862.5700000003</v>
      </c>
      <c r="I1502" s="163">
        <f t="shared" si="85"/>
        <v>335884.98000000045</v>
      </c>
    </row>
    <row r="1503" spans="1:14">
      <c r="A1503" s="151">
        <f t="shared" si="83"/>
        <v>0</v>
      </c>
      <c r="B1503" s="151" t="s">
        <v>206</v>
      </c>
      <c r="C1503" s="159">
        <v>45111</v>
      </c>
      <c r="D1503" s="160" t="s">
        <v>1100</v>
      </c>
      <c r="E1503" s="161">
        <f>SUMIF(Lanç!C3:C114,C1503,Lanç!F3:F114)</f>
        <v>3541747.5500000007</v>
      </c>
      <c r="F1503" s="161">
        <f>SUMIF(Lanç!C115:C6504,C1503,Lanç!F115:F6504)</f>
        <v>7591317.0999999996</v>
      </c>
      <c r="G1503" s="161">
        <f>SUMIF(Lanç!C115:C6504,C1503,Lanç!G115:G6504)</f>
        <v>10797179.67</v>
      </c>
      <c r="H1503" s="162">
        <f t="shared" si="84"/>
        <v>-3205862.5700000003</v>
      </c>
      <c r="I1503" s="162">
        <f t="shared" si="85"/>
        <v>335884.98000000045</v>
      </c>
    </row>
    <row r="1504" spans="1:14" s="57" customFormat="1" hidden="1">
      <c r="A1504" s="155">
        <f t="shared" si="83"/>
        <v>1</v>
      </c>
      <c r="B1504" s="155" t="s">
        <v>204</v>
      </c>
      <c r="C1504" s="156">
        <v>45112</v>
      </c>
      <c r="D1504" s="157" t="s">
        <v>1101</v>
      </c>
      <c r="E1504" s="158">
        <f>SUM(E1505:E1516)</f>
        <v>0</v>
      </c>
      <c r="F1504" s="158">
        <f>SUM(F1505:F1516)</f>
        <v>0</v>
      </c>
      <c r="G1504" s="158">
        <f>SUM(G1505:G1516)</f>
        <v>0</v>
      </c>
      <c r="H1504" s="163">
        <f t="shared" si="84"/>
        <v>0</v>
      </c>
      <c r="I1504" s="163">
        <f t="shared" si="85"/>
        <v>0</v>
      </c>
    </row>
    <row r="1505" spans="1:14" hidden="1">
      <c r="A1505" s="151">
        <f t="shared" si="83"/>
        <v>1</v>
      </c>
      <c r="B1505" s="151" t="s">
        <v>206</v>
      </c>
      <c r="C1505" s="159">
        <v>451121</v>
      </c>
      <c r="D1505" s="160" t="s">
        <v>1102</v>
      </c>
      <c r="E1505" s="161">
        <f>SUMIF(Lanç!$C$3:$C$114,C1505,Lanç!$F$3:$F$114)</f>
        <v>0</v>
      </c>
      <c r="F1505" s="161">
        <f>SUMIF(Lanç!$C$115:$C$6504,C1505,Lanç!$F$115:$F$6504)</f>
        <v>0</v>
      </c>
      <c r="G1505" s="161">
        <f>SUMIF(Lanç!$C$115:$C$6504,C1505,Lanç!$G$115:$G$6504)</f>
        <v>0</v>
      </c>
      <c r="H1505" s="162">
        <f t="shared" si="84"/>
        <v>0</v>
      </c>
      <c r="I1505" s="162">
        <f t="shared" si="85"/>
        <v>0</v>
      </c>
    </row>
    <row r="1506" spans="1:14" hidden="1">
      <c r="A1506" s="151">
        <f t="shared" ref="A1506:A1569" si="86">IF(E1506+F1506+G1506+H1506+I1506=0,1,0)</f>
        <v>1</v>
      </c>
      <c r="B1506" s="151" t="s">
        <v>206</v>
      </c>
      <c r="C1506" s="159">
        <v>451122</v>
      </c>
      <c r="D1506" s="160" t="s">
        <v>1103</v>
      </c>
      <c r="E1506" s="161">
        <f>SUMIF(Lanç!$C$3:$C$114,C1506,Lanç!$F$3:$F$114)</f>
        <v>0</v>
      </c>
      <c r="F1506" s="161">
        <f>SUMIF(Lanç!$C$115:$C$6504,C1506,Lanç!$F$115:$F$6504)</f>
        <v>0</v>
      </c>
      <c r="G1506" s="161">
        <f>SUMIF(Lanç!$C$115:$C$6504,C1506,Lanç!$G$115:$G$6504)</f>
        <v>0</v>
      </c>
      <c r="H1506" s="162">
        <f t="shared" ref="H1506:H1569" si="87">(F1506)-(G1506)</f>
        <v>0</v>
      </c>
      <c r="I1506" s="162">
        <f t="shared" ref="I1506:I1569" si="88">(E1506)+(H1506)</f>
        <v>0</v>
      </c>
    </row>
    <row r="1507" spans="1:14" hidden="1">
      <c r="A1507" s="151">
        <f t="shared" si="86"/>
        <v>1</v>
      </c>
      <c r="B1507" s="151" t="s">
        <v>206</v>
      </c>
      <c r="C1507" s="159">
        <v>451123</v>
      </c>
      <c r="D1507" s="160" t="s">
        <v>1104</v>
      </c>
      <c r="E1507" s="161">
        <f>SUMIF(Lanç!C3:C114,C1507,Lanç!F3:F114)</f>
        <v>0</v>
      </c>
      <c r="F1507" s="161">
        <f>SUMIF(Lanç!C115:C6504,C1507,Lanç!F115:F6504)</f>
        <v>0</v>
      </c>
      <c r="G1507" s="161">
        <f>SUMIF(Lanç!C115:C6504,C1507,Lanç!G115:G6504)</f>
        <v>0</v>
      </c>
      <c r="H1507" s="162">
        <f t="shared" si="87"/>
        <v>0</v>
      </c>
      <c r="I1507" s="162">
        <f t="shared" si="88"/>
        <v>0</v>
      </c>
    </row>
    <row r="1508" spans="1:14" hidden="1">
      <c r="A1508" s="151">
        <f t="shared" si="86"/>
        <v>1</v>
      </c>
      <c r="B1508" s="151" t="s">
        <v>206</v>
      </c>
      <c r="C1508" s="159">
        <v>451124</v>
      </c>
      <c r="D1508" s="160" t="s">
        <v>1105</v>
      </c>
      <c r="E1508" s="161">
        <f>SUMIF(Lanç!$C$3:$C$114,C1508,Lanç!$F$3:$F$114)</f>
        <v>0</v>
      </c>
      <c r="F1508" s="161">
        <f>SUMIF(Lanç!$C$115:$C$6504,C1508,Lanç!$F$115:$F$6504)</f>
        <v>0</v>
      </c>
      <c r="G1508" s="161">
        <f>SUMIF(Lanç!$C$115:$C$6504,C1508,Lanç!$G$115:$G$6504)</f>
        <v>0</v>
      </c>
      <c r="H1508" s="162">
        <f t="shared" si="87"/>
        <v>0</v>
      </c>
      <c r="I1508" s="162">
        <f t="shared" si="88"/>
        <v>0</v>
      </c>
    </row>
    <row r="1509" spans="1:14" hidden="1">
      <c r="A1509" s="151">
        <f t="shared" si="86"/>
        <v>1</v>
      </c>
      <c r="B1509" s="151" t="s">
        <v>206</v>
      </c>
      <c r="C1509" s="159">
        <v>451125</v>
      </c>
      <c r="D1509" s="160" t="s">
        <v>1106</v>
      </c>
      <c r="E1509" s="161">
        <f>SUMIF(Lanç!$C$3:$C$114,C1509,Lanç!$F$3:$F$114)</f>
        <v>0</v>
      </c>
      <c r="F1509" s="161">
        <f>SUMIF(Lanç!$C$115:$C$6504,C1509,Lanç!$F$115:$F$6504)</f>
        <v>0</v>
      </c>
      <c r="G1509" s="161">
        <f>SUMIF(Lanç!$C$115:$C$6504,C1509,Lanç!$G$115:$G$6504)</f>
        <v>0</v>
      </c>
      <c r="H1509" s="162">
        <f t="shared" si="87"/>
        <v>0</v>
      </c>
      <c r="I1509" s="162">
        <f t="shared" si="88"/>
        <v>0</v>
      </c>
    </row>
    <row r="1510" spans="1:14" hidden="1">
      <c r="A1510" s="151">
        <f t="shared" si="86"/>
        <v>1</v>
      </c>
      <c r="B1510" s="151" t="s">
        <v>206</v>
      </c>
      <c r="C1510" s="159">
        <v>451126</v>
      </c>
      <c r="D1510" s="160" t="s">
        <v>1107</v>
      </c>
      <c r="E1510" s="161">
        <f>SUMIF(Lanç!$C$3:$C$114,C1510,Lanç!$F$3:$F$114)</f>
        <v>0</v>
      </c>
      <c r="F1510" s="161">
        <f>SUMIF(Lanç!$C$115:$C$6504,C1510,Lanç!$F$115:$F$6504)</f>
        <v>0</v>
      </c>
      <c r="G1510" s="161">
        <f>SUMIF(Lanç!$C$115:$C$6504,C1510,Lanç!$G$115:$G$6504)</f>
        <v>0</v>
      </c>
      <c r="H1510" s="162">
        <f t="shared" si="87"/>
        <v>0</v>
      </c>
      <c r="I1510" s="162">
        <f t="shared" si="88"/>
        <v>0</v>
      </c>
    </row>
    <row r="1511" spans="1:14" hidden="1">
      <c r="A1511" s="151">
        <f t="shared" si="86"/>
        <v>1</v>
      </c>
      <c r="B1511" s="151" t="s">
        <v>206</v>
      </c>
      <c r="C1511" s="159">
        <v>451127</v>
      </c>
      <c r="D1511" s="160" t="s">
        <v>1108</v>
      </c>
      <c r="E1511" s="161">
        <f>SUMIF(Lanç!$C$3:$C$114,C1511,Lanç!$F$3:$F$114)</f>
        <v>0</v>
      </c>
      <c r="F1511" s="161">
        <f>SUMIF(Lanç!$C$115:$C$6504,C1511,Lanç!$F$115:$F$6504)</f>
        <v>0</v>
      </c>
      <c r="G1511" s="161">
        <f>SUMIF(Lanç!$C$115:$C$6504,C1511,Lanç!$G$115:$G$6504)</f>
        <v>0</v>
      </c>
      <c r="H1511" s="162">
        <f t="shared" si="87"/>
        <v>0</v>
      </c>
      <c r="I1511" s="162">
        <f t="shared" si="88"/>
        <v>0</v>
      </c>
    </row>
    <row r="1512" spans="1:14" hidden="1">
      <c r="A1512" s="151">
        <f t="shared" si="86"/>
        <v>1</v>
      </c>
      <c r="B1512" s="151" t="s">
        <v>206</v>
      </c>
      <c r="C1512" s="159">
        <v>451128</v>
      </c>
      <c r="D1512" s="160" t="s">
        <v>1109</v>
      </c>
      <c r="E1512" s="161">
        <f>SUMIF(Lanç!$C$3:$C$114,C1512,Lanç!$F$3:$F$114)</f>
        <v>0</v>
      </c>
      <c r="F1512" s="161">
        <f>SUMIF(Lanç!$C$115:$C$6504,C1512,Lanç!$F$115:$F$6504)</f>
        <v>0</v>
      </c>
      <c r="G1512" s="161">
        <f>SUMIF(Lanç!$C$115:$C$6504,C1512,Lanç!$G$115:$G$6504)</f>
        <v>0</v>
      </c>
      <c r="H1512" s="162">
        <f t="shared" si="87"/>
        <v>0</v>
      </c>
      <c r="I1512" s="162">
        <f t="shared" si="88"/>
        <v>0</v>
      </c>
    </row>
    <row r="1513" spans="1:14" hidden="1">
      <c r="A1513" s="151">
        <f t="shared" si="86"/>
        <v>1</v>
      </c>
      <c r="B1513" s="151" t="s">
        <v>206</v>
      </c>
      <c r="C1513" s="159">
        <v>451129</v>
      </c>
      <c r="D1513" s="160" t="s">
        <v>1110</v>
      </c>
      <c r="E1513" s="161">
        <f>SUMIF(Lanç!$C$3:$C$114,C1513,Lanç!$F$3:$F$114)</f>
        <v>0</v>
      </c>
      <c r="F1513" s="161">
        <f>SUMIF(Lanç!$C$115:$C$6504,C1513,Lanç!$F$115:$F$6504)</f>
        <v>0</v>
      </c>
      <c r="G1513" s="161">
        <f>SUMIF(Lanç!$C$115:$C$6504,C1513,Lanç!$G$115:$G$6504)</f>
        <v>0</v>
      </c>
      <c r="H1513" s="162">
        <f t="shared" si="87"/>
        <v>0</v>
      </c>
      <c r="I1513" s="162">
        <f t="shared" si="88"/>
        <v>0</v>
      </c>
    </row>
    <row r="1514" spans="1:14" hidden="1">
      <c r="A1514" s="151">
        <f t="shared" si="86"/>
        <v>1</v>
      </c>
      <c r="B1514" s="151" t="s">
        <v>206</v>
      </c>
      <c r="C1514" s="159">
        <v>451130</v>
      </c>
      <c r="D1514" s="160" t="s">
        <v>1111</v>
      </c>
      <c r="E1514" s="161">
        <f>SUMIF(Lanç!$C$3:$C$114,C1514,Lanç!$F$3:$F$114)</f>
        <v>0</v>
      </c>
      <c r="F1514" s="161">
        <f>SUMIF(Lanç!$C$115:$C$6504,C1514,Lanç!$F$115:$F$6504)</f>
        <v>0</v>
      </c>
      <c r="G1514" s="161">
        <f>SUMIF(Lanç!$C$115:$C$6504,C1514,Lanç!$G$115:$G$6504)</f>
        <v>0</v>
      </c>
      <c r="H1514" s="162">
        <f t="shared" si="87"/>
        <v>0</v>
      </c>
      <c r="I1514" s="162">
        <f t="shared" si="88"/>
        <v>0</v>
      </c>
    </row>
    <row r="1515" spans="1:14" hidden="1">
      <c r="A1515" s="151">
        <f t="shared" si="86"/>
        <v>1</v>
      </c>
      <c r="B1515" s="151" t="s">
        <v>206</v>
      </c>
      <c r="C1515" s="159">
        <v>451131</v>
      </c>
      <c r="D1515" s="160" t="s">
        <v>1112</v>
      </c>
      <c r="E1515" s="161">
        <f>SUMIF(Lanç!$C$3:$C$114,C1515,Lanç!$F$3:$F$114)</f>
        <v>0</v>
      </c>
      <c r="F1515" s="161">
        <f>SUMIF(Lanç!$C$115:$C$6504,C1515,Lanç!$F$115:$F$6504)</f>
        <v>0</v>
      </c>
      <c r="G1515" s="161">
        <f>SUMIF(Lanç!$C$115:$C$6504,C1515,Lanç!$G$115:$G$6504)</f>
        <v>0</v>
      </c>
      <c r="H1515" s="162">
        <f t="shared" si="87"/>
        <v>0</v>
      </c>
      <c r="I1515" s="162">
        <f t="shared" si="88"/>
        <v>0</v>
      </c>
    </row>
    <row r="1516" spans="1:14" hidden="1">
      <c r="A1516" s="151">
        <f t="shared" si="86"/>
        <v>1</v>
      </c>
      <c r="B1516" s="151" t="s">
        <v>206</v>
      </c>
      <c r="C1516" s="159">
        <v>4512</v>
      </c>
      <c r="D1516" s="160" t="s">
        <v>1113</v>
      </c>
      <c r="E1516" s="161">
        <f>SUMIF(Lanç!$C$3:$C$114,C1516,Lanç!$F$3:$F$114)</f>
        <v>0</v>
      </c>
      <c r="F1516" s="161">
        <f>SUMIF(Lanç!$C$115:$C$6504,C1516,Lanç!$F$115:$F$6504)</f>
        <v>0</v>
      </c>
      <c r="G1516" s="161">
        <f>SUMIF(Lanç!$C$115:$C$6504,C1516,Lanç!$G$115:$G$6504)</f>
        <v>0</v>
      </c>
      <c r="H1516" s="162">
        <f t="shared" si="87"/>
        <v>0</v>
      </c>
      <c r="I1516" s="162">
        <f t="shared" si="88"/>
        <v>0</v>
      </c>
      <c r="J1516" s="1"/>
      <c r="K1516" s="1"/>
      <c r="L1516" s="1"/>
      <c r="M1516" s="1"/>
      <c r="N1516" s="1"/>
    </row>
    <row r="1517" spans="1:14" hidden="1">
      <c r="A1517" s="151">
        <f t="shared" si="86"/>
        <v>1</v>
      </c>
      <c r="B1517" s="155" t="s">
        <v>204</v>
      </c>
      <c r="C1517" s="156">
        <v>452</v>
      </c>
      <c r="D1517" s="157" t="s">
        <v>1114</v>
      </c>
      <c r="E1517" s="158">
        <f>SUM(E1518)</f>
        <v>0</v>
      </c>
      <c r="F1517" s="158">
        <f>SUM(F1518)</f>
        <v>0</v>
      </c>
      <c r="G1517" s="158">
        <f>SUM(G1518)</f>
        <v>0</v>
      </c>
      <c r="H1517" s="154">
        <f t="shared" si="87"/>
        <v>0</v>
      </c>
      <c r="I1517" s="154">
        <f t="shared" si="88"/>
        <v>0</v>
      </c>
    </row>
    <row r="1518" spans="1:14" hidden="1">
      <c r="A1518" s="151">
        <f t="shared" si="86"/>
        <v>1</v>
      </c>
      <c r="B1518" s="151" t="s">
        <v>206</v>
      </c>
      <c r="C1518" s="159">
        <v>4521</v>
      </c>
      <c r="D1518" s="160" t="s">
        <v>1114</v>
      </c>
      <c r="E1518" s="161">
        <f>SUMIF(Lanç!$C$3:$C$114,C1518,Lanç!$F$3:$F$114)</f>
        <v>0</v>
      </c>
      <c r="F1518" s="161">
        <f>SUMIF(Lanç!$C$115:$C$6504,C1518,Lanç!$F$115:$F$6504)</f>
        <v>0</v>
      </c>
      <c r="G1518" s="161">
        <f>SUMIF(Lanç!$C$115:$C$6504,C1518,Lanç!$G$115:$G$6504)</f>
        <v>0</v>
      </c>
      <c r="H1518" s="162">
        <f t="shared" si="87"/>
        <v>0</v>
      </c>
      <c r="I1518" s="162">
        <f t="shared" si="88"/>
        <v>0</v>
      </c>
      <c r="J1518" s="1"/>
      <c r="K1518" s="1"/>
      <c r="L1518" s="1"/>
      <c r="M1518" s="1"/>
      <c r="N1518" s="1"/>
    </row>
    <row r="1519" spans="1:14" hidden="1">
      <c r="A1519" s="151">
        <f t="shared" si="86"/>
        <v>1</v>
      </c>
      <c r="B1519" s="155" t="s">
        <v>204</v>
      </c>
      <c r="C1519" s="156">
        <v>453</v>
      </c>
      <c r="D1519" s="157" t="s">
        <v>1115</v>
      </c>
      <c r="E1519" s="158">
        <f>SUM(E1520)</f>
        <v>0</v>
      </c>
      <c r="F1519" s="158">
        <f>SUMIF(Lanç!$C$115:$C$6504,C1519,Lanç!$F$115:$F$6504)</f>
        <v>0</v>
      </c>
      <c r="G1519" s="158">
        <f>SUMIF(Lanç!$C$115:$C$6504,C1519,Lanç!$G$115:$G$6504)</f>
        <v>0</v>
      </c>
      <c r="H1519" s="154">
        <f t="shared" si="87"/>
        <v>0</v>
      </c>
      <c r="I1519" s="154">
        <f t="shared" si="88"/>
        <v>0</v>
      </c>
    </row>
    <row r="1520" spans="1:14" hidden="1">
      <c r="A1520" s="151">
        <f t="shared" si="86"/>
        <v>1</v>
      </c>
      <c r="B1520" s="151" t="s">
        <v>206</v>
      </c>
      <c r="C1520" s="159">
        <v>4531</v>
      </c>
      <c r="D1520" s="160" t="s">
        <v>1116</v>
      </c>
      <c r="E1520" s="161">
        <f>SUMIF(Lanç!$C$3:$C$114,C1520,Lanç!$F$3:$F$114)</f>
        <v>0</v>
      </c>
      <c r="F1520" s="161">
        <f>SUMIF(Lanç!$C$115:$C$6504,C1520,Lanç!$F$115:$F$6504)</f>
        <v>0</v>
      </c>
      <c r="G1520" s="161">
        <f>SUMIF(Lanç!$C$115:$C$6504,C1520,Lanç!$G$115:$G$6504)</f>
        <v>0</v>
      </c>
      <c r="H1520" s="162">
        <f t="shared" si="87"/>
        <v>0</v>
      </c>
      <c r="I1520" s="162">
        <f t="shared" si="88"/>
        <v>0</v>
      </c>
      <c r="J1520" s="1"/>
      <c r="K1520" s="1"/>
      <c r="L1520" s="1"/>
      <c r="M1520" s="1"/>
      <c r="N1520" s="1"/>
    </row>
    <row r="1521" spans="1:14" hidden="1">
      <c r="A1521" s="151">
        <f t="shared" si="86"/>
        <v>1</v>
      </c>
      <c r="B1521" s="155" t="s">
        <v>202</v>
      </c>
      <c r="C1521" s="156">
        <v>46</v>
      </c>
      <c r="D1521" s="157" t="s">
        <v>269</v>
      </c>
      <c r="E1521" s="158">
        <f>SUM(E1522)</f>
        <v>0</v>
      </c>
      <c r="F1521" s="158">
        <f>SUM(F1522)</f>
        <v>0</v>
      </c>
      <c r="G1521" s="158">
        <f>SUM(G1522)</f>
        <v>0</v>
      </c>
      <c r="H1521" s="154">
        <f t="shared" si="87"/>
        <v>0</v>
      </c>
      <c r="I1521" s="154">
        <f t="shared" si="88"/>
        <v>0</v>
      </c>
    </row>
    <row r="1522" spans="1:14" hidden="1">
      <c r="A1522" s="151">
        <f t="shared" si="86"/>
        <v>1</v>
      </c>
      <c r="B1522" s="151" t="s">
        <v>206</v>
      </c>
      <c r="C1522" s="159">
        <v>461</v>
      </c>
      <c r="D1522" s="160" t="s">
        <v>269</v>
      </c>
      <c r="E1522" s="161">
        <f>SUMIF(Lanç!$C$3:$C$114,C1522,Lanç!$F$3:$F$114)</f>
        <v>0</v>
      </c>
      <c r="F1522" s="161">
        <f>SUMIF(Lanç!$C$115:$C$6504,C1522,Lanç!$F$115:$F$6504)</f>
        <v>0</v>
      </c>
      <c r="G1522" s="161">
        <f>SUMIF(Lanç!$C$115:$C$6504,C1522,Lanç!$G$115:$G$6504)</f>
        <v>0</v>
      </c>
      <c r="H1522" s="162">
        <f t="shared" si="87"/>
        <v>0</v>
      </c>
      <c r="I1522" s="162">
        <f t="shared" si="88"/>
        <v>0</v>
      </c>
      <c r="J1522" s="1"/>
      <c r="K1522" s="1"/>
      <c r="L1522" s="1"/>
      <c r="M1522" s="1"/>
      <c r="N1522" s="1"/>
    </row>
    <row r="1523" spans="1:14" hidden="1">
      <c r="A1523" s="151">
        <f t="shared" si="86"/>
        <v>1</v>
      </c>
      <c r="B1523" s="155" t="s">
        <v>202</v>
      </c>
      <c r="C1523" s="156">
        <v>47</v>
      </c>
      <c r="D1523" s="157" t="s">
        <v>269</v>
      </c>
      <c r="E1523" s="158">
        <f>SUM(E1524)</f>
        <v>0</v>
      </c>
      <c r="F1523" s="158">
        <f>SUM(F1524)</f>
        <v>0</v>
      </c>
      <c r="G1523" s="158">
        <f>SUM(G1524)</f>
        <v>0</v>
      </c>
      <c r="H1523" s="154">
        <f t="shared" si="87"/>
        <v>0</v>
      </c>
      <c r="I1523" s="154">
        <f t="shared" si="88"/>
        <v>0</v>
      </c>
    </row>
    <row r="1524" spans="1:14" hidden="1">
      <c r="A1524" s="151">
        <f t="shared" si="86"/>
        <v>1</v>
      </c>
      <c r="B1524" s="151" t="s">
        <v>206</v>
      </c>
      <c r="C1524" s="159">
        <v>471</v>
      </c>
      <c r="D1524" s="160" t="s">
        <v>269</v>
      </c>
      <c r="E1524" s="161">
        <f>SUMIF(Lanç!$C$3:$C$114,C1524,Lanç!$F$3:$F$114)</f>
        <v>0</v>
      </c>
      <c r="F1524" s="161">
        <f>SUMIF(Lanç!$C$115:$C$6504,C1524,Lanç!$F$115:$F$6504)</f>
        <v>0</v>
      </c>
      <c r="G1524" s="161">
        <f>SUMIF(Lanç!$C$115:$C$6504,C1524,Lanç!$G$115:$G$6504)</f>
        <v>0</v>
      </c>
      <c r="H1524" s="162">
        <f t="shared" si="87"/>
        <v>0</v>
      </c>
      <c r="I1524" s="162">
        <f t="shared" si="88"/>
        <v>0</v>
      </c>
      <c r="J1524" s="1"/>
      <c r="K1524" s="1"/>
      <c r="L1524" s="1"/>
      <c r="M1524" s="1"/>
      <c r="N1524" s="1"/>
    </row>
    <row r="1525" spans="1:14">
      <c r="A1525" s="151">
        <f t="shared" si="86"/>
        <v>0</v>
      </c>
      <c r="B1525" s="155" t="s">
        <v>202</v>
      </c>
      <c r="C1525" s="156">
        <v>48</v>
      </c>
      <c r="D1525" s="157" t="s">
        <v>1117</v>
      </c>
      <c r="E1525" s="158">
        <f>SUM(E1526:E1529)</f>
        <v>-345186.44</v>
      </c>
      <c r="F1525" s="158">
        <f>SUM(F1526:F1529)</f>
        <v>0</v>
      </c>
      <c r="G1525" s="158">
        <f>SUM(G1526:G1529)</f>
        <v>0</v>
      </c>
      <c r="H1525" s="154">
        <f t="shared" si="87"/>
        <v>0</v>
      </c>
      <c r="I1525" s="154">
        <f t="shared" si="88"/>
        <v>-345186.44</v>
      </c>
    </row>
    <row r="1526" spans="1:14" hidden="1">
      <c r="A1526" s="151">
        <f t="shared" si="86"/>
        <v>1</v>
      </c>
      <c r="B1526" s="151" t="s">
        <v>206</v>
      </c>
      <c r="C1526" s="159">
        <v>4801</v>
      </c>
      <c r="D1526" s="160" t="s">
        <v>1118</v>
      </c>
      <c r="E1526" s="161">
        <f>SUMIF(Lanç!C3:C114,C1526,Lanç!F3:F114)</f>
        <v>0</v>
      </c>
      <c r="F1526" s="161">
        <f>SUMIF(Lanç!C115:C6504,C1526,Lanç!F115:F6504)</f>
        <v>0</v>
      </c>
      <c r="G1526" s="161">
        <f>SUMIF(Lanç!C115:C6504,C1526,Lanç!G115:G6504)</f>
        <v>0</v>
      </c>
      <c r="H1526" s="162">
        <f t="shared" si="87"/>
        <v>0</v>
      </c>
      <c r="I1526" s="162">
        <f t="shared" si="88"/>
        <v>0</v>
      </c>
    </row>
    <row r="1527" spans="1:14">
      <c r="A1527" s="151">
        <f t="shared" si="86"/>
        <v>0</v>
      </c>
      <c r="B1527" s="151" t="s">
        <v>206</v>
      </c>
      <c r="C1527" s="159">
        <v>4802</v>
      </c>
      <c r="D1527" s="160" t="s">
        <v>1817</v>
      </c>
      <c r="E1527" s="161">
        <f>SUMIF(Lanç!$C$3:$C$114,C1527,Lanç!$F$3:$F$114)</f>
        <v>-345186.44</v>
      </c>
      <c r="F1527" s="161">
        <f>SUMIF(Lanç!$C$115:$C$6504,C1527,Lanç!$F$115:$F$6504)</f>
        <v>0</v>
      </c>
      <c r="G1527" s="161">
        <f>SUMIF(Lanç!$C$115:$C$6504,C1527,Lanç!$G$115:$G$6504)</f>
        <v>0</v>
      </c>
      <c r="H1527" s="162">
        <f t="shared" si="87"/>
        <v>0</v>
      </c>
      <c r="I1527" s="162">
        <f t="shared" si="88"/>
        <v>-345186.44</v>
      </c>
    </row>
    <row r="1528" spans="1:14" hidden="1">
      <c r="A1528" s="151">
        <f t="shared" si="86"/>
        <v>1</v>
      </c>
      <c r="B1528" s="151" t="s">
        <v>206</v>
      </c>
      <c r="C1528" s="159">
        <v>482</v>
      </c>
      <c r="D1528" s="160" t="s">
        <v>1119</v>
      </c>
      <c r="E1528" s="161">
        <f>SUMIF(Lanç!$C$3:$C$114,C1528,Lanç!$F$3:$F$114)</f>
        <v>0</v>
      </c>
      <c r="F1528" s="161">
        <f>SUMIF(Lanç!$C$115:$C$6504,C1528,Lanç!$F$115:$F$6504)</f>
        <v>0</v>
      </c>
      <c r="G1528" s="161">
        <f>SUMIF(Lanç!$C$115:$C$6504,C1528,Lanç!$G$115:$G$6504)</f>
        <v>0</v>
      </c>
      <c r="H1528" s="162">
        <f t="shared" si="87"/>
        <v>0</v>
      </c>
      <c r="I1528" s="162">
        <f t="shared" si="88"/>
        <v>0</v>
      </c>
    </row>
    <row r="1529" spans="1:14" hidden="1">
      <c r="A1529" s="151">
        <f t="shared" si="86"/>
        <v>1</v>
      </c>
      <c r="B1529" s="151" t="s">
        <v>206</v>
      </c>
      <c r="C1529" s="159">
        <v>483</v>
      </c>
      <c r="D1529" s="160" t="s">
        <v>1120</v>
      </c>
      <c r="E1529" s="161">
        <f>SUMIF(Lanç!$C$3:$C$114,C1529,Lanç!$F$3:$F$114)</f>
        <v>0</v>
      </c>
      <c r="F1529" s="161">
        <f>SUMIF(Lanç!$C$115:$C$6504,C1529,Lanç!$F$115:$F$6504)</f>
        <v>0</v>
      </c>
      <c r="G1529" s="161">
        <f>SUMIF(Lanç!$C$115:$C$6504,C1529,Lanç!$G$115:$G$6504)</f>
        <v>0</v>
      </c>
      <c r="H1529" s="162">
        <f t="shared" si="87"/>
        <v>0</v>
      </c>
      <c r="I1529" s="162">
        <f t="shared" si="88"/>
        <v>0</v>
      </c>
      <c r="J1529" s="1"/>
      <c r="K1529" s="1"/>
      <c r="L1529" s="1"/>
      <c r="M1529" s="1"/>
      <c r="N1529" s="1"/>
    </row>
    <row r="1530" spans="1:14" hidden="1">
      <c r="A1530" s="151">
        <f t="shared" si="86"/>
        <v>1</v>
      </c>
      <c r="B1530" s="155" t="s">
        <v>202</v>
      </c>
      <c r="C1530" s="156">
        <v>49</v>
      </c>
      <c r="D1530" s="157" t="s">
        <v>1121</v>
      </c>
      <c r="E1530" s="158">
        <f>SUM(E1531,E1535)</f>
        <v>0</v>
      </c>
      <c r="F1530" s="158">
        <f>SUM(F1531,F1535)</f>
        <v>0</v>
      </c>
      <c r="G1530" s="158">
        <f>SUM(G1531,G1535)</f>
        <v>0</v>
      </c>
      <c r="H1530" s="154">
        <f t="shared" si="87"/>
        <v>0</v>
      </c>
      <c r="I1530" s="154">
        <f t="shared" si="88"/>
        <v>0</v>
      </c>
    </row>
    <row r="1531" spans="1:14" hidden="1">
      <c r="A1531" s="151">
        <f t="shared" si="86"/>
        <v>1</v>
      </c>
      <c r="B1531" s="155" t="s">
        <v>204</v>
      </c>
      <c r="C1531" s="156">
        <v>491</v>
      </c>
      <c r="D1531" s="157" t="s">
        <v>1122</v>
      </c>
      <c r="E1531" s="158">
        <f>SUM(E1532:E1534)</f>
        <v>0</v>
      </c>
      <c r="F1531" s="158">
        <f>SUM(F1532:F1534)</f>
        <v>0</v>
      </c>
      <c r="G1531" s="158">
        <f>SUM(G1532:G1534)</f>
        <v>0</v>
      </c>
      <c r="H1531" s="154">
        <f t="shared" si="87"/>
        <v>0</v>
      </c>
      <c r="I1531" s="154">
        <f t="shared" si="88"/>
        <v>0</v>
      </c>
    </row>
    <row r="1532" spans="1:14" hidden="1">
      <c r="A1532" s="151">
        <f t="shared" si="86"/>
        <v>1</v>
      </c>
      <c r="B1532" s="151" t="s">
        <v>206</v>
      </c>
      <c r="C1532" s="159">
        <v>4911</v>
      </c>
      <c r="D1532" s="160" t="s">
        <v>1069</v>
      </c>
      <c r="E1532" s="161">
        <f>SUMIF(Lanç!$C$3:$C$114,C1532,Lanç!$F$3:$F$114)</f>
        <v>0</v>
      </c>
      <c r="F1532" s="161">
        <f>SUMIF(Lanç!$C$115:$C$6504,C1532,Lanç!$F$115:$F$6504)</f>
        <v>0</v>
      </c>
      <c r="G1532" s="161">
        <f>SUMIF(Lanç!$C$115:$C$6504,C1532,Lanç!$G$115:$G$6504)</f>
        <v>0</v>
      </c>
      <c r="H1532" s="162">
        <f t="shared" si="87"/>
        <v>0</v>
      </c>
      <c r="I1532" s="162">
        <f t="shared" si="88"/>
        <v>0</v>
      </c>
    </row>
    <row r="1533" spans="1:14" hidden="1">
      <c r="A1533" s="151">
        <f t="shared" si="86"/>
        <v>1</v>
      </c>
      <c r="B1533" s="151" t="s">
        <v>206</v>
      </c>
      <c r="C1533" s="159">
        <v>4912</v>
      </c>
      <c r="D1533" s="160" t="s">
        <v>1071</v>
      </c>
      <c r="E1533" s="161">
        <f>SUMIF(Lanç!$C$3:$C$114,C1533,Lanç!$F$3:$F$114)</f>
        <v>0</v>
      </c>
      <c r="F1533" s="161">
        <f>SUMIF(Lanç!$C$115:$C$6504,C1533,Lanç!$F$115:$F$6504)</f>
        <v>0</v>
      </c>
      <c r="G1533" s="161">
        <f>SUMIF(Lanç!$C$115:$C$6504,C1533,Lanç!$G$115:$G$6504)</f>
        <v>0</v>
      </c>
      <c r="H1533" s="162">
        <f t="shared" si="87"/>
        <v>0</v>
      </c>
      <c r="I1533" s="162">
        <f t="shared" si="88"/>
        <v>0</v>
      </c>
    </row>
    <row r="1534" spans="1:14" hidden="1">
      <c r="A1534" s="151">
        <f t="shared" si="86"/>
        <v>1</v>
      </c>
      <c r="B1534" s="151" t="s">
        <v>206</v>
      </c>
      <c r="C1534" s="159">
        <v>4913</v>
      </c>
      <c r="D1534" s="160" t="s">
        <v>1073</v>
      </c>
      <c r="E1534" s="161">
        <f>SUMIF(Lanç!$C$3:$C$114,C1534,Lanç!$F$3:$F$114)</f>
        <v>0</v>
      </c>
      <c r="F1534" s="161">
        <f>SUMIF(Lanç!$C$115:$C$6504,C1534,Lanç!$F$115:$F$6504)</f>
        <v>0</v>
      </c>
      <c r="G1534" s="161">
        <f>SUMIF(Lanç!$C$115:$C$6504,C1534,Lanç!$G$115:$G$6504)</f>
        <v>0</v>
      </c>
      <c r="H1534" s="162">
        <f t="shared" si="87"/>
        <v>0</v>
      </c>
      <c r="I1534" s="162">
        <f t="shared" si="88"/>
        <v>0</v>
      </c>
      <c r="J1534" s="1"/>
      <c r="K1534" s="1"/>
      <c r="L1534" s="1"/>
      <c r="M1534" s="1"/>
      <c r="N1534" s="1"/>
    </row>
    <row r="1535" spans="1:14" hidden="1">
      <c r="A1535" s="151">
        <f t="shared" si="86"/>
        <v>1</v>
      </c>
      <c r="B1535" s="155" t="s">
        <v>204</v>
      </c>
      <c r="C1535" s="156">
        <v>492</v>
      </c>
      <c r="D1535" s="157" t="s">
        <v>1123</v>
      </c>
      <c r="E1535" s="158">
        <f>SUM(E1536)</f>
        <v>0</v>
      </c>
      <c r="F1535" s="158">
        <f>SUM(F1536)</f>
        <v>0</v>
      </c>
      <c r="G1535" s="158">
        <f>SUM(G1536)</f>
        <v>0</v>
      </c>
      <c r="H1535" s="154">
        <f t="shared" si="87"/>
        <v>0</v>
      </c>
      <c r="I1535" s="154">
        <f t="shared" si="88"/>
        <v>0</v>
      </c>
    </row>
    <row r="1536" spans="1:14" hidden="1">
      <c r="A1536" s="151">
        <f t="shared" si="86"/>
        <v>1</v>
      </c>
      <c r="B1536" s="151" t="s">
        <v>206</v>
      </c>
      <c r="C1536" s="159">
        <v>4921</v>
      </c>
      <c r="D1536" s="160" t="s">
        <v>269</v>
      </c>
      <c r="E1536" s="161">
        <f>SUMIF(Lanç!$C$3:$C$114,C1536,Lanç!$F$3:$F$114)</f>
        <v>0</v>
      </c>
      <c r="F1536" s="161">
        <f>SUMIF(Lanç!$C$115:$C$6504,C1536,Lanç!$F$115:$F$6504)</f>
        <v>0</v>
      </c>
      <c r="G1536" s="161">
        <f>SUMIF(Lanç!$C$115:$C$6504,C1536,Lanç!$G$115:$G$6504)</f>
        <v>0</v>
      </c>
      <c r="H1536" s="162">
        <f t="shared" si="87"/>
        <v>0</v>
      </c>
      <c r="I1536" s="162">
        <f t="shared" si="88"/>
        <v>0</v>
      </c>
      <c r="J1536" s="58"/>
      <c r="K1536" s="58"/>
      <c r="L1536" s="58"/>
      <c r="M1536" s="58"/>
      <c r="N1536" s="58"/>
    </row>
    <row r="1537" spans="1:14">
      <c r="A1537" s="151">
        <f t="shared" si="86"/>
        <v>0</v>
      </c>
      <c r="B1537" s="152" t="s">
        <v>200</v>
      </c>
      <c r="C1537" s="153">
        <v>5</v>
      </c>
      <c r="D1537" s="164" t="s">
        <v>1124</v>
      </c>
      <c r="E1537" s="165">
        <f>SUM(E1538,E1543,E1550,E1552,E1555,E1557,E1564,E1567,E1569)</f>
        <v>-18842444.289999999</v>
      </c>
      <c r="F1537" s="165">
        <f>SUM(F1538,F1543,F1550,F1552,F1555,F1557,F1564,F1567,F1569)</f>
        <v>0</v>
      </c>
      <c r="G1537" s="165">
        <f>SUM(G1538,G1543,G1550,G1552,G1555,G1557,G1564,G1567,G1569)</f>
        <v>0</v>
      </c>
      <c r="H1537" s="154">
        <f t="shared" si="87"/>
        <v>0</v>
      </c>
      <c r="I1537" s="154">
        <f t="shared" si="88"/>
        <v>-18842444.289999999</v>
      </c>
      <c r="J1537" s="1"/>
      <c r="K1537" s="1"/>
      <c r="L1537" s="1"/>
      <c r="M1537" s="1"/>
      <c r="N1537" s="1"/>
    </row>
    <row r="1538" spans="1:14">
      <c r="A1538" s="151">
        <f t="shared" si="86"/>
        <v>0</v>
      </c>
      <c r="B1538" s="155" t="s">
        <v>202</v>
      </c>
      <c r="C1538" s="156">
        <v>51</v>
      </c>
      <c r="D1538" s="157" t="s">
        <v>1125</v>
      </c>
      <c r="E1538" s="158">
        <f>SUM(E1539)</f>
        <v>-4250000</v>
      </c>
      <c r="F1538" s="158">
        <f>SUM(F1539)</f>
        <v>0</v>
      </c>
      <c r="G1538" s="158">
        <f>SUM(G1539)</f>
        <v>0</v>
      </c>
      <c r="H1538" s="154">
        <f t="shared" si="87"/>
        <v>0</v>
      </c>
      <c r="I1538" s="154">
        <f t="shared" si="88"/>
        <v>-4250000</v>
      </c>
    </row>
    <row r="1539" spans="1:14">
      <c r="A1539" s="151">
        <f t="shared" si="86"/>
        <v>0</v>
      </c>
      <c r="B1539" s="155" t="s">
        <v>206</v>
      </c>
      <c r="C1539" s="156">
        <v>511</v>
      </c>
      <c r="D1539" s="157" t="s">
        <v>1126</v>
      </c>
      <c r="E1539" s="158">
        <f>SUM(E1540:E1542)</f>
        <v>-4250000</v>
      </c>
      <c r="F1539" s="158">
        <f>SUM(F1540:F1542)</f>
        <v>0</v>
      </c>
      <c r="G1539" s="158">
        <f>SUM(G1540:G1542)</f>
        <v>0</v>
      </c>
      <c r="H1539" s="163">
        <f t="shared" si="87"/>
        <v>0</v>
      </c>
      <c r="I1539" s="163">
        <f t="shared" si="88"/>
        <v>-4250000</v>
      </c>
      <c r="J1539" s="1"/>
      <c r="K1539" s="1"/>
      <c r="L1539" s="1"/>
      <c r="M1539" s="1"/>
      <c r="N1539" s="1"/>
    </row>
    <row r="1540" spans="1:14">
      <c r="A1540" s="151">
        <f t="shared" si="86"/>
        <v>0</v>
      </c>
      <c r="B1540" s="151" t="s">
        <v>206</v>
      </c>
      <c r="C1540" s="156">
        <v>5111</v>
      </c>
      <c r="D1540" s="160" t="s">
        <v>1127</v>
      </c>
      <c r="E1540" s="161">
        <f>SUMIF(Lanç!C3:C114,C1540,Lanç!F3:F114)</f>
        <v>-3825000</v>
      </c>
      <c r="F1540" s="161">
        <f>SUMIF(Lanç!C115:C6504,C1540,Lanç!F115:F6504)</f>
        <v>0</v>
      </c>
      <c r="G1540" s="161">
        <f>SUMIF(Lanç!C115:C6504,C1540,Lanç!G115:G6504)</f>
        <v>0</v>
      </c>
      <c r="H1540" s="162">
        <f t="shared" si="87"/>
        <v>0</v>
      </c>
      <c r="I1540" s="162">
        <f t="shared" si="88"/>
        <v>-3825000</v>
      </c>
      <c r="J1540" s="1"/>
      <c r="K1540" s="1"/>
      <c r="L1540" s="1"/>
      <c r="M1540" s="1"/>
      <c r="N1540" s="1"/>
    </row>
    <row r="1541" spans="1:14" hidden="1">
      <c r="A1541" s="151">
        <f t="shared" si="86"/>
        <v>1</v>
      </c>
      <c r="B1541" s="151" t="s">
        <v>206</v>
      </c>
      <c r="C1541" s="156">
        <v>5112</v>
      </c>
      <c r="D1541" s="160" t="s">
        <v>882</v>
      </c>
      <c r="E1541" s="161">
        <f>SUMIF(Lanç!$C$3:$C$114,C1541,Lanç!$F$3:$F$114)</f>
        <v>0</v>
      </c>
      <c r="F1541" s="161">
        <f>SUMIF(Lanç!$C$115:$C$6504,C1541,Lanç!$F$115:$F$6504)</f>
        <v>0</v>
      </c>
      <c r="G1541" s="161">
        <f>SUMIF(Lanç!$C$115:$C$6504,C1541,Lanç!$G$115:$G$6504)</f>
        <v>0</v>
      </c>
      <c r="H1541" s="162">
        <f t="shared" si="87"/>
        <v>0</v>
      </c>
      <c r="I1541" s="162">
        <f t="shared" si="88"/>
        <v>0</v>
      </c>
      <c r="J1541" s="1"/>
      <c r="K1541" s="1"/>
      <c r="L1541" s="1"/>
      <c r="M1541" s="1"/>
      <c r="N1541" s="1"/>
    </row>
    <row r="1542" spans="1:14">
      <c r="A1542" s="151">
        <f t="shared" si="86"/>
        <v>0</v>
      </c>
      <c r="B1542" s="151" t="s">
        <v>206</v>
      </c>
      <c r="C1542" s="156">
        <v>5113</v>
      </c>
      <c r="D1542" s="160" t="s">
        <v>1128</v>
      </c>
      <c r="E1542" s="161">
        <f>SUMIF(Lanç!C3:C114,C1542,Lanç!F3:F114)</f>
        <v>-425000</v>
      </c>
      <c r="F1542" s="161">
        <f>SUMIF(Lanç!C115:C6504,C1542,Lanç!F115:F6504)</f>
        <v>0</v>
      </c>
      <c r="G1542" s="161">
        <f>SUMIF(Lanç!C115:C6504,C1542,Lanç!G115:G6504)</f>
        <v>0</v>
      </c>
      <c r="H1542" s="162">
        <f t="shared" si="87"/>
        <v>0</v>
      </c>
      <c r="I1542" s="162">
        <f t="shared" si="88"/>
        <v>-425000</v>
      </c>
      <c r="J1542" s="1"/>
      <c r="K1542" s="1"/>
      <c r="L1542" s="1"/>
      <c r="M1542" s="1"/>
      <c r="N1542" s="1"/>
    </row>
    <row r="1543" spans="1:14" hidden="1">
      <c r="A1543" s="151">
        <f t="shared" si="86"/>
        <v>1</v>
      </c>
      <c r="B1543" s="155" t="s">
        <v>202</v>
      </c>
      <c r="C1543" s="156">
        <v>52</v>
      </c>
      <c r="D1543" s="157" t="s">
        <v>1129</v>
      </c>
      <c r="E1543" s="158">
        <f>SUM(E1544)</f>
        <v>0</v>
      </c>
      <c r="F1543" s="158">
        <f>SUMIF(Lanç!$C$115:$C$6504,C1543,Lanç!$F$115:$F$6504)</f>
        <v>0</v>
      </c>
      <c r="G1543" s="158">
        <f>SUMIF(Lanç!$C$115:$C$6504,C1543,Lanç!$G$115:$G$6504)</f>
        <v>0</v>
      </c>
      <c r="H1543" s="154">
        <f t="shared" si="87"/>
        <v>0</v>
      </c>
      <c r="I1543" s="154">
        <f t="shared" si="88"/>
        <v>0</v>
      </c>
    </row>
    <row r="1544" spans="1:14" hidden="1">
      <c r="A1544" s="151">
        <f t="shared" si="86"/>
        <v>1</v>
      </c>
      <c r="B1544" s="155" t="s">
        <v>204</v>
      </c>
      <c r="C1544" s="156">
        <v>521</v>
      </c>
      <c r="D1544" s="157" t="s">
        <v>1130</v>
      </c>
      <c r="E1544" s="158">
        <f>SUM(E1545)</f>
        <v>0</v>
      </c>
      <c r="F1544" s="158">
        <f>SUMIF(Lanç!$C$115:$C$6504,C1544,Lanç!$F$115:$F$6504)</f>
        <v>0</v>
      </c>
      <c r="G1544" s="158">
        <f>SUMIF(Lanç!$C$115:$C$6504,C1544,Lanç!$G$115:$G$6504)</f>
        <v>0</v>
      </c>
      <c r="H1544" s="154">
        <f t="shared" si="87"/>
        <v>0</v>
      </c>
      <c r="I1544" s="154">
        <f t="shared" si="88"/>
        <v>0</v>
      </c>
    </row>
    <row r="1545" spans="1:14" hidden="1">
      <c r="A1545" s="151">
        <f t="shared" si="86"/>
        <v>1</v>
      </c>
      <c r="B1545" s="151" t="s">
        <v>206</v>
      </c>
      <c r="C1545" s="159">
        <v>5211</v>
      </c>
      <c r="D1545" s="160" t="s">
        <v>1130</v>
      </c>
      <c r="E1545" s="161">
        <f>SUMIF(Lanç!$C$3:$C$114,C1545,Lanç!$F$3:$F$114)</f>
        <v>0</v>
      </c>
      <c r="F1545" s="161">
        <f>SUMIF(Lanç!$C$115:$C$6504,C1545,Lanç!$F$115:$F$6504)</f>
        <v>0</v>
      </c>
      <c r="G1545" s="161">
        <f>SUMIF(Lanç!$C$115:$C$6504,C1545,Lanç!$G$115:$G$6504)</f>
        <v>0</v>
      </c>
      <c r="H1545" s="162">
        <f t="shared" si="87"/>
        <v>0</v>
      </c>
      <c r="I1545" s="162">
        <f t="shared" si="88"/>
        <v>0</v>
      </c>
      <c r="J1545" s="1"/>
      <c r="K1545" s="1"/>
      <c r="L1545" s="1"/>
      <c r="M1545" s="1"/>
      <c r="N1545" s="1"/>
    </row>
    <row r="1546" spans="1:14" hidden="1">
      <c r="A1546" s="151">
        <f t="shared" si="86"/>
        <v>1</v>
      </c>
      <c r="B1546" s="155" t="s">
        <v>204</v>
      </c>
      <c r="C1546" s="156">
        <v>522</v>
      </c>
      <c r="D1546" s="157" t="s">
        <v>1131</v>
      </c>
      <c r="E1546" s="158">
        <f>SUM(E1547)</f>
        <v>0</v>
      </c>
      <c r="F1546" s="158">
        <f>SUMIF(Lanç!$C$115:$C$6504,C1546,Lanç!$F$115:$F$6504)</f>
        <v>0</v>
      </c>
      <c r="G1546" s="158">
        <f>SUMIF(Lanç!$C$115:$C$6504,C1546,Lanç!$G$115:$G$6504)</f>
        <v>0</v>
      </c>
      <c r="H1546" s="154">
        <f t="shared" si="87"/>
        <v>0</v>
      </c>
      <c r="I1546" s="154">
        <f t="shared" si="88"/>
        <v>0</v>
      </c>
    </row>
    <row r="1547" spans="1:14" hidden="1">
      <c r="A1547" s="151">
        <f t="shared" si="86"/>
        <v>1</v>
      </c>
      <c r="B1547" s="151" t="s">
        <v>206</v>
      </c>
      <c r="C1547" s="159">
        <v>5221</v>
      </c>
      <c r="D1547" s="160" t="s">
        <v>1131</v>
      </c>
      <c r="E1547" s="161">
        <f>SUMIF(Lanç!$C$3:$C$114,C1547,Lanç!$F$3:$F$114)</f>
        <v>0</v>
      </c>
      <c r="F1547" s="161">
        <f>SUMIF(Lanç!$C$115:$C$6504,C1547,Lanç!$F$115:$F$6504)</f>
        <v>0</v>
      </c>
      <c r="G1547" s="161">
        <f>SUMIF(Lanç!$C$115:$C$6504,C1547,Lanç!$G$115:$G$6504)</f>
        <v>0</v>
      </c>
      <c r="H1547" s="162">
        <f t="shared" si="87"/>
        <v>0</v>
      </c>
      <c r="I1547" s="162">
        <f t="shared" si="88"/>
        <v>0</v>
      </c>
      <c r="J1547" s="1"/>
      <c r="K1547" s="1"/>
      <c r="L1547" s="1"/>
      <c r="M1547" s="1"/>
      <c r="N1547" s="1"/>
    </row>
    <row r="1548" spans="1:14" hidden="1">
      <c r="A1548" s="151">
        <f t="shared" si="86"/>
        <v>1</v>
      </c>
      <c r="B1548" s="155" t="s">
        <v>204</v>
      </c>
      <c r="C1548" s="156">
        <v>523</v>
      </c>
      <c r="D1548" s="157" t="s">
        <v>1132</v>
      </c>
      <c r="E1548" s="158">
        <f>SUM(E1549)</f>
        <v>0</v>
      </c>
      <c r="F1548" s="158">
        <f>SUMIF(Lanç!$C$115:$C$6504,C1548,Lanç!$F$115:$F$6504)</f>
        <v>0</v>
      </c>
      <c r="G1548" s="158">
        <f>SUMIF(Lanç!$C$115:$C$6504,C1548,Lanç!$G$115:$G$6504)</f>
        <v>0</v>
      </c>
      <c r="H1548" s="154">
        <f t="shared" si="87"/>
        <v>0</v>
      </c>
      <c r="I1548" s="154">
        <f t="shared" si="88"/>
        <v>0</v>
      </c>
    </row>
    <row r="1549" spans="1:14" hidden="1">
      <c r="A1549" s="151">
        <f t="shared" si="86"/>
        <v>1</v>
      </c>
      <c r="B1549" s="151" t="s">
        <v>206</v>
      </c>
      <c r="C1549" s="159">
        <v>5231</v>
      </c>
      <c r="D1549" s="160" t="s">
        <v>1132</v>
      </c>
      <c r="E1549" s="161">
        <f>SUMIF(Lanç!$C$3:$C$114,C1549,Lanç!$F$3:$F$114)</f>
        <v>0</v>
      </c>
      <c r="F1549" s="161">
        <f>SUMIF(Lanç!$C$115:$C$6504,C1549,Lanç!$F$115:$F$6504)</f>
        <v>0</v>
      </c>
      <c r="G1549" s="161">
        <f>SUMIF(Lanç!$C$115:$C$6504,C1549,Lanç!$G$115:$G$6504)</f>
        <v>0</v>
      </c>
      <c r="H1549" s="162">
        <f t="shared" si="87"/>
        <v>0</v>
      </c>
      <c r="I1549" s="162">
        <f t="shared" si="88"/>
        <v>0</v>
      </c>
      <c r="J1549" s="1"/>
      <c r="K1549" s="1"/>
      <c r="L1549" s="1"/>
      <c r="M1549" s="1"/>
      <c r="N1549" s="1"/>
    </row>
    <row r="1550" spans="1:14" hidden="1">
      <c r="A1550" s="151">
        <f t="shared" si="86"/>
        <v>1</v>
      </c>
      <c r="B1550" s="155" t="s">
        <v>202</v>
      </c>
      <c r="C1550" s="156">
        <v>53</v>
      </c>
      <c r="D1550" s="157" t="s">
        <v>1133</v>
      </c>
      <c r="E1550" s="158">
        <f>SUM(E1551)</f>
        <v>0</v>
      </c>
      <c r="F1550" s="158">
        <f>SUMIF(Lanç!$C$115:$C$6504,C1550,Lanç!$F$115:$F$6504)</f>
        <v>0</v>
      </c>
      <c r="G1550" s="158">
        <f>SUMIF(Lanç!$C$115:$C$6504,C1550,Lanç!$G$115:$G$6504)</f>
        <v>0</v>
      </c>
      <c r="H1550" s="154">
        <f t="shared" si="87"/>
        <v>0</v>
      </c>
      <c r="I1550" s="154">
        <f t="shared" si="88"/>
        <v>0</v>
      </c>
    </row>
    <row r="1551" spans="1:14" hidden="1">
      <c r="A1551" s="151">
        <f t="shared" si="86"/>
        <v>1</v>
      </c>
      <c r="B1551" s="151" t="s">
        <v>206</v>
      </c>
      <c r="C1551" s="159">
        <v>531</v>
      </c>
      <c r="D1551" s="160" t="s">
        <v>1134</v>
      </c>
      <c r="E1551" s="161">
        <f>SUMIF(Lanç!$C$3:$C$114,C1551,Lanç!$F$3:$F$114)</f>
        <v>0</v>
      </c>
      <c r="F1551" s="161">
        <f>SUMIF(Lanç!$C$115:$C$6504,C1551,Lanç!$F$115:$F$6504)</f>
        <v>0</v>
      </c>
      <c r="G1551" s="161">
        <f>SUMIF(Lanç!$C$115:$C$6504,C1551,Lanç!$G$115:$G$6504)</f>
        <v>0</v>
      </c>
      <c r="H1551" s="162">
        <f t="shared" si="87"/>
        <v>0</v>
      </c>
      <c r="I1551" s="162">
        <f t="shared" si="88"/>
        <v>0</v>
      </c>
      <c r="J1551" s="1"/>
      <c r="K1551" s="1"/>
      <c r="L1551" s="1"/>
      <c r="M1551" s="1"/>
      <c r="N1551" s="1"/>
    </row>
    <row r="1552" spans="1:14">
      <c r="A1552" s="151">
        <f t="shared" si="86"/>
        <v>0</v>
      </c>
      <c r="B1552" s="155" t="s">
        <v>202</v>
      </c>
      <c r="C1552" s="156">
        <v>54</v>
      </c>
      <c r="D1552" s="157" t="s">
        <v>1135</v>
      </c>
      <c r="E1552" s="158">
        <f>SUM(E1553:E1554)</f>
        <v>-13282639.890000001</v>
      </c>
      <c r="F1552" s="158">
        <f>SUM(F1553:F1554)</f>
        <v>0</v>
      </c>
      <c r="G1552" s="158">
        <f>SUM(G1553:G1554)</f>
        <v>0</v>
      </c>
      <c r="H1552" s="154">
        <f t="shared" si="87"/>
        <v>0</v>
      </c>
      <c r="I1552" s="154">
        <f t="shared" si="88"/>
        <v>-13282639.890000001</v>
      </c>
    </row>
    <row r="1553" spans="1:14" hidden="1">
      <c r="A1553" s="151">
        <f t="shared" si="86"/>
        <v>1</v>
      </c>
      <c r="B1553" s="151" t="s">
        <v>206</v>
      </c>
      <c r="C1553" s="159">
        <v>541</v>
      </c>
      <c r="D1553" s="160" t="s">
        <v>1136</v>
      </c>
      <c r="E1553" s="161">
        <f>SUMIF(Lanç!$C$3:$C$114,C1553,Lanç!$F$3:$F$114)</f>
        <v>0</v>
      </c>
      <c r="F1553" s="161">
        <f>SUMIF(Lanç!$C$115:$C$6504,C1553,Lanç!$F$115:$F$6504)</f>
        <v>0</v>
      </c>
      <c r="G1553" s="161">
        <f>SUMIF(Lanç!$C$115:$C$6504,C1553,Lanç!$G$115:$G$6504)</f>
        <v>0</v>
      </c>
      <c r="H1553" s="162">
        <f t="shared" si="87"/>
        <v>0</v>
      </c>
      <c r="I1553" s="162">
        <f t="shared" si="88"/>
        <v>0</v>
      </c>
      <c r="J1553" s="1"/>
      <c r="K1553" s="1"/>
      <c r="L1553" s="1"/>
      <c r="M1553" s="1"/>
      <c r="N1553" s="1"/>
    </row>
    <row r="1554" spans="1:14">
      <c r="A1554" s="151">
        <f t="shared" si="86"/>
        <v>0</v>
      </c>
      <c r="B1554" s="151" t="s">
        <v>206</v>
      </c>
      <c r="C1554" s="159">
        <v>542</v>
      </c>
      <c r="D1554" s="160" t="s">
        <v>1137</v>
      </c>
      <c r="E1554" s="161">
        <f>SUMIF(Lanç!C3:C114,C1554,Lanç!F3:F114)</f>
        <v>-13282639.890000001</v>
      </c>
      <c r="F1554" s="161">
        <f>SUMIF(Lanç!C115:C6504,C1554,Lanç!F115:F6504)</f>
        <v>0</v>
      </c>
      <c r="G1554" s="161">
        <f>SUMIF(Lanç!C115:C6504,C1554,Lanç!G115:G6504)</f>
        <v>0</v>
      </c>
      <c r="H1554" s="162">
        <f t="shared" si="87"/>
        <v>0</v>
      </c>
      <c r="I1554" s="162">
        <f t="shared" si="88"/>
        <v>-13282639.890000001</v>
      </c>
      <c r="J1554" s="1"/>
      <c r="K1554" s="1"/>
      <c r="L1554" s="1"/>
      <c r="M1554" s="1"/>
      <c r="N1554" s="1"/>
    </row>
    <row r="1555" spans="1:14">
      <c r="A1555" s="151">
        <f t="shared" si="86"/>
        <v>0</v>
      </c>
      <c r="B1555" s="155" t="s">
        <v>202</v>
      </c>
      <c r="C1555" s="156">
        <v>55</v>
      </c>
      <c r="D1555" s="157" t="s">
        <v>1138</v>
      </c>
      <c r="E1555" s="158">
        <f>SUM(E1556)</f>
        <v>-1309804.3999999999</v>
      </c>
      <c r="F1555" s="158">
        <f>SUMIF(Lanç!C115:C6504,C1555,Lanç!F115:F6504)</f>
        <v>0</v>
      </c>
      <c r="G1555" s="158">
        <f>SUMIF(Lanç!C115:C6504,C1555,Lanç!G115:G6504)</f>
        <v>0</v>
      </c>
      <c r="H1555" s="154">
        <f t="shared" si="87"/>
        <v>0</v>
      </c>
      <c r="I1555" s="154">
        <f t="shared" si="88"/>
        <v>-1309804.3999999999</v>
      </c>
    </row>
    <row r="1556" spans="1:14">
      <c r="A1556" s="151">
        <f t="shared" si="86"/>
        <v>0</v>
      </c>
      <c r="B1556" s="151" t="s">
        <v>206</v>
      </c>
      <c r="C1556" s="159">
        <v>551</v>
      </c>
      <c r="D1556" s="160" t="s">
        <v>1139</v>
      </c>
      <c r="E1556" s="161">
        <f>SUMIF(Lanç!C3:C114,C1556,Lanç!F3:F114)</f>
        <v>-1309804.3999999999</v>
      </c>
      <c r="F1556" s="161">
        <f>SUMIF(Lanç!C115:C6504,C1556,Lanç!F115:F6504)</f>
        <v>0</v>
      </c>
      <c r="G1556" s="161">
        <f>SUMIF(Lanç!C115:C6504,C1556,Lanç!G115:G6504)</f>
        <v>0</v>
      </c>
      <c r="H1556" s="162">
        <f t="shared" si="87"/>
        <v>0</v>
      </c>
      <c r="I1556" s="162">
        <f t="shared" si="88"/>
        <v>-1309804.3999999999</v>
      </c>
      <c r="J1556" s="1"/>
      <c r="K1556" s="1"/>
      <c r="L1556" s="1"/>
      <c r="M1556" s="1"/>
      <c r="N1556" s="1"/>
    </row>
    <row r="1557" spans="1:14" hidden="1">
      <c r="A1557" s="151">
        <f t="shared" si="86"/>
        <v>1</v>
      </c>
      <c r="B1557" s="155" t="s">
        <v>202</v>
      </c>
      <c r="C1557" s="156">
        <v>56</v>
      </c>
      <c r="D1557" s="157" t="s">
        <v>1140</v>
      </c>
      <c r="E1557" s="158">
        <f>SUM(E1558,E1561)</f>
        <v>0</v>
      </c>
      <c r="F1557" s="158">
        <f>SUM(F1558,F1561)</f>
        <v>0</v>
      </c>
      <c r="G1557" s="158">
        <f>SUM(G1558,G1561)</f>
        <v>0</v>
      </c>
      <c r="H1557" s="154">
        <f t="shared" si="87"/>
        <v>0</v>
      </c>
      <c r="I1557" s="154">
        <f t="shared" si="88"/>
        <v>0</v>
      </c>
    </row>
    <row r="1558" spans="1:14" hidden="1">
      <c r="A1558" s="151">
        <f t="shared" si="86"/>
        <v>1</v>
      </c>
      <c r="B1558" s="155" t="s">
        <v>204</v>
      </c>
      <c r="C1558" s="156">
        <v>561</v>
      </c>
      <c r="D1558" s="157" t="s">
        <v>1141</v>
      </c>
      <c r="E1558" s="158">
        <f>SUM(E1559:E1560)</f>
        <v>0</v>
      </c>
      <c r="F1558" s="158">
        <f>SUM(F1559:F1560)</f>
        <v>0</v>
      </c>
      <c r="G1558" s="158">
        <f>SUM(G1559:G1560)</f>
        <v>0</v>
      </c>
      <c r="H1558" s="154">
        <f t="shared" si="87"/>
        <v>0</v>
      </c>
      <c r="I1558" s="154">
        <f t="shared" si="88"/>
        <v>0</v>
      </c>
    </row>
    <row r="1559" spans="1:14" hidden="1">
      <c r="A1559" s="151">
        <f t="shared" si="86"/>
        <v>1</v>
      </c>
      <c r="B1559" s="151" t="s">
        <v>206</v>
      </c>
      <c r="C1559" s="159">
        <v>5611</v>
      </c>
      <c r="D1559" s="160" t="s">
        <v>1142</v>
      </c>
      <c r="E1559" s="161">
        <f>SUMIF(Lanç!$C$3:$C$114,C1559,Lanç!$F$3:$F$114)</f>
        <v>0</v>
      </c>
      <c r="F1559" s="161">
        <f>SUMIF(Lanç!$C$115:$C$6504,C1559,Lanç!$F$115:$F$6504)</f>
        <v>0</v>
      </c>
      <c r="G1559" s="161">
        <f>SUMIF(Lanç!$C$115:$C$6504,C1559,Lanç!$G$115:$G$6504)</f>
        <v>0</v>
      </c>
      <c r="H1559" s="162">
        <f t="shared" si="87"/>
        <v>0</v>
      </c>
      <c r="I1559" s="162">
        <f t="shared" si="88"/>
        <v>0</v>
      </c>
    </row>
    <row r="1560" spans="1:14" hidden="1">
      <c r="A1560" s="151">
        <f t="shared" si="86"/>
        <v>1</v>
      </c>
      <c r="B1560" s="151" t="s">
        <v>206</v>
      </c>
      <c r="C1560" s="159">
        <v>5612</v>
      </c>
      <c r="D1560" s="160" t="s">
        <v>1142</v>
      </c>
      <c r="E1560" s="161">
        <f>SUMIF(Lanç!$C$3:$C$114,C1560,Lanç!$F$3:$F$114)</f>
        <v>0</v>
      </c>
      <c r="F1560" s="161">
        <f>SUMIF(Lanç!$C$115:$C$6504,C1560,Lanç!$F$115:$F$6504)</f>
        <v>0</v>
      </c>
      <c r="G1560" s="161">
        <f>SUMIF(Lanç!$C$115:$C$6504,C1560,Lanç!$G$115:$G$6504)</f>
        <v>0</v>
      </c>
      <c r="H1560" s="162">
        <f t="shared" si="87"/>
        <v>0</v>
      </c>
      <c r="I1560" s="162">
        <f t="shared" si="88"/>
        <v>0</v>
      </c>
      <c r="J1560" s="1"/>
      <c r="K1560" s="1"/>
      <c r="L1560" s="1"/>
      <c r="M1560" s="1"/>
      <c r="N1560" s="1"/>
    </row>
    <row r="1561" spans="1:14" hidden="1">
      <c r="A1561" s="151">
        <f t="shared" si="86"/>
        <v>1</v>
      </c>
      <c r="B1561" s="155" t="s">
        <v>204</v>
      </c>
      <c r="C1561" s="156">
        <v>562</v>
      </c>
      <c r="D1561" s="157" t="s">
        <v>1143</v>
      </c>
      <c r="E1561" s="158">
        <f>SUM(E1562:E1563)</f>
        <v>0</v>
      </c>
      <c r="F1561" s="158">
        <f>SUM(F1562:F1563)</f>
        <v>0</v>
      </c>
      <c r="G1561" s="158">
        <f>SUM(G1562:G1563)</f>
        <v>0</v>
      </c>
      <c r="H1561" s="154">
        <f t="shared" si="87"/>
        <v>0</v>
      </c>
      <c r="I1561" s="154">
        <f t="shared" si="88"/>
        <v>0</v>
      </c>
    </row>
    <row r="1562" spans="1:14" hidden="1">
      <c r="A1562" s="151">
        <f t="shared" si="86"/>
        <v>1</v>
      </c>
      <c r="B1562" s="151" t="s">
        <v>206</v>
      </c>
      <c r="C1562" s="159">
        <v>5621</v>
      </c>
      <c r="D1562" s="160" t="s">
        <v>1144</v>
      </c>
      <c r="E1562" s="161">
        <f>SUMIF(Lanç!$C$3:$C$114,C1562,Lanç!$F$3:$F$114)</f>
        <v>0</v>
      </c>
      <c r="F1562" s="161">
        <f>SUMIF(Lanç!$C$115:$C$6504,C1562,Lanç!$F$115:$F$6504)</f>
        <v>0</v>
      </c>
      <c r="G1562" s="161">
        <f>SUMIF(Lanç!$C$115:$C$6504,C1562,Lanç!$G$115:$G$6504)</f>
        <v>0</v>
      </c>
      <c r="H1562" s="162">
        <f t="shared" si="87"/>
        <v>0</v>
      </c>
      <c r="I1562" s="162">
        <f t="shared" si="88"/>
        <v>0</v>
      </c>
    </row>
    <row r="1563" spans="1:14" hidden="1">
      <c r="A1563" s="151">
        <f t="shared" si="86"/>
        <v>1</v>
      </c>
      <c r="B1563" s="151" t="s">
        <v>206</v>
      </c>
      <c r="C1563" s="159">
        <v>5622</v>
      </c>
      <c r="D1563" s="160" t="s">
        <v>1145</v>
      </c>
      <c r="E1563" s="161">
        <f>SUMIF(Lanç!$C$3:$C$114,C1563,Lanç!$F$3:$F$114)</f>
        <v>0</v>
      </c>
      <c r="F1563" s="161">
        <f>SUMIF(Lanç!$C$115:$C$6504,C1563,Lanç!$F$115:$F$6504)</f>
        <v>0</v>
      </c>
      <c r="G1563" s="161">
        <f>SUMIF(Lanç!$C$115:$C$6504,C1563,Lanç!$G$115:$G$6504)</f>
        <v>0</v>
      </c>
      <c r="H1563" s="162">
        <f t="shared" si="87"/>
        <v>0</v>
      </c>
      <c r="I1563" s="162">
        <f t="shared" si="88"/>
        <v>0</v>
      </c>
      <c r="J1563" s="1"/>
      <c r="K1563" s="1"/>
      <c r="L1563" s="1"/>
      <c r="M1563" s="1"/>
      <c r="N1563" s="1"/>
    </row>
    <row r="1564" spans="1:14" hidden="1">
      <c r="A1564" s="151">
        <f t="shared" si="86"/>
        <v>1</v>
      </c>
      <c r="B1564" s="155" t="s">
        <v>202</v>
      </c>
      <c r="C1564" s="156">
        <v>57</v>
      </c>
      <c r="D1564" s="157" t="s">
        <v>1146</v>
      </c>
      <c r="E1564" s="158">
        <f>SUM(E1565:E1566)</f>
        <v>0</v>
      </c>
      <c r="F1564" s="158">
        <f>SUM(F1565:F1566)</f>
        <v>0</v>
      </c>
      <c r="G1564" s="158">
        <f>SUM(G1565:G1566)</f>
        <v>0</v>
      </c>
      <c r="H1564" s="154">
        <f t="shared" si="87"/>
        <v>0</v>
      </c>
      <c r="I1564" s="154">
        <f t="shared" si="88"/>
        <v>0</v>
      </c>
    </row>
    <row r="1565" spans="1:14" hidden="1">
      <c r="A1565" s="151">
        <f t="shared" si="86"/>
        <v>1</v>
      </c>
      <c r="B1565" s="151" t="s">
        <v>206</v>
      </c>
      <c r="C1565" s="159">
        <v>571</v>
      </c>
      <c r="D1565" s="160" t="s">
        <v>1147</v>
      </c>
      <c r="E1565" s="161">
        <f>SUMIF(Lanç!$C$3:$C$114,C1565,Lanç!$F$3:$F$114)</f>
        <v>0</v>
      </c>
      <c r="F1565" s="161">
        <f>SUMIF(Lanç!$C$115:$C$6504,C1565,Lanç!$F$115:$F$6504)</f>
        <v>0</v>
      </c>
      <c r="G1565" s="161">
        <f>SUMIF(Lanç!$C$115:$C$6504,C1565,Lanç!$G$115:$G$6504)</f>
        <v>0</v>
      </c>
      <c r="H1565" s="162">
        <f t="shared" si="87"/>
        <v>0</v>
      </c>
      <c r="I1565" s="162">
        <f t="shared" si="88"/>
        <v>0</v>
      </c>
    </row>
    <row r="1566" spans="1:14" hidden="1">
      <c r="A1566" s="151">
        <f t="shared" si="86"/>
        <v>1</v>
      </c>
      <c r="B1566" s="151" t="s">
        <v>206</v>
      </c>
      <c r="C1566" s="159">
        <v>572</v>
      </c>
      <c r="D1566" s="160" t="s">
        <v>1148</v>
      </c>
      <c r="E1566" s="161">
        <f>SUMIF(Lanç!$C$3:$C$114,C1566,Lanç!$F$3:$F$114)</f>
        <v>0</v>
      </c>
      <c r="F1566" s="161">
        <f>SUMIF(Lanç!$C$115:$C$6504,C1566,Lanç!$F$115:$F$6504)</f>
        <v>0</v>
      </c>
      <c r="G1566" s="161">
        <f>SUMIF(Lanç!$C$115:$C$6504,C1566,Lanç!$G$115:$G$6504)</f>
        <v>0</v>
      </c>
      <c r="H1566" s="162">
        <f t="shared" si="87"/>
        <v>0</v>
      </c>
      <c r="I1566" s="162">
        <f t="shared" si="88"/>
        <v>0</v>
      </c>
      <c r="J1566" s="1"/>
      <c r="K1566" s="1"/>
      <c r="L1566" s="1"/>
      <c r="M1566" s="1"/>
      <c r="N1566" s="1"/>
    </row>
    <row r="1567" spans="1:14" hidden="1">
      <c r="A1567" s="151">
        <f t="shared" si="86"/>
        <v>1</v>
      </c>
      <c r="B1567" s="155" t="s">
        <v>202</v>
      </c>
      <c r="C1567" s="156">
        <v>58</v>
      </c>
      <c r="D1567" s="157" t="s">
        <v>1149</v>
      </c>
      <c r="E1567" s="158">
        <f>SUM(E1568)</f>
        <v>0</v>
      </c>
      <c r="F1567" s="158">
        <f>SUM(F1568)</f>
        <v>0</v>
      </c>
      <c r="G1567" s="158">
        <f>SUM(G1568)</f>
        <v>0</v>
      </c>
      <c r="H1567" s="154">
        <f t="shared" si="87"/>
        <v>0</v>
      </c>
      <c r="I1567" s="154">
        <f t="shared" si="88"/>
        <v>0</v>
      </c>
    </row>
    <row r="1568" spans="1:14" hidden="1">
      <c r="A1568" s="151">
        <f t="shared" si="86"/>
        <v>1</v>
      </c>
      <c r="B1568" s="151" t="s">
        <v>206</v>
      </c>
      <c r="C1568" s="159">
        <v>581</v>
      </c>
      <c r="D1568" s="160" t="s">
        <v>1150</v>
      </c>
      <c r="E1568" s="161">
        <f>SUMIF(Lanç!$C$3:$C$114,C1568,Lanç!$F$3:$F$114)</f>
        <v>0</v>
      </c>
      <c r="F1568" s="161">
        <f>SUMIF(Lanç!$C$115:$C$6504,C1568,Lanç!$F$115:$F$6504)</f>
        <v>0</v>
      </c>
      <c r="G1568" s="161">
        <f>SUMIF(Lanç!$C$115:$C$6504,C1568,Lanç!$G$115:$G$6504)</f>
        <v>0</v>
      </c>
      <c r="H1568" s="162">
        <f t="shared" si="87"/>
        <v>0</v>
      </c>
      <c r="I1568" s="162">
        <f t="shared" si="88"/>
        <v>0</v>
      </c>
      <c r="J1568" s="1"/>
      <c r="K1568" s="1"/>
      <c r="L1568" s="1"/>
      <c r="M1568" s="1"/>
      <c r="N1568" s="1"/>
    </row>
    <row r="1569" spans="1:14" hidden="1">
      <c r="A1569" s="151">
        <f t="shared" si="86"/>
        <v>1</v>
      </c>
      <c r="B1569" s="155" t="s">
        <v>202</v>
      </c>
      <c r="C1569" s="156">
        <v>59</v>
      </c>
      <c r="D1569" s="157" t="s">
        <v>269</v>
      </c>
      <c r="E1569" s="158">
        <f>SUMIF(Lanç!$C$3:$C$114,C1569,Lanç!$F$3:$F$114)</f>
        <v>0</v>
      </c>
      <c r="F1569" s="158">
        <f>SUMIF(Lanç!$C$115:$C$6504,C1569,Lanç!$F$115:$F$6504)</f>
        <v>0</v>
      </c>
      <c r="G1569" s="158">
        <f>SUMIF(Lanç!$C$115:$C$6504,C1569,Lanç!$G$115:$G$6504)</f>
        <v>0</v>
      </c>
      <c r="H1569" s="154">
        <f t="shared" si="87"/>
        <v>0</v>
      </c>
      <c r="I1569" s="154">
        <f t="shared" si="88"/>
        <v>0</v>
      </c>
      <c r="J1569" s="58"/>
      <c r="K1569" s="58"/>
      <c r="L1569" s="58"/>
      <c r="M1569" s="58"/>
      <c r="N1569" s="58"/>
    </row>
    <row r="1570" spans="1:14">
      <c r="A1570" s="151">
        <f t="shared" ref="A1570:A1633" si="89">IF(E1570+F1570+G1570+H1570+I1570=0,1,0)</f>
        <v>0</v>
      </c>
      <c r="B1570" s="152" t="s">
        <v>200</v>
      </c>
      <c r="C1570" s="153">
        <v>6</v>
      </c>
      <c r="D1570" s="164" t="s">
        <v>1151</v>
      </c>
      <c r="E1570" s="165">
        <f>SUM(E1571,E1634,E1651,E1665,E1678,E1687,E1734,E1739,E1789,E1804)</f>
        <v>0</v>
      </c>
      <c r="F1570" s="165">
        <f>SUM(F1571,F1634,F1633,F1651,F1665,F1678,F1687,F1734,F1739,F1789)</f>
        <v>327879276.26000005</v>
      </c>
      <c r="G1570" s="165">
        <f>SUM(G1571,G1634,G1651,G1665,G1678,G1687,G1734,G1739,G1789)</f>
        <v>327879276.26000005</v>
      </c>
      <c r="H1570" s="154">
        <f t="shared" ref="H1570:H1633" si="90">(F1570)-(G1570)</f>
        <v>0</v>
      </c>
      <c r="I1570" s="154">
        <f t="shared" ref="I1570:I1633" si="91">(E1570)+(H1570)</f>
        <v>0</v>
      </c>
      <c r="J1570" s="1"/>
      <c r="K1570" s="1"/>
      <c r="L1570" s="1"/>
      <c r="M1570" s="1"/>
      <c r="N1570" s="1"/>
    </row>
    <row r="1571" spans="1:14">
      <c r="A1571" s="151">
        <f t="shared" si="89"/>
        <v>0</v>
      </c>
      <c r="B1571" s="155" t="s">
        <v>202</v>
      </c>
      <c r="C1571" s="156">
        <v>61</v>
      </c>
      <c r="D1571" s="157" t="s">
        <v>1152</v>
      </c>
      <c r="E1571" s="158">
        <f>SUM(E1572,E1577,E1582,E1587,E1592,E1599,E1616)</f>
        <v>0</v>
      </c>
      <c r="F1571" s="158">
        <f>SUM(F1572,F1577,F1582,F1587,F1592,F1599,F1616)</f>
        <v>6400000</v>
      </c>
      <c r="G1571" s="158">
        <f>SUM(G1572,G1577,G1582,G1587,G1592,G1599,G1616,G1633)</f>
        <v>95353814.710000008</v>
      </c>
      <c r="H1571" s="154">
        <f t="shared" si="90"/>
        <v>-88953814.710000008</v>
      </c>
      <c r="I1571" s="154">
        <f t="shared" si="91"/>
        <v>-88953814.710000008</v>
      </c>
    </row>
    <row r="1572" spans="1:14">
      <c r="A1572" s="151">
        <f t="shared" si="89"/>
        <v>0</v>
      </c>
      <c r="B1572" s="155" t="s">
        <v>204</v>
      </c>
      <c r="C1572" s="156">
        <v>611</v>
      </c>
      <c r="D1572" s="157" t="s">
        <v>418</v>
      </c>
      <c r="E1572" s="158">
        <f>SUM(E1573,E1574)</f>
        <v>0</v>
      </c>
      <c r="F1572" s="158">
        <f>SUM(F1573,F1574)</f>
        <v>0</v>
      </c>
      <c r="G1572" s="158">
        <f>SUM(G1573,G1574)</f>
        <v>88953814.710000008</v>
      </c>
      <c r="H1572" s="154">
        <f t="shared" si="90"/>
        <v>-88953814.710000008</v>
      </c>
      <c r="I1572" s="154">
        <f t="shared" si="91"/>
        <v>-88953814.710000008</v>
      </c>
    </row>
    <row r="1573" spans="1:14">
      <c r="A1573" s="151">
        <f t="shared" si="89"/>
        <v>0</v>
      </c>
      <c r="B1573" s="151" t="s">
        <v>206</v>
      </c>
      <c r="C1573" s="159">
        <v>6111</v>
      </c>
      <c r="D1573" s="160" t="s">
        <v>1153</v>
      </c>
      <c r="E1573" s="161">
        <f>SUMIF(Lanç!$C$3:$C$114,C1573,Lanç!$F$3:$F$114)</f>
        <v>0</v>
      </c>
      <c r="F1573" s="161">
        <f>SUMIF(Lanç!$C$115:$C$6504,C1573,Lanç!$F$115:$F$6504)</f>
        <v>0</v>
      </c>
      <c r="G1573" s="161">
        <f>SUMIF(Lanç!$C$115:$C$6504,C1573,Lanç!$G$115:$G$6504)</f>
        <v>88953814.710000008</v>
      </c>
      <c r="H1573" s="162">
        <f t="shared" si="90"/>
        <v>-88953814.710000008</v>
      </c>
      <c r="I1573" s="162">
        <f t="shared" si="91"/>
        <v>-88953814.710000008</v>
      </c>
      <c r="J1573" s="1"/>
      <c r="K1573" s="1"/>
      <c r="L1573" s="1"/>
      <c r="M1573" s="1"/>
      <c r="N1573" s="1"/>
    </row>
    <row r="1574" spans="1:14" hidden="1">
      <c r="A1574" s="151">
        <f t="shared" si="89"/>
        <v>1</v>
      </c>
      <c r="B1574" s="155" t="s">
        <v>204</v>
      </c>
      <c r="C1574" s="156">
        <v>6112</v>
      </c>
      <c r="D1574" s="157" t="s">
        <v>1154</v>
      </c>
      <c r="E1574" s="158">
        <f>SUM(E1575:E1576)</f>
        <v>0</v>
      </c>
      <c r="F1574" s="158">
        <f>SUM(F1575:F1576)</f>
        <v>0</v>
      </c>
      <c r="G1574" s="158">
        <f>SUM(G1575:G1576)</f>
        <v>0</v>
      </c>
      <c r="H1574" s="154">
        <f t="shared" si="90"/>
        <v>0</v>
      </c>
      <c r="I1574" s="154">
        <f t="shared" si="91"/>
        <v>0</v>
      </c>
    </row>
    <row r="1575" spans="1:14" hidden="1">
      <c r="A1575" s="151">
        <f t="shared" si="89"/>
        <v>1</v>
      </c>
      <c r="B1575" s="151" t="s">
        <v>206</v>
      </c>
      <c r="C1575" s="159">
        <v>61121</v>
      </c>
      <c r="D1575" s="160" t="s">
        <v>1155</v>
      </c>
      <c r="E1575" s="161">
        <f>SUMIF(Lanç!$C$3:$C$114,C1575,Lanç!$F$3:$F$114)</f>
        <v>0</v>
      </c>
      <c r="F1575" s="161">
        <f>SUMIF(Lanç!$C$115:$C$6504,C1575,Lanç!$F$115:$F$6504)</f>
        <v>0</v>
      </c>
      <c r="G1575" s="161">
        <f>SUMIF(Lanç!$C$115:$C$6504,C1575,Lanç!$G$115:$G$6504)</f>
        <v>0</v>
      </c>
      <c r="H1575" s="162">
        <f t="shared" si="90"/>
        <v>0</v>
      </c>
      <c r="I1575" s="162">
        <f t="shared" si="91"/>
        <v>0</v>
      </c>
    </row>
    <row r="1576" spans="1:14" hidden="1">
      <c r="A1576" s="151">
        <f t="shared" si="89"/>
        <v>1</v>
      </c>
      <c r="B1576" s="151" t="s">
        <v>206</v>
      </c>
      <c r="C1576" s="159">
        <v>61122</v>
      </c>
      <c r="D1576" s="160" t="s">
        <v>1156</v>
      </c>
      <c r="E1576" s="161">
        <f>SUMIF(Lanç!$C$3:$C$114,C1576,Lanç!$F$3:$F$114)</f>
        <v>0</v>
      </c>
      <c r="F1576" s="161">
        <f>SUMIF(Lanç!$C$115:$C$6504,C1576,Lanç!$F$115:$F$6504)</f>
        <v>0</v>
      </c>
      <c r="G1576" s="161">
        <f>SUMIF(Lanç!$C$115:$C$6504,C1576,Lanç!$G$115:$G$6504)</f>
        <v>0</v>
      </c>
      <c r="H1576" s="162">
        <f t="shared" si="90"/>
        <v>0</v>
      </c>
      <c r="I1576" s="162">
        <f t="shared" si="91"/>
        <v>0</v>
      </c>
      <c r="J1576" s="1"/>
      <c r="K1576" s="1"/>
      <c r="L1576" s="1"/>
      <c r="M1576" s="1"/>
      <c r="N1576" s="1"/>
    </row>
    <row r="1577" spans="1:14" hidden="1">
      <c r="A1577" s="151">
        <f t="shared" si="89"/>
        <v>1</v>
      </c>
      <c r="B1577" s="155" t="s">
        <v>204</v>
      </c>
      <c r="C1577" s="156">
        <v>612</v>
      </c>
      <c r="D1577" s="157" t="s">
        <v>1157</v>
      </c>
      <c r="E1577" s="158">
        <f>SUM(E1578,E1579)</f>
        <v>0</v>
      </c>
      <c r="F1577" s="158">
        <f>SUM(F1578,F1579)</f>
        <v>0</v>
      </c>
      <c r="G1577" s="158">
        <f>SUM(G1578,G1579)</f>
        <v>0</v>
      </c>
      <c r="H1577" s="154">
        <f t="shared" si="90"/>
        <v>0</v>
      </c>
      <c r="I1577" s="154">
        <f t="shared" si="91"/>
        <v>0</v>
      </c>
    </row>
    <row r="1578" spans="1:14" hidden="1">
      <c r="A1578" s="151">
        <f t="shared" si="89"/>
        <v>1</v>
      </c>
      <c r="B1578" s="151" t="s">
        <v>206</v>
      </c>
      <c r="C1578" s="159">
        <v>6121</v>
      </c>
      <c r="D1578" s="160" t="s">
        <v>1158</v>
      </c>
      <c r="E1578" s="161">
        <f>SUMIF(Lanç!$C$3:$C$114,C1578,Lanç!$F$3:$F$114)</f>
        <v>0</v>
      </c>
      <c r="F1578" s="161">
        <f>SUMIF(Lanç!$C$115:$C$6504,C1578,Lanç!$F$115:$F$6504)</f>
        <v>0</v>
      </c>
      <c r="G1578" s="161">
        <f>SUMIF(Lanç!$C$115:$C$6504,C1578,Lanç!$G$115:$G$6504)</f>
        <v>0</v>
      </c>
      <c r="H1578" s="162">
        <f t="shared" si="90"/>
        <v>0</v>
      </c>
      <c r="I1578" s="162">
        <f t="shared" si="91"/>
        <v>0</v>
      </c>
      <c r="J1578" s="1"/>
      <c r="K1578" s="1"/>
      <c r="L1578" s="1"/>
      <c r="M1578" s="1"/>
      <c r="N1578" s="1"/>
    </row>
    <row r="1579" spans="1:14" hidden="1">
      <c r="A1579" s="151">
        <f t="shared" si="89"/>
        <v>1</v>
      </c>
      <c r="B1579" s="155" t="s">
        <v>204</v>
      </c>
      <c r="C1579" s="156">
        <v>6122</v>
      </c>
      <c r="D1579" s="157" t="s">
        <v>1154</v>
      </c>
      <c r="E1579" s="158">
        <f>SUM(E1580:E1581)</f>
        <v>0</v>
      </c>
      <c r="F1579" s="158">
        <f>SUM(F1580:F1581)</f>
        <v>0</v>
      </c>
      <c r="G1579" s="158">
        <f>SUM(G1580:G1581)</f>
        <v>0</v>
      </c>
      <c r="H1579" s="154">
        <f t="shared" si="90"/>
        <v>0</v>
      </c>
      <c r="I1579" s="154">
        <f t="shared" si="91"/>
        <v>0</v>
      </c>
    </row>
    <row r="1580" spans="1:14" hidden="1">
      <c r="A1580" s="151">
        <f t="shared" si="89"/>
        <v>1</v>
      </c>
      <c r="B1580" s="151" t="s">
        <v>206</v>
      </c>
      <c r="C1580" s="159">
        <v>61221</v>
      </c>
      <c r="D1580" s="160" t="s">
        <v>1155</v>
      </c>
      <c r="E1580" s="161">
        <f>SUMIF(Lanç!$C$3:$C$114,C1580,Lanç!$F$3:$F$114)</f>
        <v>0</v>
      </c>
      <c r="F1580" s="161">
        <f>SUMIF(Lanç!$C$115:$C$6504,C1580,Lanç!$F$115:$F$6504)</f>
        <v>0</v>
      </c>
      <c r="G1580" s="161">
        <f>SUMIF(Lanç!$C$115:$C$6504,C1580,Lanç!$G$115:$G$6504)</f>
        <v>0</v>
      </c>
      <c r="H1580" s="162">
        <f t="shared" si="90"/>
        <v>0</v>
      </c>
      <c r="I1580" s="162">
        <f t="shared" si="91"/>
        <v>0</v>
      </c>
    </row>
    <row r="1581" spans="1:14" hidden="1">
      <c r="A1581" s="151">
        <f t="shared" si="89"/>
        <v>1</v>
      </c>
      <c r="B1581" s="151" t="s">
        <v>206</v>
      </c>
      <c r="C1581" s="159">
        <v>61222</v>
      </c>
      <c r="D1581" s="160" t="s">
        <v>1156</v>
      </c>
      <c r="E1581" s="161">
        <f>SUMIF(Lanç!$C$3:$C$114,C1581,Lanç!$F$3:$F$114)</f>
        <v>0</v>
      </c>
      <c r="F1581" s="161">
        <f>SUMIF(Lanç!$C$115:$C$6504,C1581,Lanç!$F$115:$F$6504)</f>
        <v>0</v>
      </c>
      <c r="G1581" s="161">
        <f>SUMIF(Lanç!$C$115:$C$6504,C1581,Lanç!$G$115:$G$6504)</f>
        <v>0</v>
      </c>
      <c r="H1581" s="162">
        <f t="shared" si="90"/>
        <v>0</v>
      </c>
      <c r="I1581" s="162">
        <f t="shared" si="91"/>
        <v>0</v>
      </c>
      <c r="J1581" s="1"/>
      <c r="K1581" s="1"/>
      <c r="L1581" s="1"/>
      <c r="M1581" s="1"/>
      <c r="N1581" s="1"/>
    </row>
    <row r="1582" spans="1:14" hidden="1">
      <c r="A1582" s="151">
        <f t="shared" si="89"/>
        <v>1</v>
      </c>
      <c r="B1582" s="155" t="s">
        <v>204</v>
      </c>
      <c r="C1582" s="156">
        <v>613</v>
      </c>
      <c r="D1582" s="157" t="s">
        <v>349</v>
      </c>
      <c r="E1582" s="158">
        <f>SUM(E1583,E1584)</f>
        <v>0</v>
      </c>
      <c r="F1582" s="158">
        <f>SUM(F1583,F1584)</f>
        <v>0</v>
      </c>
      <c r="G1582" s="158">
        <f>SUM(G1583,G1584)</f>
        <v>0</v>
      </c>
      <c r="H1582" s="154">
        <f t="shared" si="90"/>
        <v>0</v>
      </c>
      <c r="I1582" s="154">
        <f t="shared" si="91"/>
        <v>0</v>
      </c>
    </row>
    <row r="1583" spans="1:14" hidden="1">
      <c r="A1583" s="151">
        <f t="shared" si="89"/>
        <v>1</v>
      </c>
      <c r="B1583" s="151" t="s">
        <v>206</v>
      </c>
      <c r="C1583" s="159">
        <v>6131</v>
      </c>
      <c r="D1583" s="160" t="s">
        <v>1158</v>
      </c>
      <c r="E1583" s="161">
        <f>SUMIF(Lanç!$C$3:$C$114,C1583,Lanç!$F$3:$F$114)</f>
        <v>0</v>
      </c>
      <c r="F1583" s="161">
        <f>SUMIF(Lanç!$C$115:$C$6504,C1583,Lanç!$F$115:$F$6504)</f>
        <v>0</v>
      </c>
      <c r="G1583" s="161">
        <f>SUMIF(Lanç!$C$115:$C$6504,C1583,Lanç!$G$115:$G$6504)</f>
        <v>0</v>
      </c>
      <c r="H1583" s="162">
        <f t="shared" si="90"/>
        <v>0</v>
      </c>
      <c r="I1583" s="162">
        <f t="shared" si="91"/>
        <v>0</v>
      </c>
      <c r="J1583" s="1"/>
      <c r="K1583" s="1"/>
      <c r="L1583" s="1"/>
      <c r="M1583" s="1"/>
      <c r="N1583" s="1"/>
    </row>
    <row r="1584" spans="1:14" hidden="1">
      <c r="A1584" s="151">
        <f t="shared" si="89"/>
        <v>1</v>
      </c>
      <c r="B1584" s="155" t="s">
        <v>204</v>
      </c>
      <c r="C1584" s="156">
        <v>6132</v>
      </c>
      <c r="D1584" s="157" t="s">
        <v>1154</v>
      </c>
      <c r="E1584" s="158">
        <f>SUM(E1585:E1586)</f>
        <v>0</v>
      </c>
      <c r="F1584" s="158">
        <f>SUM(F1585:F1586)</f>
        <v>0</v>
      </c>
      <c r="G1584" s="158">
        <f>SUM(G1585:G1586)</f>
        <v>0</v>
      </c>
      <c r="H1584" s="154">
        <f t="shared" si="90"/>
        <v>0</v>
      </c>
      <c r="I1584" s="154">
        <f t="shared" si="91"/>
        <v>0</v>
      </c>
    </row>
    <row r="1585" spans="1:14" hidden="1">
      <c r="A1585" s="151">
        <f t="shared" si="89"/>
        <v>1</v>
      </c>
      <c r="B1585" s="151" t="s">
        <v>206</v>
      </c>
      <c r="C1585" s="159">
        <v>61321</v>
      </c>
      <c r="D1585" s="160" t="s">
        <v>1155</v>
      </c>
      <c r="E1585" s="161">
        <f>SUMIF(Lanç!$C$3:$C$114,C1585,Lanç!$F$3:$F$114)</f>
        <v>0</v>
      </c>
      <c r="F1585" s="161">
        <f>SUMIF(Lanç!$C$115:$C$6504,C1585,Lanç!$F$115:$F$6504)</f>
        <v>0</v>
      </c>
      <c r="G1585" s="161">
        <f>SUMIF(Lanç!$C$115:$C$6504,C1585,Lanç!$G$115:$G$6504)</f>
        <v>0</v>
      </c>
      <c r="H1585" s="162">
        <f t="shared" si="90"/>
        <v>0</v>
      </c>
      <c r="I1585" s="162">
        <f t="shared" si="91"/>
        <v>0</v>
      </c>
    </row>
    <row r="1586" spans="1:14" hidden="1">
      <c r="A1586" s="151">
        <f t="shared" si="89"/>
        <v>1</v>
      </c>
      <c r="B1586" s="151" t="s">
        <v>206</v>
      </c>
      <c r="C1586" s="159">
        <v>61322</v>
      </c>
      <c r="D1586" s="160" t="s">
        <v>1156</v>
      </c>
      <c r="E1586" s="161">
        <f>SUMIF(Lanç!$C$3:$C$114,C1586,Lanç!$F$3:$F$114)</f>
        <v>0</v>
      </c>
      <c r="F1586" s="161">
        <f>SUMIF(Lanç!$C$115:$C$6504,C1586,Lanç!$F$115:$F$6504)</f>
        <v>0</v>
      </c>
      <c r="G1586" s="161">
        <f>SUMIF(Lanç!$C$115:$C$6504,C1586,Lanç!$G$115:$G$6504)</f>
        <v>0</v>
      </c>
      <c r="H1586" s="162">
        <f t="shared" si="90"/>
        <v>0</v>
      </c>
      <c r="I1586" s="162">
        <f t="shared" si="91"/>
        <v>0</v>
      </c>
      <c r="J1586" s="1"/>
      <c r="K1586" s="1"/>
      <c r="L1586" s="1"/>
      <c r="M1586" s="1"/>
      <c r="N1586" s="1"/>
    </row>
    <row r="1587" spans="1:14" hidden="1">
      <c r="A1587" s="151">
        <f t="shared" si="89"/>
        <v>1</v>
      </c>
      <c r="B1587" s="155" t="s">
        <v>204</v>
      </c>
      <c r="C1587" s="156">
        <v>614</v>
      </c>
      <c r="D1587" s="157" t="s">
        <v>327</v>
      </c>
      <c r="E1587" s="158">
        <f>SUM(E1588:E1589)</f>
        <v>0</v>
      </c>
      <c r="F1587" s="158">
        <f>SUM(F1588:F1589)</f>
        <v>0</v>
      </c>
      <c r="G1587" s="158">
        <f>SUM(G1588:G1589)</f>
        <v>0</v>
      </c>
      <c r="H1587" s="154">
        <f t="shared" si="90"/>
        <v>0</v>
      </c>
      <c r="I1587" s="154">
        <f t="shared" si="91"/>
        <v>0</v>
      </c>
    </row>
    <row r="1588" spans="1:14" hidden="1">
      <c r="A1588" s="151">
        <f t="shared" si="89"/>
        <v>1</v>
      </c>
      <c r="B1588" s="151" t="s">
        <v>206</v>
      </c>
      <c r="C1588" s="159">
        <v>6141</v>
      </c>
      <c r="D1588" s="160" t="s">
        <v>1158</v>
      </c>
      <c r="E1588" s="161">
        <f>SUMIF(Lanç!$C$3:$C$114,C1588,Lanç!$F$3:$F$114)</f>
        <v>0</v>
      </c>
      <c r="F1588" s="161">
        <f>SUMIF(Lanç!$C$115:$C$6504,C1588,Lanç!$F$115:$F$6504)</f>
        <v>0</v>
      </c>
      <c r="G1588" s="161">
        <f>SUMIF(Lanç!$C$115:$C$6504,C1588,Lanç!$G$115:$G$6504)</f>
        <v>0</v>
      </c>
      <c r="H1588" s="162">
        <f t="shared" si="90"/>
        <v>0</v>
      </c>
      <c r="I1588" s="162">
        <f t="shared" si="91"/>
        <v>0</v>
      </c>
      <c r="J1588" s="1"/>
      <c r="K1588" s="1"/>
      <c r="L1588" s="1"/>
      <c r="M1588" s="1"/>
      <c r="N1588" s="1"/>
    </row>
    <row r="1589" spans="1:14" hidden="1">
      <c r="A1589" s="151">
        <f t="shared" si="89"/>
        <v>1</v>
      </c>
      <c r="B1589" s="155" t="s">
        <v>204</v>
      </c>
      <c r="C1589" s="156">
        <v>6142</v>
      </c>
      <c r="D1589" s="157" t="s">
        <v>1154</v>
      </c>
      <c r="E1589" s="158">
        <f>SUM(E1590:E1591)</f>
        <v>0</v>
      </c>
      <c r="F1589" s="158">
        <f>SUM(F1590:F1591)</f>
        <v>0</v>
      </c>
      <c r="G1589" s="158">
        <f>SUM(G1590:G1591)</f>
        <v>0</v>
      </c>
      <c r="H1589" s="154">
        <f t="shared" si="90"/>
        <v>0</v>
      </c>
      <c r="I1589" s="154">
        <f t="shared" si="91"/>
        <v>0</v>
      </c>
    </row>
    <row r="1590" spans="1:14" hidden="1">
      <c r="A1590" s="151">
        <f t="shared" si="89"/>
        <v>1</v>
      </c>
      <c r="B1590" s="151" t="s">
        <v>206</v>
      </c>
      <c r="C1590" s="159">
        <v>61421</v>
      </c>
      <c r="D1590" s="160" t="s">
        <v>1155</v>
      </c>
      <c r="E1590" s="161">
        <f>SUMIF(Lanç!$C$3:$C$114,C1590,Lanç!$F$3:$F$114)</f>
        <v>0</v>
      </c>
      <c r="F1590" s="161">
        <f>SUMIF(Lanç!$C$115:$C$6504,C1590,Lanç!$F$115:$F$6504)</f>
        <v>0</v>
      </c>
      <c r="G1590" s="161">
        <f>SUMIF(Lanç!$C$115:$C$6504,C1590,Lanç!$G$115:$G$6504)</f>
        <v>0</v>
      </c>
      <c r="H1590" s="162">
        <f t="shared" si="90"/>
        <v>0</v>
      </c>
      <c r="I1590" s="162">
        <f t="shared" si="91"/>
        <v>0</v>
      </c>
    </row>
    <row r="1591" spans="1:14" hidden="1">
      <c r="A1591" s="151">
        <f t="shared" si="89"/>
        <v>1</v>
      </c>
      <c r="B1591" s="151" t="s">
        <v>206</v>
      </c>
      <c r="C1591" s="159">
        <v>61422</v>
      </c>
      <c r="D1591" s="160" t="s">
        <v>1156</v>
      </c>
      <c r="E1591" s="161">
        <f>SUMIF(Lanç!$C$3:$C$114,C1591,Lanç!$F$3:$F$114)</f>
        <v>0</v>
      </c>
      <c r="F1591" s="161">
        <f>SUMIF(Lanç!$C$115:$C$6504,C1591,Lanç!$F$115:$F$6504)</f>
        <v>0</v>
      </c>
      <c r="G1591" s="161">
        <f>SUMIF(Lanç!$C$115:$C$6504,C1591,Lanç!$G$115:$G$6504)</f>
        <v>0</v>
      </c>
      <c r="H1591" s="162">
        <f t="shared" si="90"/>
        <v>0</v>
      </c>
      <c r="I1591" s="162">
        <f t="shared" si="91"/>
        <v>0</v>
      </c>
      <c r="J1591" s="1"/>
      <c r="K1591" s="1"/>
      <c r="L1591" s="1"/>
      <c r="M1591" s="1"/>
      <c r="N1591" s="1"/>
    </row>
    <row r="1592" spans="1:14" hidden="1">
      <c r="A1592" s="151">
        <f t="shared" si="89"/>
        <v>1</v>
      </c>
      <c r="B1592" s="155" t="s">
        <v>204</v>
      </c>
      <c r="C1592" s="156">
        <v>615</v>
      </c>
      <c r="D1592" s="157" t="s">
        <v>1159</v>
      </c>
      <c r="E1592" s="158">
        <f>SUM(E1593:E1598)</f>
        <v>0</v>
      </c>
      <c r="F1592" s="158">
        <f>SUM(F1593:F1598)</f>
        <v>0</v>
      </c>
      <c r="G1592" s="158">
        <f>SUM(G1593:G1598)</f>
        <v>0</v>
      </c>
      <c r="H1592" s="154">
        <f t="shared" si="90"/>
        <v>0</v>
      </c>
      <c r="I1592" s="154">
        <f t="shared" si="91"/>
        <v>0</v>
      </c>
    </row>
    <row r="1593" spans="1:14" hidden="1">
      <c r="A1593" s="151">
        <f t="shared" si="89"/>
        <v>1</v>
      </c>
      <c r="B1593" s="151" t="s">
        <v>206</v>
      </c>
      <c r="C1593" s="159">
        <v>6151</v>
      </c>
      <c r="D1593" s="160" t="s">
        <v>418</v>
      </c>
      <c r="E1593" s="161">
        <f>SUMIF(Lanç!$C$3:$C$114,C1593,Lanç!$F$3:$F$114)</f>
        <v>0</v>
      </c>
      <c r="F1593" s="161">
        <f>SUMIF(Lanç!$C$115:$C$6504,C1593,Lanç!$F$115:$F$6504)</f>
        <v>0</v>
      </c>
      <c r="G1593" s="161">
        <f>SUMIF(Lanç!$C$115:$C$6504,C1593,Lanç!$G$115:$G$6504)</f>
        <v>0</v>
      </c>
      <c r="H1593" s="162">
        <f t="shared" si="90"/>
        <v>0</v>
      </c>
      <c r="I1593" s="162">
        <f t="shared" si="91"/>
        <v>0</v>
      </c>
    </row>
    <row r="1594" spans="1:14" hidden="1">
      <c r="A1594" s="151">
        <f t="shared" si="89"/>
        <v>1</v>
      </c>
      <c r="B1594" s="151" t="s">
        <v>206</v>
      </c>
      <c r="C1594" s="159">
        <v>6153</v>
      </c>
      <c r="D1594" s="160" t="s">
        <v>349</v>
      </c>
      <c r="E1594" s="161">
        <f>SUMIF(Lanç!$C$3:$C$114,C1594,Lanç!$F$3:$F$114)</f>
        <v>0</v>
      </c>
      <c r="F1594" s="161">
        <f>SUMIF(Lanç!$C$115:$C$6504,C1594,Lanç!$F$115:$F$6504)</f>
        <v>0</v>
      </c>
      <c r="G1594" s="161">
        <f>SUMIF(Lanç!$C$115:$C$6504,C1594,Lanç!$G$115:$G$6504)</f>
        <v>0</v>
      </c>
      <c r="H1594" s="162">
        <f t="shared" si="90"/>
        <v>0</v>
      </c>
      <c r="I1594" s="162">
        <f t="shared" si="91"/>
        <v>0</v>
      </c>
    </row>
    <row r="1595" spans="1:14" hidden="1">
      <c r="A1595" s="151">
        <f t="shared" si="89"/>
        <v>1</v>
      </c>
      <c r="B1595" s="151" t="s">
        <v>206</v>
      </c>
      <c r="C1595" s="159">
        <v>61611</v>
      </c>
      <c r="D1595" s="160" t="s">
        <v>1160</v>
      </c>
      <c r="E1595" s="161">
        <f>SUMIF(Lanç!$C$3:$C$114,C1595,Lanç!$F$3:$F$114)</f>
        <v>0</v>
      </c>
      <c r="F1595" s="161">
        <f>SUMIF(Lanç!$C$115:$C$6504,C1595,Lanç!$F$115:$F$6504)</f>
        <v>0</v>
      </c>
      <c r="G1595" s="161">
        <f>SUMIF(Lanç!$C$115:$C$6504,C1595,Lanç!$G$115:$G$6504)</f>
        <v>0</v>
      </c>
      <c r="H1595" s="162">
        <f t="shared" si="90"/>
        <v>0</v>
      </c>
      <c r="I1595" s="162">
        <f t="shared" si="91"/>
        <v>0</v>
      </c>
    </row>
    <row r="1596" spans="1:14" hidden="1">
      <c r="A1596" s="151">
        <f t="shared" si="89"/>
        <v>1</v>
      </c>
      <c r="B1596" s="151" t="s">
        <v>206</v>
      </c>
      <c r="C1596" s="159">
        <v>61621</v>
      </c>
      <c r="D1596" s="160" t="s">
        <v>1161</v>
      </c>
      <c r="E1596" s="161">
        <f>SUMIF(Lanç!$C$3:$C$114,C1596,Lanç!$F$3:$F$114)</f>
        <v>0</v>
      </c>
      <c r="F1596" s="161">
        <f>SUMIF(Lanç!$C$115:$C$6504,C1596,Lanç!$F$115:$F$6504)</f>
        <v>0</v>
      </c>
      <c r="G1596" s="161">
        <f>SUMIF(Lanç!$C$115:$C$6504,C1596,Lanç!$G$115:$G$6504)</f>
        <v>0</v>
      </c>
      <c r="H1596" s="162">
        <f t="shared" si="90"/>
        <v>0</v>
      </c>
      <c r="I1596" s="162">
        <f t="shared" si="91"/>
        <v>0</v>
      </c>
    </row>
    <row r="1597" spans="1:14" hidden="1">
      <c r="A1597" s="151">
        <f t="shared" si="89"/>
        <v>1</v>
      </c>
      <c r="B1597" s="151" t="s">
        <v>206</v>
      </c>
      <c r="C1597" s="159">
        <v>61631</v>
      </c>
      <c r="D1597" s="160" t="s">
        <v>1162</v>
      </c>
      <c r="E1597" s="161">
        <f>SUMIF(Lanç!$C$3:$C$114,C1597,Lanç!$F$3:$F$114)</f>
        <v>0</v>
      </c>
      <c r="F1597" s="161">
        <f>SUMIF(Lanç!$C$115:$C$6504,C1597,Lanç!$F$115:$F$6504)</f>
        <v>0</v>
      </c>
      <c r="G1597" s="161">
        <f>SUMIF(Lanç!$C$115:$C$6504,C1597,Lanç!$G$115:$G$6504)</f>
        <v>0</v>
      </c>
      <c r="H1597" s="162">
        <f t="shared" si="90"/>
        <v>0</v>
      </c>
      <c r="I1597" s="162">
        <f t="shared" si="91"/>
        <v>0</v>
      </c>
    </row>
    <row r="1598" spans="1:14" hidden="1">
      <c r="A1598" s="151">
        <f t="shared" si="89"/>
        <v>1</v>
      </c>
      <c r="B1598" s="151" t="s">
        <v>206</v>
      </c>
      <c r="C1598" s="159">
        <v>61641</v>
      </c>
      <c r="D1598" s="160" t="s">
        <v>1163</v>
      </c>
      <c r="E1598" s="161">
        <f>SUMIF(Lanç!$C$3:$C$114,C1598,Lanç!$F$3:$F$114)</f>
        <v>0</v>
      </c>
      <c r="F1598" s="161">
        <f>SUMIF(Lanç!$C$115:$C$6504,C1598,Lanç!$F$115:$F$6504)</f>
        <v>0</v>
      </c>
      <c r="G1598" s="161">
        <f>SUMIF(Lanç!$C$115:$C$6504,C1598,Lanç!$G$115:$G$6504)</f>
        <v>0</v>
      </c>
      <c r="H1598" s="162">
        <f t="shared" si="90"/>
        <v>0</v>
      </c>
      <c r="I1598" s="162">
        <f t="shared" si="91"/>
        <v>0</v>
      </c>
      <c r="J1598" s="1"/>
      <c r="K1598" s="1"/>
      <c r="L1598" s="1"/>
      <c r="M1598" s="1"/>
      <c r="N1598" s="1"/>
    </row>
    <row r="1599" spans="1:14">
      <c r="A1599" s="151">
        <f t="shared" si="89"/>
        <v>0</v>
      </c>
      <c r="B1599" s="155" t="s">
        <v>204</v>
      </c>
      <c r="C1599" s="156">
        <v>617</v>
      </c>
      <c r="D1599" s="157" t="s">
        <v>1164</v>
      </c>
      <c r="E1599" s="158">
        <f>SUM(E1600,E1605)</f>
        <v>0</v>
      </c>
      <c r="F1599" s="158">
        <f>SUM(F1600,F1605)</f>
        <v>6400000</v>
      </c>
      <c r="G1599" s="158">
        <f>SUM(G1600,G1605)</f>
        <v>0</v>
      </c>
      <c r="H1599" s="154">
        <f t="shared" si="90"/>
        <v>6400000</v>
      </c>
      <c r="I1599" s="154">
        <f t="shared" si="91"/>
        <v>6400000</v>
      </c>
    </row>
    <row r="1600" spans="1:14">
      <c r="A1600" s="151">
        <f t="shared" si="89"/>
        <v>0</v>
      </c>
      <c r="B1600" s="155" t="s">
        <v>204</v>
      </c>
      <c r="C1600" s="156">
        <v>6171</v>
      </c>
      <c r="D1600" s="157" t="s">
        <v>1158</v>
      </c>
      <c r="E1600" s="158">
        <f>SUM(E1601:E1604)</f>
        <v>0</v>
      </c>
      <c r="F1600" s="158">
        <f>SUM(F1601:F1604)</f>
        <v>6400000</v>
      </c>
      <c r="G1600" s="158">
        <f>SUM(G1601:G1604)</f>
        <v>0</v>
      </c>
      <c r="H1600" s="154">
        <f t="shared" si="90"/>
        <v>6400000</v>
      </c>
      <c r="I1600" s="154">
        <f t="shared" si="91"/>
        <v>6400000</v>
      </c>
    </row>
    <row r="1601" spans="1:14">
      <c r="A1601" s="151">
        <f t="shared" si="89"/>
        <v>0</v>
      </c>
      <c r="B1601" s="151" t="s">
        <v>206</v>
      </c>
      <c r="C1601" s="159">
        <v>61711</v>
      </c>
      <c r="D1601" s="160" t="s">
        <v>418</v>
      </c>
      <c r="E1601" s="161">
        <f>SUMIF(Lanç!$C$3:$C$114,C1601,Lanç!$F$3:$F$114)</f>
        <v>0</v>
      </c>
      <c r="F1601" s="161">
        <f>SUMIF(Lanç!$C$115:$C$6504,C1601,Lanç!$F$115:$F$6504)</f>
        <v>6400000</v>
      </c>
      <c r="G1601" s="161">
        <f>SUMIF(Lanç!$C$115:$C$6504,C1601,Lanç!$G$115:$G$6504)</f>
        <v>0</v>
      </c>
      <c r="H1601" s="162">
        <f t="shared" si="90"/>
        <v>6400000</v>
      </c>
      <c r="I1601" s="162">
        <f t="shared" si="91"/>
        <v>6400000</v>
      </c>
    </row>
    <row r="1602" spans="1:14" hidden="1">
      <c r="A1602" s="151">
        <f t="shared" si="89"/>
        <v>1</v>
      </c>
      <c r="B1602" s="151" t="s">
        <v>206</v>
      </c>
      <c r="C1602" s="159">
        <v>61712</v>
      </c>
      <c r="D1602" s="160" t="s">
        <v>1157</v>
      </c>
      <c r="E1602" s="161">
        <f>SUMIF(Lanç!$C$3:$C$114,C1602,Lanç!$F$3:$F$114)</f>
        <v>0</v>
      </c>
      <c r="F1602" s="161">
        <f>SUMIF(Lanç!$C$115:$C$6504,C1602,Lanç!$F$115:$F$6504)</f>
        <v>0</v>
      </c>
      <c r="G1602" s="161">
        <f>SUMIF(Lanç!$C$115:$C$6504,C1602,Lanç!$G$115:$G$6504)</f>
        <v>0</v>
      </c>
      <c r="H1602" s="162">
        <f t="shared" si="90"/>
        <v>0</v>
      </c>
      <c r="I1602" s="162">
        <f t="shared" si="91"/>
        <v>0</v>
      </c>
    </row>
    <row r="1603" spans="1:14" hidden="1">
      <c r="A1603" s="151">
        <f t="shared" si="89"/>
        <v>1</v>
      </c>
      <c r="B1603" s="151" t="s">
        <v>206</v>
      </c>
      <c r="C1603" s="159">
        <v>61713</v>
      </c>
      <c r="D1603" s="160" t="s">
        <v>349</v>
      </c>
      <c r="E1603" s="161">
        <f>SUMIF(Lanç!$C$3:$C$114,C1603,Lanç!$F$3:$F$114)</f>
        <v>0</v>
      </c>
      <c r="F1603" s="161">
        <f>SUMIF(Lanç!$C$115:$C$6504,C1603,Lanç!$F$115:$F$6504)</f>
        <v>0</v>
      </c>
      <c r="G1603" s="161">
        <f>SUMIF(Lanç!$C$115:$C$6504,C1603,Lanç!$G$115:$G$6504)</f>
        <v>0</v>
      </c>
      <c r="H1603" s="162">
        <f t="shared" si="90"/>
        <v>0</v>
      </c>
      <c r="I1603" s="162">
        <f t="shared" si="91"/>
        <v>0</v>
      </c>
    </row>
    <row r="1604" spans="1:14" hidden="1">
      <c r="A1604" s="151">
        <f t="shared" si="89"/>
        <v>1</v>
      </c>
      <c r="B1604" s="151" t="s">
        <v>206</v>
      </c>
      <c r="C1604" s="159">
        <v>61714</v>
      </c>
      <c r="D1604" s="160" t="s">
        <v>327</v>
      </c>
      <c r="E1604" s="161">
        <f>SUMIF(Lanç!$C$3:$C$114,C1604,Lanç!$F$3:$F$114)</f>
        <v>0</v>
      </c>
      <c r="F1604" s="161">
        <f>SUMIF(Lanç!$C$115:$C$6504,C1604,Lanç!$F$115:$F$6504)</f>
        <v>0</v>
      </c>
      <c r="G1604" s="161">
        <f>SUMIF(Lanç!$C$115:$C$6504,C1604,Lanç!$G$115:$G$6504)</f>
        <v>0</v>
      </c>
      <c r="H1604" s="162">
        <f t="shared" si="90"/>
        <v>0</v>
      </c>
      <c r="I1604" s="162">
        <f t="shared" si="91"/>
        <v>0</v>
      </c>
      <c r="J1604" s="1"/>
      <c r="K1604" s="1"/>
      <c r="L1604" s="1"/>
      <c r="M1604" s="1"/>
      <c r="N1604" s="1"/>
    </row>
    <row r="1605" spans="1:14" hidden="1">
      <c r="A1605" s="151">
        <f t="shared" si="89"/>
        <v>1</v>
      </c>
      <c r="B1605" s="155" t="s">
        <v>204</v>
      </c>
      <c r="C1605" s="156">
        <v>6172</v>
      </c>
      <c r="D1605" s="157" t="s">
        <v>1154</v>
      </c>
      <c r="E1605" s="158">
        <f>SUM(E1606,E1611)</f>
        <v>0</v>
      </c>
      <c r="F1605" s="158">
        <f>SUM(F1606,F1611)</f>
        <v>0</v>
      </c>
      <c r="G1605" s="158">
        <f>SUM(G1606,G1611)</f>
        <v>0</v>
      </c>
      <c r="H1605" s="154">
        <f t="shared" si="90"/>
        <v>0</v>
      </c>
      <c r="I1605" s="154">
        <f t="shared" si="91"/>
        <v>0</v>
      </c>
    </row>
    <row r="1606" spans="1:14" hidden="1">
      <c r="A1606" s="151">
        <f t="shared" si="89"/>
        <v>1</v>
      </c>
      <c r="B1606" s="155" t="s">
        <v>204</v>
      </c>
      <c r="C1606" s="156">
        <v>61721</v>
      </c>
      <c r="D1606" s="157" t="s">
        <v>1155</v>
      </c>
      <c r="E1606" s="158">
        <f>SUM(E1607:E1610)</f>
        <v>0</v>
      </c>
      <c r="F1606" s="158">
        <f>SUM(F1607:F1610)</f>
        <v>0</v>
      </c>
      <c r="G1606" s="158">
        <f>SUM(G1607:G1610)</f>
        <v>0</v>
      </c>
      <c r="H1606" s="154">
        <f t="shared" si="90"/>
        <v>0</v>
      </c>
      <c r="I1606" s="154">
        <f t="shared" si="91"/>
        <v>0</v>
      </c>
    </row>
    <row r="1607" spans="1:14" hidden="1">
      <c r="A1607" s="151">
        <f t="shared" si="89"/>
        <v>1</v>
      </c>
      <c r="B1607" s="151" t="s">
        <v>206</v>
      </c>
      <c r="C1607" s="159">
        <v>617211</v>
      </c>
      <c r="D1607" s="160" t="s">
        <v>418</v>
      </c>
      <c r="E1607" s="161">
        <f>SUMIF(Lanç!$C$3:$C$114,C1607,Lanç!$F$3:$F$114)</f>
        <v>0</v>
      </c>
      <c r="F1607" s="161">
        <f>SUMIF(Lanç!$C$115:$C$6504,C1607,Lanç!$F$115:$F$6504)</f>
        <v>0</v>
      </c>
      <c r="G1607" s="161">
        <f>SUMIF(Lanç!$C$115:$C$6504,C1607,Lanç!$G$115:$G$6504)</f>
        <v>0</v>
      </c>
      <c r="H1607" s="162">
        <f t="shared" si="90"/>
        <v>0</v>
      </c>
      <c r="I1607" s="162">
        <f t="shared" si="91"/>
        <v>0</v>
      </c>
    </row>
    <row r="1608" spans="1:14" hidden="1">
      <c r="A1608" s="151">
        <f t="shared" si="89"/>
        <v>1</v>
      </c>
      <c r="B1608" s="151" t="s">
        <v>206</v>
      </c>
      <c r="C1608" s="159">
        <v>617212</v>
      </c>
      <c r="D1608" s="160" t="s">
        <v>1157</v>
      </c>
      <c r="E1608" s="161">
        <f>SUMIF(Lanç!$C$3:$C$114,C1608,Lanç!$F$3:$F$114)</f>
        <v>0</v>
      </c>
      <c r="F1608" s="161">
        <f>SUMIF(Lanç!$C$115:$C$6504,C1608,Lanç!$F$115:$F$6504)</f>
        <v>0</v>
      </c>
      <c r="G1608" s="161">
        <f>SUMIF(Lanç!$C$115:$C$6504,C1608,Lanç!$G$115:$G$6504)</f>
        <v>0</v>
      </c>
      <c r="H1608" s="162">
        <f t="shared" si="90"/>
        <v>0</v>
      </c>
      <c r="I1608" s="162">
        <f t="shared" si="91"/>
        <v>0</v>
      </c>
    </row>
    <row r="1609" spans="1:14" hidden="1">
      <c r="A1609" s="151">
        <f t="shared" si="89"/>
        <v>1</v>
      </c>
      <c r="B1609" s="151" t="s">
        <v>206</v>
      </c>
      <c r="C1609" s="159">
        <v>617213</v>
      </c>
      <c r="D1609" s="160" t="s">
        <v>349</v>
      </c>
      <c r="E1609" s="161">
        <f>SUMIF(Lanç!$C$3:$C$114,C1609,Lanç!$F$3:$F$114)</f>
        <v>0</v>
      </c>
      <c r="F1609" s="161">
        <f>SUMIF(Lanç!$C$115:$C$6504,C1609,Lanç!$F$115:$F$6504)</f>
        <v>0</v>
      </c>
      <c r="G1609" s="161">
        <f>SUMIF(Lanç!$C$115:$C$6504,C1609,Lanç!$G$115:$G$6504)</f>
        <v>0</v>
      </c>
      <c r="H1609" s="162">
        <f t="shared" si="90"/>
        <v>0</v>
      </c>
      <c r="I1609" s="162">
        <f t="shared" si="91"/>
        <v>0</v>
      </c>
    </row>
    <row r="1610" spans="1:14" hidden="1">
      <c r="A1610" s="151">
        <f t="shared" si="89"/>
        <v>1</v>
      </c>
      <c r="B1610" s="151" t="s">
        <v>206</v>
      </c>
      <c r="C1610" s="159">
        <v>617214</v>
      </c>
      <c r="D1610" s="160" t="s">
        <v>327</v>
      </c>
      <c r="E1610" s="161">
        <f>SUMIF(Lanç!$C$3:$C$114,C1610,Lanç!$F$3:$F$114)</f>
        <v>0</v>
      </c>
      <c r="F1610" s="161">
        <f>SUMIF(Lanç!$C$115:$C$6504,C1610,Lanç!$F$115:$F$6504)</f>
        <v>0</v>
      </c>
      <c r="G1610" s="161">
        <f>SUMIF(Lanç!$C$115:$C$6504,C1610,Lanç!$G$115:$G$6504)</f>
        <v>0</v>
      </c>
      <c r="H1610" s="162">
        <f t="shared" si="90"/>
        <v>0</v>
      </c>
      <c r="I1610" s="162">
        <f t="shared" si="91"/>
        <v>0</v>
      </c>
      <c r="J1610" s="1"/>
      <c r="K1610" s="1"/>
      <c r="L1610" s="1"/>
      <c r="M1610" s="1"/>
      <c r="N1610" s="1"/>
    </row>
    <row r="1611" spans="1:14" hidden="1">
      <c r="A1611" s="151">
        <f t="shared" si="89"/>
        <v>1</v>
      </c>
      <c r="B1611" s="155" t="s">
        <v>204</v>
      </c>
      <c r="C1611" s="156">
        <v>61722</v>
      </c>
      <c r="D1611" s="157" t="s">
        <v>1156</v>
      </c>
      <c r="E1611" s="158">
        <f>SUM(E1612:E1615)</f>
        <v>0</v>
      </c>
      <c r="F1611" s="158">
        <f>SUM(F1612:F1615)</f>
        <v>0</v>
      </c>
      <c r="G1611" s="158">
        <f>SUM(G1612:G1615)</f>
        <v>0</v>
      </c>
      <c r="H1611" s="154">
        <f t="shared" si="90"/>
        <v>0</v>
      </c>
      <c r="I1611" s="154">
        <f t="shared" si="91"/>
        <v>0</v>
      </c>
    </row>
    <row r="1612" spans="1:14" hidden="1">
      <c r="A1612" s="151">
        <f t="shared" si="89"/>
        <v>1</v>
      </c>
      <c r="B1612" s="151" t="s">
        <v>206</v>
      </c>
      <c r="C1612" s="159">
        <v>617221</v>
      </c>
      <c r="D1612" s="160" t="s">
        <v>418</v>
      </c>
      <c r="E1612" s="161">
        <f>SUMIF(Lanç!$C$3:$C$114,C1612,Lanç!$F$3:$F$114)</f>
        <v>0</v>
      </c>
      <c r="F1612" s="161">
        <f>SUMIF(Lanç!$C$115:$C$6504,C1612,Lanç!$F$115:$F$6504)</f>
        <v>0</v>
      </c>
      <c r="G1612" s="161">
        <f>SUMIF(Lanç!$C$115:$C$6504,C1612,Lanç!$G$115:$G$6504)</f>
        <v>0</v>
      </c>
      <c r="H1612" s="162">
        <f t="shared" si="90"/>
        <v>0</v>
      </c>
      <c r="I1612" s="162">
        <f t="shared" si="91"/>
        <v>0</v>
      </c>
    </row>
    <row r="1613" spans="1:14" hidden="1">
      <c r="A1613" s="151">
        <f t="shared" si="89"/>
        <v>1</v>
      </c>
      <c r="B1613" s="151" t="s">
        <v>206</v>
      </c>
      <c r="C1613" s="159">
        <v>617222</v>
      </c>
      <c r="D1613" s="160" t="s">
        <v>1157</v>
      </c>
      <c r="E1613" s="161">
        <f>SUMIF(Lanç!$C$3:$C$114,C1613,Lanç!$F$3:$F$114)</f>
        <v>0</v>
      </c>
      <c r="F1613" s="161">
        <f>SUMIF(Lanç!$C$115:$C$6504,C1613,Lanç!$F$115:$F$6504)</f>
        <v>0</v>
      </c>
      <c r="G1613" s="161">
        <f>SUMIF(Lanç!$C$115:$C$6504,C1613,Lanç!$G$115:$G$6504)</f>
        <v>0</v>
      </c>
      <c r="H1613" s="162">
        <f t="shared" si="90"/>
        <v>0</v>
      </c>
      <c r="I1613" s="162">
        <f t="shared" si="91"/>
        <v>0</v>
      </c>
    </row>
    <row r="1614" spans="1:14" hidden="1">
      <c r="A1614" s="151">
        <f t="shared" si="89"/>
        <v>1</v>
      </c>
      <c r="B1614" s="151" t="s">
        <v>206</v>
      </c>
      <c r="C1614" s="159">
        <v>617223</v>
      </c>
      <c r="D1614" s="160" t="s">
        <v>349</v>
      </c>
      <c r="E1614" s="161">
        <f>SUMIF(Lanç!$C$3:$C$114,C1614,Lanç!$F$3:$F$114)</f>
        <v>0</v>
      </c>
      <c r="F1614" s="161">
        <f>SUMIF(Lanç!$C$115:$C$6504,C1614,Lanç!$F$115:$F$6504)</f>
        <v>0</v>
      </c>
      <c r="G1614" s="161">
        <f>SUMIF(Lanç!$C$115:$C$6504,C1614,Lanç!$G$115:$G$6504)</f>
        <v>0</v>
      </c>
      <c r="H1614" s="162">
        <f t="shared" si="90"/>
        <v>0</v>
      </c>
      <c r="I1614" s="162">
        <f t="shared" si="91"/>
        <v>0</v>
      </c>
    </row>
    <row r="1615" spans="1:14" hidden="1">
      <c r="A1615" s="151">
        <f t="shared" si="89"/>
        <v>1</v>
      </c>
      <c r="B1615" s="151" t="s">
        <v>206</v>
      </c>
      <c r="C1615" s="159">
        <v>617224</v>
      </c>
      <c r="D1615" s="160" t="s">
        <v>327</v>
      </c>
      <c r="E1615" s="161">
        <f>SUMIF(Lanç!$C$3:$C$114,C1615,Lanç!$F$3:$F$114)</f>
        <v>0</v>
      </c>
      <c r="F1615" s="161">
        <f>SUMIF(Lanç!$C$115:$C$6504,C1615,Lanç!$F$115:$F$6504)</f>
        <v>0</v>
      </c>
      <c r="G1615" s="161">
        <f>SUMIF(Lanç!$C$115:$C$6504,C1615,Lanç!$G$115:$G$6504)</f>
        <v>0</v>
      </c>
      <c r="H1615" s="162">
        <f t="shared" si="90"/>
        <v>0</v>
      </c>
      <c r="I1615" s="162">
        <f t="shared" si="91"/>
        <v>0</v>
      </c>
      <c r="J1615" s="1"/>
      <c r="K1615" s="1"/>
      <c r="L1615" s="1"/>
      <c r="M1615" s="1"/>
      <c r="N1615" s="1"/>
    </row>
    <row r="1616" spans="1:14" hidden="1">
      <c r="A1616" s="151">
        <f t="shared" si="89"/>
        <v>1</v>
      </c>
      <c r="B1616" s="155" t="s">
        <v>204</v>
      </c>
      <c r="C1616" s="156">
        <v>618</v>
      </c>
      <c r="D1616" s="157" t="s">
        <v>1165</v>
      </c>
      <c r="E1616" s="158">
        <f>SUM(E1617,E1622)</f>
        <v>0</v>
      </c>
      <c r="F1616" s="158">
        <f>SUM(F1617,F1622)</f>
        <v>0</v>
      </c>
      <c r="G1616" s="158">
        <f>SUM(G1617,G1622)</f>
        <v>0</v>
      </c>
      <c r="H1616" s="154">
        <f t="shared" si="90"/>
        <v>0</v>
      </c>
      <c r="I1616" s="154">
        <f t="shared" si="91"/>
        <v>0</v>
      </c>
    </row>
    <row r="1617" spans="1:14" hidden="1">
      <c r="A1617" s="151">
        <f t="shared" si="89"/>
        <v>1</v>
      </c>
      <c r="B1617" s="155" t="s">
        <v>204</v>
      </c>
      <c r="C1617" s="156">
        <v>6181</v>
      </c>
      <c r="D1617" s="157" t="s">
        <v>1158</v>
      </c>
      <c r="E1617" s="158">
        <f>SUM(E1618:E1621)</f>
        <v>0</v>
      </c>
      <c r="F1617" s="158">
        <f>SUM(F1618:F1621)</f>
        <v>0</v>
      </c>
      <c r="G1617" s="158">
        <f>SUM(G1618:G1621)</f>
        <v>0</v>
      </c>
      <c r="H1617" s="154">
        <f t="shared" si="90"/>
        <v>0</v>
      </c>
      <c r="I1617" s="154">
        <f t="shared" si="91"/>
        <v>0</v>
      </c>
    </row>
    <row r="1618" spans="1:14" hidden="1">
      <c r="A1618" s="151">
        <f t="shared" si="89"/>
        <v>1</v>
      </c>
      <c r="B1618" s="151" t="s">
        <v>206</v>
      </c>
      <c r="C1618" s="159">
        <v>61811</v>
      </c>
      <c r="D1618" s="160" t="s">
        <v>418</v>
      </c>
      <c r="E1618" s="161">
        <f>SUMIF(Lanç!$C$3:$C$114,C1618,Lanç!$F$3:$F$114)</f>
        <v>0</v>
      </c>
      <c r="F1618" s="161">
        <f>SUMIF(Lanç!$C$115:$C$6504,C1618,Lanç!$F$115:$F$6504)</f>
        <v>0</v>
      </c>
      <c r="G1618" s="161">
        <f>SUMIF(Lanç!$C$115:$C$6504,C1618,Lanç!$G$115:$G$6504)</f>
        <v>0</v>
      </c>
      <c r="H1618" s="162">
        <f t="shared" si="90"/>
        <v>0</v>
      </c>
      <c r="I1618" s="162">
        <f t="shared" si="91"/>
        <v>0</v>
      </c>
    </row>
    <row r="1619" spans="1:14" hidden="1">
      <c r="A1619" s="151">
        <f t="shared" si="89"/>
        <v>1</v>
      </c>
      <c r="B1619" s="151" t="s">
        <v>206</v>
      </c>
      <c r="C1619" s="159">
        <v>61812</v>
      </c>
      <c r="D1619" s="160" t="s">
        <v>1157</v>
      </c>
      <c r="E1619" s="161">
        <f>SUMIF(Lanç!$C$3:$C$114,C1619,Lanç!$F$3:$F$114)</f>
        <v>0</v>
      </c>
      <c r="F1619" s="161">
        <f>SUMIF(Lanç!$C$115:$C$6504,C1619,Lanç!$F$115:$F$6504)</f>
        <v>0</v>
      </c>
      <c r="G1619" s="161">
        <f>SUMIF(Lanç!$C$115:$C$6504,C1619,Lanç!$G$115:$G$6504)</f>
        <v>0</v>
      </c>
      <c r="H1619" s="162">
        <f t="shared" si="90"/>
        <v>0</v>
      </c>
      <c r="I1619" s="162">
        <f t="shared" si="91"/>
        <v>0</v>
      </c>
    </row>
    <row r="1620" spans="1:14" hidden="1">
      <c r="A1620" s="151">
        <f t="shared" si="89"/>
        <v>1</v>
      </c>
      <c r="B1620" s="151" t="s">
        <v>206</v>
      </c>
      <c r="C1620" s="159">
        <v>61813</v>
      </c>
      <c r="D1620" s="160" t="s">
        <v>349</v>
      </c>
      <c r="E1620" s="161">
        <f>SUMIF(Lanç!$C$3:$C$114,C1620,Lanç!$F$3:$F$114)</f>
        <v>0</v>
      </c>
      <c r="F1620" s="161">
        <f>SUMIF(Lanç!$C$115:$C$6504,C1620,Lanç!$F$115:$F$6504)</f>
        <v>0</v>
      </c>
      <c r="G1620" s="161">
        <f>SUMIF(Lanç!$C$115:$C$6504,C1620,Lanç!$G$115:$G$6504)</f>
        <v>0</v>
      </c>
      <c r="H1620" s="162">
        <f t="shared" si="90"/>
        <v>0</v>
      </c>
      <c r="I1620" s="162">
        <f t="shared" si="91"/>
        <v>0</v>
      </c>
    </row>
    <row r="1621" spans="1:14" hidden="1">
      <c r="A1621" s="151">
        <f t="shared" si="89"/>
        <v>1</v>
      </c>
      <c r="B1621" s="151" t="s">
        <v>206</v>
      </c>
      <c r="C1621" s="159">
        <v>61814</v>
      </c>
      <c r="D1621" s="160" t="s">
        <v>327</v>
      </c>
      <c r="E1621" s="161">
        <f>SUMIF(Lanç!$C$3:$C$114,C1621,Lanç!$F$3:$F$114)</f>
        <v>0</v>
      </c>
      <c r="F1621" s="161">
        <f>SUMIF(Lanç!$C$115:$C$6504,C1621,Lanç!$F$115:$F$6504)</f>
        <v>0</v>
      </c>
      <c r="G1621" s="161">
        <f>SUMIF(Lanç!$C$115:$C$6504,C1621,Lanç!$G$115:$G$6504)</f>
        <v>0</v>
      </c>
      <c r="H1621" s="162">
        <f t="shared" si="90"/>
        <v>0</v>
      </c>
      <c r="I1621" s="162">
        <f t="shared" si="91"/>
        <v>0</v>
      </c>
      <c r="J1621" s="1"/>
      <c r="K1621" s="1"/>
      <c r="L1621" s="1"/>
      <c r="M1621" s="1"/>
      <c r="N1621" s="1"/>
    </row>
    <row r="1622" spans="1:14" hidden="1">
      <c r="A1622" s="151">
        <f t="shared" si="89"/>
        <v>1</v>
      </c>
      <c r="B1622" s="155" t="s">
        <v>204</v>
      </c>
      <c r="C1622" s="156">
        <v>6182</v>
      </c>
      <c r="D1622" s="157" t="s">
        <v>1154</v>
      </c>
      <c r="E1622" s="158">
        <f>SUM(E1623,E1628)</f>
        <v>0</v>
      </c>
      <c r="F1622" s="158">
        <f>SUM(F1623,F1628)</f>
        <v>0</v>
      </c>
      <c r="G1622" s="158">
        <f>SUM(G1623,G1628)</f>
        <v>0</v>
      </c>
      <c r="H1622" s="154">
        <f t="shared" si="90"/>
        <v>0</v>
      </c>
      <c r="I1622" s="154">
        <f t="shared" si="91"/>
        <v>0</v>
      </c>
    </row>
    <row r="1623" spans="1:14" hidden="1">
      <c r="A1623" s="151">
        <f t="shared" si="89"/>
        <v>1</v>
      </c>
      <c r="B1623" s="155" t="s">
        <v>204</v>
      </c>
      <c r="C1623" s="156">
        <v>61821</v>
      </c>
      <c r="D1623" s="157" t="s">
        <v>1155</v>
      </c>
      <c r="E1623" s="158">
        <f>SUM(E1624:E1627)</f>
        <v>0</v>
      </c>
      <c r="F1623" s="158">
        <f>SUM(F1624:F1627)</f>
        <v>0</v>
      </c>
      <c r="G1623" s="158">
        <f>SUM(G1624:G1627)</f>
        <v>0</v>
      </c>
      <c r="H1623" s="154">
        <f t="shared" si="90"/>
        <v>0</v>
      </c>
      <c r="I1623" s="154">
        <f t="shared" si="91"/>
        <v>0</v>
      </c>
    </row>
    <row r="1624" spans="1:14" hidden="1">
      <c r="A1624" s="151">
        <f t="shared" si="89"/>
        <v>1</v>
      </c>
      <c r="B1624" s="151" t="s">
        <v>206</v>
      </c>
      <c r="C1624" s="159">
        <v>618211</v>
      </c>
      <c r="D1624" s="160" t="s">
        <v>418</v>
      </c>
      <c r="E1624" s="161">
        <f>SUMIF(Lanç!$C$3:$C$114,C1624,Lanç!$F$3:$F$114)</f>
        <v>0</v>
      </c>
      <c r="F1624" s="161">
        <f>SUMIF(Lanç!$C$115:$C$6504,C1624,Lanç!$F$115:$F$6504)</f>
        <v>0</v>
      </c>
      <c r="G1624" s="161">
        <f>SUMIF(Lanç!$C$115:$C$6504,C1624,Lanç!$G$115:$G$6504)</f>
        <v>0</v>
      </c>
      <c r="H1624" s="162">
        <f t="shared" si="90"/>
        <v>0</v>
      </c>
      <c r="I1624" s="162">
        <f t="shared" si="91"/>
        <v>0</v>
      </c>
    </row>
    <row r="1625" spans="1:14" hidden="1">
      <c r="A1625" s="151">
        <f t="shared" si="89"/>
        <v>1</v>
      </c>
      <c r="B1625" s="151" t="s">
        <v>206</v>
      </c>
      <c r="C1625" s="159">
        <v>618212</v>
      </c>
      <c r="D1625" s="160" t="s">
        <v>1157</v>
      </c>
      <c r="E1625" s="161">
        <f>SUMIF(Lanç!$C$3:$C$114,C1625,Lanç!$F$3:$F$114)</f>
        <v>0</v>
      </c>
      <c r="F1625" s="161">
        <f>SUMIF(Lanç!$C$115:$C$6504,C1625,Lanç!$F$115:$F$6504)</f>
        <v>0</v>
      </c>
      <c r="G1625" s="161">
        <f>SUMIF(Lanç!$C$115:$C$6504,C1625,Lanç!$G$115:$G$6504)</f>
        <v>0</v>
      </c>
      <c r="H1625" s="162">
        <f t="shared" si="90"/>
        <v>0</v>
      </c>
      <c r="I1625" s="162">
        <f t="shared" si="91"/>
        <v>0</v>
      </c>
    </row>
    <row r="1626" spans="1:14" hidden="1">
      <c r="A1626" s="151">
        <f t="shared" si="89"/>
        <v>1</v>
      </c>
      <c r="B1626" s="151" t="s">
        <v>206</v>
      </c>
      <c r="C1626" s="159">
        <v>618213</v>
      </c>
      <c r="D1626" s="160" t="s">
        <v>349</v>
      </c>
      <c r="E1626" s="161">
        <f>SUMIF(Lanç!$C$3:$C$114,C1626,Lanç!$F$3:$F$114)</f>
        <v>0</v>
      </c>
      <c r="F1626" s="161">
        <f>SUMIF(Lanç!$C$115:$C$6504,C1626,Lanç!$F$115:$F$6504)</f>
        <v>0</v>
      </c>
      <c r="G1626" s="161">
        <f>SUMIF(Lanç!$C$115:$C$6504,C1626,Lanç!$G$115:$G$6504)</f>
        <v>0</v>
      </c>
      <c r="H1626" s="162">
        <f t="shared" si="90"/>
        <v>0</v>
      </c>
      <c r="I1626" s="162">
        <f t="shared" si="91"/>
        <v>0</v>
      </c>
    </row>
    <row r="1627" spans="1:14" hidden="1">
      <c r="A1627" s="151">
        <f t="shared" si="89"/>
        <v>1</v>
      </c>
      <c r="B1627" s="151" t="s">
        <v>206</v>
      </c>
      <c r="C1627" s="159">
        <v>618214</v>
      </c>
      <c r="D1627" s="160" t="s">
        <v>327</v>
      </c>
      <c r="E1627" s="161">
        <f>SUMIF(Lanç!$C$3:$C$114,C1627,Lanç!$F$3:$F$114)</f>
        <v>0</v>
      </c>
      <c r="F1627" s="161">
        <f>SUMIF(Lanç!$C$115:$C$6504,C1627,Lanç!$F$115:$F$6504)</f>
        <v>0</v>
      </c>
      <c r="G1627" s="161">
        <f>SUMIF(Lanç!$C$115:$C$6504,C1627,Lanç!$G$115:$G$6504)</f>
        <v>0</v>
      </c>
      <c r="H1627" s="162">
        <f t="shared" si="90"/>
        <v>0</v>
      </c>
      <c r="I1627" s="162">
        <f t="shared" si="91"/>
        <v>0</v>
      </c>
      <c r="J1627" s="1"/>
      <c r="K1627" s="1"/>
      <c r="L1627" s="1"/>
      <c r="M1627" s="1"/>
      <c r="N1627" s="1"/>
    </row>
    <row r="1628" spans="1:14" hidden="1">
      <c r="A1628" s="151">
        <f t="shared" si="89"/>
        <v>1</v>
      </c>
      <c r="B1628" s="155" t="s">
        <v>204</v>
      </c>
      <c r="C1628" s="156">
        <v>61822</v>
      </c>
      <c r="D1628" s="157" t="s">
        <v>1156</v>
      </c>
      <c r="E1628" s="158">
        <f>SUM(E1629:E1632)</f>
        <v>0</v>
      </c>
      <c r="F1628" s="158">
        <f>SUM(F1629:F1632)</f>
        <v>0</v>
      </c>
      <c r="G1628" s="158">
        <f>SUM(G1629:G1632)</f>
        <v>0</v>
      </c>
      <c r="H1628" s="154">
        <f t="shared" si="90"/>
        <v>0</v>
      </c>
      <c r="I1628" s="154">
        <f t="shared" si="91"/>
        <v>0</v>
      </c>
    </row>
    <row r="1629" spans="1:14" hidden="1">
      <c r="A1629" s="151">
        <f t="shared" si="89"/>
        <v>1</v>
      </c>
      <c r="B1629" s="151" t="s">
        <v>206</v>
      </c>
      <c r="C1629" s="159">
        <v>618221</v>
      </c>
      <c r="D1629" s="160" t="s">
        <v>418</v>
      </c>
      <c r="E1629" s="161">
        <f>SUMIF(Lanç!$C$3:$C$114,C1629,Lanç!$F$3:$F$114)</f>
        <v>0</v>
      </c>
      <c r="F1629" s="161">
        <f>SUMIF(Lanç!$C$115:$C$6504,C1629,Lanç!$F$115:$F$6504)</f>
        <v>0</v>
      </c>
      <c r="G1629" s="161">
        <f>SUMIF(Lanç!$C$115:$C$6504,C1629,Lanç!$G$115:$G$6504)</f>
        <v>0</v>
      </c>
      <c r="H1629" s="162">
        <f t="shared" si="90"/>
        <v>0</v>
      </c>
      <c r="I1629" s="162">
        <f t="shared" si="91"/>
        <v>0</v>
      </c>
    </row>
    <row r="1630" spans="1:14" hidden="1">
      <c r="A1630" s="151">
        <f t="shared" si="89"/>
        <v>1</v>
      </c>
      <c r="B1630" s="151" t="s">
        <v>206</v>
      </c>
      <c r="C1630" s="159">
        <v>618222</v>
      </c>
      <c r="D1630" s="160" t="s">
        <v>1157</v>
      </c>
      <c r="E1630" s="161">
        <f>SUMIF(Lanç!$C$3:$C$114,C1630,Lanç!$F$3:$F$114)</f>
        <v>0</v>
      </c>
      <c r="F1630" s="161">
        <f>SUMIF(Lanç!$C$115:$C$6504,C1630,Lanç!$F$115:$F$6504)</f>
        <v>0</v>
      </c>
      <c r="G1630" s="161">
        <f>SUMIF(Lanç!$C$115:$C$6504,C1630,Lanç!$G$115:$G$6504)</f>
        <v>0</v>
      </c>
      <c r="H1630" s="162">
        <f t="shared" si="90"/>
        <v>0</v>
      </c>
      <c r="I1630" s="162">
        <f t="shared" si="91"/>
        <v>0</v>
      </c>
    </row>
    <row r="1631" spans="1:14" hidden="1">
      <c r="A1631" s="151">
        <f t="shared" si="89"/>
        <v>1</v>
      </c>
      <c r="B1631" s="151" t="s">
        <v>206</v>
      </c>
      <c r="C1631" s="159">
        <v>618223</v>
      </c>
      <c r="D1631" s="160" t="s">
        <v>349</v>
      </c>
      <c r="E1631" s="161">
        <f>SUMIF(Lanç!$C$3:$C$114,C1631,Lanç!$F$3:$F$114)</f>
        <v>0</v>
      </c>
      <c r="F1631" s="161">
        <f>SUMIF(Lanç!$C$115:$C$6504,C1631,Lanç!$F$115:$F$6504)</f>
        <v>0</v>
      </c>
      <c r="G1631" s="161">
        <f>SUMIF(Lanç!$C$115:$C$6504,C1631,Lanç!$G$115:$G$6504)</f>
        <v>0</v>
      </c>
      <c r="H1631" s="162">
        <f t="shared" si="90"/>
        <v>0</v>
      </c>
      <c r="I1631" s="162">
        <f t="shared" si="91"/>
        <v>0</v>
      </c>
    </row>
    <row r="1632" spans="1:14" hidden="1">
      <c r="A1632" s="151">
        <f t="shared" si="89"/>
        <v>1</v>
      </c>
      <c r="B1632" s="151" t="s">
        <v>206</v>
      </c>
      <c r="C1632" s="159">
        <v>618224</v>
      </c>
      <c r="D1632" s="160" t="s">
        <v>327</v>
      </c>
      <c r="E1632" s="161">
        <f>SUMIF(Lanç!$C$3:$C$114,C1632,Lanç!$F$3:$F$114)</f>
        <v>0</v>
      </c>
      <c r="F1632" s="161">
        <f>SUMIF(Lanç!$C$115:$C$6504,C1632,Lanç!$F$115:$F$6504)</f>
        <v>0</v>
      </c>
      <c r="G1632" s="161">
        <f>SUMIF(Lanç!$C$115:$C$6504,C1632,Lanç!$G$115:$G$6504)</f>
        <v>0</v>
      </c>
      <c r="H1632" s="162">
        <f t="shared" si="90"/>
        <v>0</v>
      </c>
      <c r="I1632" s="162">
        <f t="shared" si="91"/>
        <v>0</v>
      </c>
    </row>
    <row r="1633" spans="1:14">
      <c r="A1633" s="151">
        <f t="shared" si="89"/>
        <v>0</v>
      </c>
      <c r="B1633" s="155" t="s">
        <v>1166</v>
      </c>
      <c r="C1633" s="156">
        <v>619</v>
      </c>
      <c r="D1633" s="157" t="s">
        <v>1167</v>
      </c>
      <c r="E1633" s="158">
        <f>SUMIF(Lanç!$C$3:$C$114,C1633,Lanç!$F$3:$F$114)</f>
        <v>0</v>
      </c>
      <c r="F1633" s="158">
        <f>SUM(G1572,G1577,G1582,G1587,G1592,G1599,G1616)</f>
        <v>88953814.710000008</v>
      </c>
      <c r="G1633" s="158">
        <f>SUM(F1572,F1577,F1582,F1587,F1592,F1599,F1616)</f>
        <v>6400000</v>
      </c>
      <c r="H1633" s="154">
        <f t="shared" si="90"/>
        <v>82553814.710000008</v>
      </c>
      <c r="I1633" s="154">
        <f t="shared" si="91"/>
        <v>82553814.710000008</v>
      </c>
      <c r="J1633" s="1"/>
      <c r="K1633" s="1"/>
      <c r="L1633" s="1"/>
      <c r="M1633" s="1"/>
      <c r="N1633" s="1"/>
    </row>
    <row r="1634" spans="1:14">
      <c r="A1634" s="151">
        <f t="shared" ref="A1634:A1697" si="92">IF(E1634+F1634+G1634+H1634+I1634=0,1,0)</f>
        <v>0</v>
      </c>
      <c r="B1634" s="155" t="s">
        <v>202</v>
      </c>
      <c r="C1634" s="156">
        <v>62</v>
      </c>
      <c r="D1634" s="157" t="s">
        <v>1168</v>
      </c>
      <c r="E1634" s="158">
        <f>SUM(E1635,E1640,E1645,E1650)</f>
        <v>0</v>
      </c>
      <c r="F1634" s="158">
        <f>SUM(F1635,F1640,F1645,F1650)</f>
        <v>218473707.13999999</v>
      </c>
      <c r="G1634" s="158">
        <f>SUM(G1635,G1640,G1645,G1650)</f>
        <v>218473707.13999999</v>
      </c>
      <c r="H1634" s="154">
        <f t="shared" ref="H1634:H1697" si="93">(F1634)-(G1634)</f>
        <v>0</v>
      </c>
      <c r="I1634" s="154">
        <f t="shared" ref="I1634:I1697" si="94">(E1634)+(H1634)</f>
        <v>0</v>
      </c>
    </row>
    <row r="1635" spans="1:14">
      <c r="A1635" s="151">
        <f t="shared" si="92"/>
        <v>0</v>
      </c>
      <c r="B1635" s="155" t="s">
        <v>204</v>
      </c>
      <c r="C1635" s="156">
        <v>621</v>
      </c>
      <c r="D1635" s="157" t="s">
        <v>1169</v>
      </c>
      <c r="E1635" s="158">
        <f>SUM(E1636:E1637)</f>
        <v>0</v>
      </c>
      <c r="F1635" s="158">
        <f>SUM(F1636:F1637)</f>
        <v>0</v>
      </c>
      <c r="G1635" s="158">
        <f>SUM(G1636:G1637)</f>
        <v>218473707.13999999</v>
      </c>
      <c r="H1635" s="154">
        <f t="shared" si="93"/>
        <v>-218473707.13999999</v>
      </c>
      <c r="I1635" s="154">
        <f t="shared" si="94"/>
        <v>-218473707.13999999</v>
      </c>
    </row>
    <row r="1636" spans="1:14">
      <c r="A1636" s="151">
        <f t="shared" si="92"/>
        <v>0</v>
      </c>
      <c r="B1636" s="151" t="s">
        <v>206</v>
      </c>
      <c r="C1636" s="159">
        <v>6211</v>
      </c>
      <c r="D1636" s="160" t="s">
        <v>1158</v>
      </c>
      <c r="E1636" s="161">
        <f>SUMIF(Lanç!$C$3:$C$114,C1636,Lanç!$F$3:$F$114)</f>
        <v>0</v>
      </c>
      <c r="F1636" s="161">
        <f>SUMIF(Lanç!$C$115:$C$6504,C1636,Lanç!$F$115:$F$6504)</f>
        <v>0</v>
      </c>
      <c r="G1636" s="161">
        <f>SUMIF(Lanç!$C$115:$C$6504,C1636,Lanç!$G$115:$G$6504)</f>
        <v>218473707.13999999</v>
      </c>
      <c r="H1636" s="162">
        <f t="shared" si="93"/>
        <v>-218473707.13999999</v>
      </c>
      <c r="I1636" s="162">
        <f t="shared" si="94"/>
        <v>-218473707.13999999</v>
      </c>
      <c r="J1636" s="1"/>
      <c r="K1636" s="1"/>
      <c r="L1636" s="1"/>
      <c r="M1636" s="1"/>
      <c r="N1636" s="1"/>
    </row>
    <row r="1637" spans="1:14" hidden="1">
      <c r="A1637" s="151">
        <f t="shared" si="92"/>
        <v>1</v>
      </c>
      <c r="B1637" s="155" t="s">
        <v>204</v>
      </c>
      <c r="C1637" s="156">
        <v>6212</v>
      </c>
      <c r="D1637" s="157" t="s">
        <v>1154</v>
      </c>
      <c r="E1637" s="158">
        <f>SUM(E1638:E1639)</f>
        <v>0</v>
      </c>
      <c r="F1637" s="158">
        <f>SUM(F1638:F1639)</f>
        <v>0</v>
      </c>
      <c r="G1637" s="158">
        <f>SUM(G1638:G1639)</f>
        <v>0</v>
      </c>
      <c r="H1637" s="154">
        <f t="shared" si="93"/>
        <v>0</v>
      </c>
      <c r="I1637" s="154">
        <f t="shared" si="94"/>
        <v>0</v>
      </c>
    </row>
    <row r="1638" spans="1:14" hidden="1">
      <c r="A1638" s="151">
        <f t="shared" si="92"/>
        <v>1</v>
      </c>
      <c r="B1638" s="151" t="s">
        <v>206</v>
      </c>
      <c r="C1638" s="159">
        <v>62121</v>
      </c>
      <c r="D1638" s="160" t="s">
        <v>1155</v>
      </c>
      <c r="E1638" s="161">
        <f>SUMIF(Lanç!$C$3:$C$114,C1638,Lanç!$F$3:$F$114)</f>
        <v>0</v>
      </c>
      <c r="F1638" s="161">
        <f>SUMIF(Lanç!$C$115:$C$6504,C1638,Lanç!$F$115:$F$6504)</f>
        <v>0</v>
      </c>
      <c r="G1638" s="161">
        <f>SUMIF(Lanç!$C$115:$C$6504,C1638,Lanç!$G$115:$G$6504)</f>
        <v>0</v>
      </c>
      <c r="H1638" s="162">
        <f t="shared" si="93"/>
        <v>0</v>
      </c>
      <c r="I1638" s="162">
        <f t="shared" si="94"/>
        <v>0</v>
      </c>
    </row>
    <row r="1639" spans="1:14" hidden="1">
      <c r="A1639" s="151">
        <f t="shared" si="92"/>
        <v>1</v>
      </c>
      <c r="B1639" s="151" t="s">
        <v>206</v>
      </c>
      <c r="C1639" s="159">
        <v>62122</v>
      </c>
      <c r="D1639" s="160" t="s">
        <v>1156</v>
      </c>
      <c r="E1639" s="161">
        <f>SUMIF(Lanç!$C$3:$C$114,C1639,Lanç!$F$3:$F$114)</f>
        <v>0</v>
      </c>
      <c r="F1639" s="161">
        <f>SUMIF(Lanç!$C$115:$C$6504,C1639,Lanç!$F$115:$F$6504)</f>
        <v>0</v>
      </c>
      <c r="G1639" s="161">
        <f>SUMIF(Lanç!$C$115:$C$6504,C1639,Lanç!$G$115:$G$6504)</f>
        <v>0</v>
      </c>
      <c r="H1639" s="162">
        <f t="shared" si="93"/>
        <v>0</v>
      </c>
      <c r="I1639" s="162">
        <f t="shared" si="94"/>
        <v>0</v>
      </c>
      <c r="J1639" s="1"/>
      <c r="K1639" s="1"/>
      <c r="L1639" s="1"/>
      <c r="M1639" s="1"/>
      <c r="N1639" s="1"/>
    </row>
    <row r="1640" spans="1:14" hidden="1">
      <c r="A1640" s="151">
        <f t="shared" si="92"/>
        <v>1</v>
      </c>
      <c r="B1640" s="155" t="s">
        <v>204</v>
      </c>
      <c r="C1640" s="156">
        <v>622</v>
      </c>
      <c r="D1640" s="157" t="s">
        <v>1170</v>
      </c>
      <c r="E1640" s="158">
        <f>SUM(E1641:E1642)</f>
        <v>0</v>
      </c>
      <c r="F1640" s="158">
        <f>SUM(F1641:F1642)</f>
        <v>0</v>
      </c>
      <c r="G1640" s="158">
        <f>SUM(G1641:G1642)</f>
        <v>0</v>
      </c>
      <c r="H1640" s="154">
        <f t="shared" si="93"/>
        <v>0</v>
      </c>
      <c r="I1640" s="154">
        <f t="shared" si="94"/>
        <v>0</v>
      </c>
    </row>
    <row r="1641" spans="1:14" hidden="1">
      <c r="A1641" s="151">
        <f t="shared" si="92"/>
        <v>1</v>
      </c>
      <c r="B1641" s="151" t="s">
        <v>206</v>
      </c>
      <c r="C1641" s="159">
        <v>6221</v>
      </c>
      <c r="D1641" s="160" t="s">
        <v>1158</v>
      </c>
      <c r="E1641" s="161">
        <f>SUMIF(Lanç!$C$3:$C$114,C1641,Lanç!$F$3:$F$114)</f>
        <v>0</v>
      </c>
      <c r="F1641" s="161">
        <f>SUMIF(Lanç!$C$115:$C$6504,C1641,Lanç!$F$115:$F$6504)</f>
        <v>0</v>
      </c>
      <c r="G1641" s="161">
        <f>SUMIF(Lanç!$C$115:$C$6504,C1641,Lanç!$G$115:$G$6504)</f>
        <v>0</v>
      </c>
      <c r="H1641" s="162">
        <f t="shared" si="93"/>
        <v>0</v>
      </c>
      <c r="I1641" s="162">
        <f t="shared" si="94"/>
        <v>0</v>
      </c>
      <c r="J1641" s="1"/>
      <c r="K1641" s="1"/>
      <c r="L1641" s="1"/>
      <c r="M1641" s="1"/>
      <c r="N1641" s="1"/>
    </row>
    <row r="1642" spans="1:14" hidden="1">
      <c r="A1642" s="151">
        <f t="shared" si="92"/>
        <v>1</v>
      </c>
      <c r="B1642" s="155" t="s">
        <v>204</v>
      </c>
      <c r="C1642" s="156">
        <v>6222</v>
      </c>
      <c r="D1642" s="157" t="s">
        <v>1154</v>
      </c>
      <c r="E1642" s="158">
        <f>SUM(E1643:E1644)</f>
        <v>0</v>
      </c>
      <c r="F1642" s="158">
        <f>SUM(F1643:F1644)</f>
        <v>0</v>
      </c>
      <c r="G1642" s="158">
        <f>SUM(G1643:G1644)</f>
        <v>0</v>
      </c>
      <c r="H1642" s="154">
        <f t="shared" si="93"/>
        <v>0</v>
      </c>
      <c r="I1642" s="154">
        <f t="shared" si="94"/>
        <v>0</v>
      </c>
    </row>
    <row r="1643" spans="1:14" hidden="1">
      <c r="A1643" s="151">
        <f t="shared" si="92"/>
        <v>1</v>
      </c>
      <c r="B1643" s="151" t="s">
        <v>206</v>
      </c>
      <c r="C1643" s="159">
        <v>62221</v>
      </c>
      <c r="D1643" s="160" t="s">
        <v>1155</v>
      </c>
      <c r="E1643" s="161">
        <f>SUMIF(Lanç!$C$3:$C$114,C1643,Lanç!$F$3:$F$114)</f>
        <v>0</v>
      </c>
      <c r="F1643" s="161">
        <f>SUMIF(Lanç!$C$115:$C$6504,C1643,Lanç!$F$115:$F$6504)</f>
        <v>0</v>
      </c>
      <c r="G1643" s="161">
        <f>SUMIF(Lanç!$C$115:$C$6504,C1643,Lanç!$G$115:$G$6504)</f>
        <v>0</v>
      </c>
      <c r="H1643" s="162">
        <f t="shared" si="93"/>
        <v>0</v>
      </c>
      <c r="I1643" s="162">
        <f t="shared" si="94"/>
        <v>0</v>
      </c>
    </row>
    <row r="1644" spans="1:14" hidden="1">
      <c r="A1644" s="151">
        <f t="shared" si="92"/>
        <v>1</v>
      </c>
      <c r="B1644" s="151" t="s">
        <v>206</v>
      </c>
      <c r="C1644" s="159">
        <v>62222</v>
      </c>
      <c r="D1644" s="160" t="s">
        <v>1156</v>
      </c>
      <c r="E1644" s="161">
        <f>SUMIF(Lanç!$C$3:$C$114,C1644,Lanç!$F$3:$F$114)</f>
        <v>0</v>
      </c>
      <c r="F1644" s="161">
        <f>SUMIF(Lanç!$C$115:$C$6504,C1644,Lanç!$F$115:$F$6504)</f>
        <v>0</v>
      </c>
      <c r="G1644" s="161">
        <f>SUMIF(Lanç!$C$115:$C$6504,C1644,Lanç!$G$115:$G$6504)</f>
        <v>0</v>
      </c>
      <c r="H1644" s="162">
        <f t="shared" si="93"/>
        <v>0</v>
      </c>
      <c r="I1644" s="162">
        <f t="shared" si="94"/>
        <v>0</v>
      </c>
      <c r="J1644" s="1"/>
      <c r="K1644" s="1"/>
      <c r="L1644" s="1"/>
      <c r="M1644" s="1"/>
      <c r="N1644" s="1"/>
    </row>
    <row r="1645" spans="1:14" hidden="1">
      <c r="A1645" s="151">
        <f t="shared" si="92"/>
        <v>1</v>
      </c>
      <c r="B1645" s="155" t="s">
        <v>204</v>
      </c>
      <c r="C1645" s="156">
        <v>628</v>
      </c>
      <c r="D1645" s="157" t="s">
        <v>1165</v>
      </c>
      <c r="E1645" s="158">
        <f>SUM(E1646)</f>
        <v>0</v>
      </c>
      <c r="F1645" s="158">
        <f>SUM(F1646)</f>
        <v>0</v>
      </c>
      <c r="G1645" s="158">
        <f>SUM(G1646)</f>
        <v>0</v>
      </c>
      <c r="H1645" s="154">
        <f t="shared" si="93"/>
        <v>0</v>
      </c>
      <c r="I1645" s="154">
        <f t="shared" si="94"/>
        <v>0</v>
      </c>
    </row>
    <row r="1646" spans="1:14" hidden="1">
      <c r="A1646" s="151">
        <f t="shared" si="92"/>
        <v>1</v>
      </c>
      <c r="B1646" s="151" t="s">
        <v>206</v>
      </c>
      <c r="C1646" s="159">
        <v>6281</v>
      </c>
      <c r="D1646" s="160" t="s">
        <v>1158</v>
      </c>
      <c r="E1646" s="161">
        <f>SUMIF(Lanç!$C$3:$C$114,C1646,Lanç!$F$3:$F$114)</f>
        <v>0</v>
      </c>
      <c r="F1646" s="161">
        <f>SUMIF(Lanç!$C$115:$C$6504,C1646,Lanç!$F$115:$F$6504)</f>
        <v>0</v>
      </c>
      <c r="G1646" s="161">
        <f>SUMIF(Lanç!$C$115:$C$6504,C1646,Lanç!$G$115:$G$6504)</f>
        <v>0</v>
      </c>
      <c r="H1646" s="162">
        <f t="shared" si="93"/>
        <v>0</v>
      </c>
      <c r="I1646" s="162">
        <f t="shared" si="94"/>
        <v>0</v>
      </c>
      <c r="J1646" s="1"/>
      <c r="K1646" s="1"/>
      <c r="L1646" s="1"/>
      <c r="M1646" s="1"/>
      <c r="N1646" s="1"/>
    </row>
    <row r="1647" spans="1:14" hidden="1">
      <c r="A1647" s="151">
        <f t="shared" si="92"/>
        <v>1</v>
      </c>
      <c r="B1647" s="155" t="s">
        <v>204</v>
      </c>
      <c r="C1647" s="156">
        <v>6282</v>
      </c>
      <c r="D1647" s="157" t="s">
        <v>1154</v>
      </c>
      <c r="E1647" s="158">
        <f>SUM(E1648:E1649)</f>
        <v>0</v>
      </c>
      <c r="F1647" s="158">
        <f>SUM(F1648:F1649)</f>
        <v>0</v>
      </c>
      <c r="G1647" s="158">
        <f>SUM(G1648:G1649)</f>
        <v>0</v>
      </c>
      <c r="H1647" s="154">
        <f t="shared" si="93"/>
        <v>0</v>
      </c>
      <c r="I1647" s="154">
        <f t="shared" si="94"/>
        <v>0</v>
      </c>
    </row>
    <row r="1648" spans="1:14" hidden="1">
      <c r="A1648" s="151">
        <f t="shared" si="92"/>
        <v>1</v>
      </c>
      <c r="B1648" s="151" t="s">
        <v>206</v>
      </c>
      <c r="C1648" s="159">
        <v>62821</v>
      </c>
      <c r="D1648" s="160" t="s">
        <v>1155</v>
      </c>
      <c r="E1648" s="161">
        <f>SUMIF(Lanç!$C$3:$C$114,C1648,Lanç!$F$3:$F$114)</f>
        <v>0</v>
      </c>
      <c r="F1648" s="161">
        <f>SUMIF(Lanç!$C$115:$C$6504,C1648,Lanç!$F$115:$F$6504)</f>
        <v>0</v>
      </c>
      <c r="G1648" s="161">
        <f>SUMIF(Lanç!$C$115:$C$6504,C1648,Lanç!$G$115:$G$6504)</f>
        <v>0</v>
      </c>
      <c r="H1648" s="162">
        <f t="shared" si="93"/>
        <v>0</v>
      </c>
      <c r="I1648" s="162">
        <f t="shared" si="94"/>
        <v>0</v>
      </c>
    </row>
    <row r="1649" spans="1:14" hidden="1">
      <c r="A1649" s="151">
        <f t="shared" si="92"/>
        <v>1</v>
      </c>
      <c r="B1649" s="151" t="s">
        <v>206</v>
      </c>
      <c r="C1649" s="159">
        <v>62822</v>
      </c>
      <c r="D1649" s="160" t="s">
        <v>1156</v>
      </c>
      <c r="E1649" s="161">
        <f>SUMIF(Lanç!$C$3:$C$114,C1649,Lanç!$F$3:$F$114)</f>
        <v>0</v>
      </c>
      <c r="F1649" s="161">
        <f>SUMIF(Lanç!$C$115:$C$6504,C1649,Lanç!$F$115:$F$6504)</f>
        <v>0</v>
      </c>
      <c r="G1649" s="161">
        <f>SUMIF(Lanç!$C$115:$C$6504,C1649,Lanç!$G$115:$G$6504)</f>
        <v>0</v>
      </c>
      <c r="H1649" s="162">
        <f t="shared" si="93"/>
        <v>0</v>
      </c>
      <c r="I1649" s="162">
        <f t="shared" si="94"/>
        <v>0</v>
      </c>
      <c r="J1649" s="1"/>
      <c r="K1649" s="1"/>
      <c r="L1649" s="1"/>
      <c r="M1649" s="1"/>
      <c r="N1649" s="1"/>
    </row>
    <row r="1650" spans="1:14">
      <c r="A1650" s="151">
        <f t="shared" si="92"/>
        <v>0</v>
      </c>
      <c r="B1650" s="155" t="s">
        <v>1166</v>
      </c>
      <c r="C1650" s="156">
        <v>629</v>
      </c>
      <c r="D1650" s="157" t="s">
        <v>1167</v>
      </c>
      <c r="E1650" s="158">
        <f>SUMIF(Lanç!$C$3:$C$114,C1650,Lanç!$F$3:$F$114)</f>
        <v>0</v>
      </c>
      <c r="F1650" s="158">
        <f>G1634</f>
        <v>218473707.13999999</v>
      </c>
      <c r="G1650" s="158">
        <f>SUMIF(Lanç!$C$115:$C$6504,C1650,Lanç!$G$115:$G$6504)</f>
        <v>0</v>
      </c>
      <c r="H1650" s="154">
        <f t="shared" si="93"/>
        <v>218473707.13999999</v>
      </c>
      <c r="I1650" s="154">
        <f t="shared" si="94"/>
        <v>218473707.13999999</v>
      </c>
    </row>
    <row r="1651" spans="1:14" hidden="1">
      <c r="A1651" s="151">
        <f t="shared" si="92"/>
        <v>1</v>
      </c>
      <c r="B1651" s="155" t="s">
        <v>202</v>
      </c>
      <c r="C1651" s="156">
        <v>63</v>
      </c>
      <c r="D1651" s="157" t="s">
        <v>1171</v>
      </c>
      <c r="E1651" s="158">
        <f>SUM(E1652,E1662,E1664)</f>
        <v>0</v>
      </c>
      <c r="F1651" s="158">
        <f>SUM(F1652,F1662,F1664)</f>
        <v>0</v>
      </c>
      <c r="G1651" s="158">
        <f>SUM(G1652,G1662,G1664)</f>
        <v>0</v>
      </c>
      <c r="H1651" s="154">
        <f t="shared" si="93"/>
        <v>0</v>
      </c>
      <c r="I1651" s="154">
        <f t="shared" si="94"/>
        <v>0</v>
      </c>
    </row>
    <row r="1652" spans="1:14" hidden="1">
      <c r="A1652" s="151">
        <f t="shared" si="92"/>
        <v>1</v>
      </c>
      <c r="B1652" s="155" t="s">
        <v>204</v>
      </c>
      <c r="C1652" s="156">
        <v>631</v>
      </c>
      <c r="D1652" s="157" t="s">
        <v>1172</v>
      </c>
      <c r="E1652" s="158">
        <f>SUM(E1653:E1661)</f>
        <v>0</v>
      </c>
      <c r="F1652" s="158">
        <f>SUM(F1653:F1661)</f>
        <v>0</v>
      </c>
      <c r="G1652" s="158">
        <f>SUM(G1653:G1661)</f>
        <v>0</v>
      </c>
      <c r="H1652" s="154">
        <f t="shared" si="93"/>
        <v>0</v>
      </c>
      <c r="I1652" s="154">
        <f t="shared" si="94"/>
        <v>0</v>
      </c>
    </row>
    <row r="1653" spans="1:14" hidden="1">
      <c r="A1653" s="151">
        <f t="shared" si="92"/>
        <v>1</v>
      </c>
      <c r="B1653" s="151" t="s">
        <v>206</v>
      </c>
      <c r="C1653" s="159">
        <v>6311</v>
      </c>
      <c r="D1653" s="160" t="s">
        <v>1173</v>
      </c>
      <c r="E1653" s="161">
        <f>SUMIF(Lanç!$C$3:$C$114,C1653,Lanç!$F$3:$F$114)</f>
        <v>0</v>
      </c>
      <c r="F1653" s="161">
        <f>SUMIF(Lanç!$C$115:$C$6504,C1653,Lanç!$F$115:$F$6504)</f>
        <v>0</v>
      </c>
      <c r="G1653" s="161">
        <f>SUMIF(Lanç!$C$115:$C$6504,C1653,Lanç!$G$115:$G$6504)</f>
        <v>0</v>
      </c>
      <c r="H1653" s="162">
        <f t="shared" si="93"/>
        <v>0</v>
      </c>
      <c r="I1653" s="162">
        <f t="shared" si="94"/>
        <v>0</v>
      </c>
    </row>
    <row r="1654" spans="1:14" hidden="1">
      <c r="A1654" s="151">
        <f t="shared" si="92"/>
        <v>1</v>
      </c>
      <c r="B1654" s="151" t="s">
        <v>206</v>
      </c>
      <c r="C1654" s="159">
        <v>6312</v>
      </c>
      <c r="D1654" s="160" t="s">
        <v>1174</v>
      </c>
      <c r="E1654" s="161">
        <f>SUMIF(Lanç!$C$3:$C$114,C1654,Lanç!$F$3:$F$114)</f>
        <v>0</v>
      </c>
      <c r="F1654" s="161">
        <f>SUMIF(Lanç!$C$115:$C$6504,C1654,Lanç!$F$115:$F$6504)</f>
        <v>0</v>
      </c>
      <c r="G1654" s="161">
        <f>SUMIF(Lanç!$C$115:$C$6504,C1654,Lanç!$G$115:$G$6504)</f>
        <v>0</v>
      </c>
      <c r="H1654" s="162">
        <f t="shared" si="93"/>
        <v>0</v>
      </c>
      <c r="I1654" s="162">
        <f t="shared" si="94"/>
        <v>0</v>
      </c>
    </row>
    <row r="1655" spans="1:14" hidden="1">
      <c r="A1655" s="151">
        <f t="shared" si="92"/>
        <v>1</v>
      </c>
      <c r="B1655" s="151" t="s">
        <v>206</v>
      </c>
      <c r="C1655" s="159">
        <v>6313</v>
      </c>
      <c r="D1655" s="160" t="s">
        <v>1175</v>
      </c>
      <c r="E1655" s="161">
        <f>SUMIF(Lanç!$C$3:$C$114,C1655,Lanç!$F$3:$F$114)</f>
        <v>0</v>
      </c>
      <c r="F1655" s="161">
        <f>SUMIF(Lanç!$C$115:$C$6504,C1655,Lanç!$F$115:$F$6504)</f>
        <v>0</v>
      </c>
      <c r="G1655" s="161">
        <f>SUMIF(Lanç!$C$115:$C$6504,C1655,Lanç!$G$115:$G$6504)</f>
        <v>0</v>
      </c>
      <c r="H1655" s="162">
        <f t="shared" si="93"/>
        <v>0</v>
      </c>
      <c r="I1655" s="162">
        <f t="shared" si="94"/>
        <v>0</v>
      </c>
    </row>
    <row r="1656" spans="1:14" hidden="1">
      <c r="A1656" s="151">
        <f t="shared" si="92"/>
        <v>1</v>
      </c>
      <c r="B1656" s="151" t="s">
        <v>206</v>
      </c>
      <c r="C1656" s="159">
        <v>6314</v>
      </c>
      <c r="D1656" s="160" t="s">
        <v>1176</v>
      </c>
      <c r="E1656" s="161">
        <f>SUMIF(Lanç!$C$3:$C$114,C1656,Lanç!$F$3:$F$114)</f>
        <v>0</v>
      </c>
      <c r="F1656" s="161">
        <f>SUMIF(Lanç!$C$115:$C$6504,C1656,Lanç!$F$115:$F$6504)</f>
        <v>0</v>
      </c>
      <c r="G1656" s="161">
        <f>SUMIF(Lanç!$C$115:$C$6504,C1656,Lanç!$G$115:$G$6504)</f>
        <v>0</v>
      </c>
      <c r="H1656" s="162">
        <f t="shared" si="93"/>
        <v>0</v>
      </c>
      <c r="I1656" s="162">
        <f t="shared" si="94"/>
        <v>0</v>
      </c>
    </row>
    <row r="1657" spans="1:14" hidden="1">
      <c r="A1657" s="151">
        <f t="shared" si="92"/>
        <v>1</v>
      </c>
      <c r="B1657" s="151" t="s">
        <v>206</v>
      </c>
      <c r="C1657" s="159">
        <v>6315</v>
      </c>
      <c r="D1657" s="160" t="s">
        <v>1177</v>
      </c>
      <c r="E1657" s="161">
        <f>SUMIF(Lanç!$C$3:$C$114,C1657,Lanç!$F$3:$F$114)</f>
        <v>0</v>
      </c>
      <c r="F1657" s="161">
        <f>SUMIF(Lanç!$C$115:$C$6504,C1657,Lanç!$F$115:$F$6504)</f>
        <v>0</v>
      </c>
      <c r="G1657" s="161">
        <f>SUMIF(Lanç!$C$115:$C$6504,C1657,Lanç!$G$115:$G$6504)</f>
        <v>0</v>
      </c>
      <c r="H1657" s="162">
        <f t="shared" si="93"/>
        <v>0</v>
      </c>
      <c r="I1657" s="162">
        <f t="shared" si="94"/>
        <v>0</v>
      </c>
    </row>
    <row r="1658" spans="1:14" hidden="1">
      <c r="A1658" s="151">
        <f t="shared" si="92"/>
        <v>1</v>
      </c>
      <c r="B1658" s="151" t="s">
        <v>206</v>
      </c>
      <c r="C1658" s="159">
        <v>6316</v>
      </c>
      <c r="D1658" s="160" t="s">
        <v>1178</v>
      </c>
      <c r="E1658" s="161">
        <f>SUMIF(Lanç!$C$3:$C$114,C1658,Lanç!$F$3:$F$114)</f>
        <v>0</v>
      </c>
      <c r="F1658" s="161">
        <f>SUMIF(Lanç!$C$115:$C$6504,C1658,Lanç!$F$115:$F$6504)</f>
        <v>0</v>
      </c>
      <c r="G1658" s="161">
        <f>SUMIF(Lanç!$C$115:$C$6504,C1658,Lanç!$G$115:$G$6504)</f>
        <v>0</v>
      </c>
      <c r="H1658" s="162">
        <f t="shared" si="93"/>
        <v>0</v>
      </c>
      <c r="I1658" s="162">
        <f t="shared" si="94"/>
        <v>0</v>
      </c>
    </row>
    <row r="1659" spans="1:14" hidden="1">
      <c r="A1659" s="151">
        <f t="shared" si="92"/>
        <v>1</v>
      </c>
      <c r="B1659" s="151" t="s">
        <v>206</v>
      </c>
      <c r="C1659" s="159">
        <v>632</v>
      </c>
      <c r="D1659" s="160" t="s">
        <v>1179</v>
      </c>
      <c r="E1659" s="161">
        <f>SUMIF(Lanç!$C$3:$C$114,C1659,Lanç!$F$3:$F$114)</f>
        <v>0</v>
      </c>
      <c r="F1659" s="161">
        <f>SUMIF(Lanç!$C$115:$C$6504,C1659,Lanç!$F$115:$F$6504)</f>
        <v>0</v>
      </c>
      <c r="G1659" s="161">
        <f>SUMIF(Lanç!$C$115:$C$6504,C1659,Lanç!$G$115:$G$6504)</f>
        <v>0</v>
      </c>
      <c r="H1659" s="162">
        <f t="shared" si="93"/>
        <v>0</v>
      </c>
      <c r="I1659" s="162">
        <f t="shared" si="94"/>
        <v>0</v>
      </c>
    </row>
    <row r="1660" spans="1:14" hidden="1">
      <c r="A1660" s="151">
        <f t="shared" si="92"/>
        <v>1</v>
      </c>
      <c r="B1660" s="151" t="s">
        <v>206</v>
      </c>
      <c r="C1660" s="159">
        <v>633</v>
      </c>
      <c r="D1660" s="160" t="s">
        <v>1180</v>
      </c>
      <c r="E1660" s="161">
        <f>SUMIF(Lanç!$C$3:$C$114,C1660,Lanç!$F$3:$F$114)</f>
        <v>0</v>
      </c>
      <c r="F1660" s="161">
        <f>SUMIF(Lanç!$C$115:$C$6504,C1660,Lanç!$F$115:$F$6504)</f>
        <v>0</v>
      </c>
      <c r="G1660" s="161">
        <f>SUMIF(Lanç!$C$115:$C$6504,C1660,Lanç!$G$115:$G$6504)</f>
        <v>0</v>
      </c>
      <c r="H1660" s="162">
        <f t="shared" si="93"/>
        <v>0</v>
      </c>
      <c r="I1660" s="162">
        <f t="shared" si="94"/>
        <v>0</v>
      </c>
    </row>
    <row r="1661" spans="1:14" hidden="1">
      <c r="A1661" s="151">
        <f t="shared" si="92"/>
        <v>1</v>
      </c>
      <c r="B1661" s="151" t="s">
        <v>206</v>
      </c>
      <c r="C1661" s="159">
        <v>634</v>
      </c>
      <c r="D1661" s="160" t="s">
        <v>1181</v>
      </c>
      <c r="E1661" s="161">
        <f>SUMIF(Lanç!$C$3:$C$114,C1661,Lanç!$F$3:$F$114)</f>
        <v>0</v>
      </c>
      <c r="F1661" s="161">
        <f>SUMIF(Lanç!$C$115:$C$6504,C1661,Lanç!$F$115:$F$6504)</f>
        <v>0</v>
      </c>
      <c r="G1661" s="161">
        <f>SUMIF(Lanç!$C$115:$C$6504,C1661,Lanç!$G$115:$G$6504)</f>
        <v>0</v>
      </c>
      <c r="H1661" s="162">
        <f t="shared" si="93"/>
        <v>0</v>
      </c>
      <c r="I1661" s="162">
        <f t="shared" si="94"/>
        <v>0</v>
      </c>
    </row>
    <row r="1662" spans="1:14" s="57" customFormat="1" hidden="1">
      <c r="A1662" s="155">
        <f t="shared" si="92"/>
        <v>1</v>
      </c>
      <c r="B1662" s="155" t="s">
        <v>204</v>
      </c>
      <c r="C1662" s="156">
        <v>638</v>
      </c>
      <c r="D1662" s="157" t="s">
        <v>1182</v>
      </c>
      <c r="E1662" s="158">
        <f>SUM(E1663)</f>
        <v>0</v>
      </c>
      <c r="F1662" s="158">
        <f>SUM(F1663)</f>
        <v>0</v>
      </c>
      <c r="G1662" s="158">
        <f>SUM(G1663)</f>
        <v>0</v>
      </c>
      <c r="H1662" s="163">
        <f t="shared" si="93"/>
        <v>0</v>
      </c>
      <c r="I1662" s="163">
        <f t="shared" si="94"/>
        <v>0</v>
      </c>
    </row>
    <row r="1663" spans="1:14" hidden="1">
      <c r="A1663" s="151">
        <f t="shared" si="92"/>
        <v>1</v>
      </c>
      <c r="B1663" s="151" t="s">
        <v>206</v>
      </c>
      <c r="C1663" s="159">
        <v>6381</v>
      </c>
      <c r="D1663" s="160" t="s">
        <v>269</v>
      </c>
      <c r="E1663" s="161">
        <f>SUMIF(Lanç!$C$3:$C$114,C1663,Lanç!$F$3:$F$114)</f>
        <v>0</v>
      </c>
      <c r="F1663" s="161">
        <f>SUMIF(Lanç!$C$115:$C$6504,C1663,Lanç!$F$115:$F$6504)</f>
        <v>0</v>
      </c>
      <c r="G1663" s="161">
        <f>SUMIF(Lanç!$C$115:$C$6504,C1663,Lanç!$G$115:$G$6504)</f>
        <v>0</v>
      </c>
      <c r="H1663" s="162">
        <f t="shared" si="93"/>
        <v>0</v>
      </c>
      <c r="I1663" s="162">
        <f t="shared" si="94"/>
        <v>0</v>
      </c>
      <c r="J1663" s="1"/>
      <c r="K1663" s="1"/>
      <c r="L1663" s="1"/>
      <c r="M1663" s="1"/>
      <c r="N1663" s="1"/>
    </row>
    <row r="1664" spans="1:14" hidden="1">
      <c r="A1664" s="151">
        <f t="shared" si="92"/>
        <v>1</v>
      </c>
      <c r="B1664" s="155" t="s">
        <v>1166</v>
      </c>
      <c r="C1664" s="156">
        <v>639</v>
      </c>
      <c r="D1664" s="157" t="s">
        <v>1167</v>
      </c>
      <c r="E1664" s="158">
        <f>SUMIF(Lanç!$C$3:$C$114,C1664,Lanç!$F$3:$F$114)</f>
        <v>0</v>
      </c>
      <c r="F1664" s="158">
        <f>G1651</f>
        <v>0</v>
      </c>
      <c r="G1664" s="158">
        <f>SUMIF(Lanç!$C$115:$C$6504,C1664,Lanç!$G$115:$G$6504)</f>
        <v>0</v>
      </c>
      <c r="H1664" s="154">
        <f t="shared" si="93"/>
        <v>0</v>
      </c>
      <c r="I1664" s="154">
        <f t="shared" si="94"/>
        <v>0</v>
      </c>
    </row>
    <row r="1665" spans="1:14" hidden="1">
      <c r="A1665" s="151">
        <f t="shared" si="92"/>
        <v>1</v>
      </c>
      <c r="B1665" s="155" t="s">
        <v>202</v>
      </c>
      <c r="C1665" s="156">
        <v>64</v>
      </c>
      <c r="D1665" s="157" t="s">
        <v>1183</v>
      </c>
      <c r="E1665" s="158">
        <f>SUM(E1666,E1668,E1670,E1677)</f>
        <v>0</v>
      </c>
      <c r="F1665" s="158">
        <f>SUM(F1666,F1668,F1670,F1676,F1677)</f>
        <v>0</v>
      </c>
      <c r="G1665" s="158">
        <f>SUM(G1666,G1668,G1670,G1677)</f>
        <v>0</v>
      </c>
      <c r="H1665" s="154">
        <f t="shared" si="93"/>
        <v>0</v>
      </c>
      <c r="I1665" s="154">
        <f t="shared" si="94"/>
        <v>0</v>
      </c>
    </row>
    <row r="1666" spans="1:14" hidden="1">
      <c r="A1666" s="151">
        <f t="shared" si="92"/>
        <v>1</v>
      </c>
      <c r="B1666" s="155" t="s">
        <v>204</v>
      </c>
      <c r="C1666" s="156">
        <v>641</v>
      </c>
      <c r="D1666" s="157" t="s">
        <v>417</v>
      </c>
      <c r="E1666" s="158">
        <f>SUM(E1667)</f>
        <v>0</v>
      </c>
      <c r="F1666" s="158">
        <f>SUM(F1667)</f>
        <v>0</v>
      </c>
      <c r="G1666" s="158">
        <f>SUM(G1667)</f>
        <v>0</v>
      </c>
      <c r="H1666" s="154">
        <f t="shared" si="93"/>
        <v>0</v>
      </c>
      <c r="I1666" s="154">
        <f t="shared" si="94"/>
        <v>0</v>
      </c>
    </row>
    <row r="1667" spans="1:14" hidden="1">
      <c r="A1667" s="151">
        <f t="shared" si="92"/>
        <v>1</v>
      </c>
      <c r="B1667" s="151" t="s">
        <v>206</v>
      </c>
      <c r="C1667" s="159">
        <v>6411</v>
      </c>
      <c r="D1667" s="160" t="s">
        <v>417</v>
      </c>
      <c r="E1667" s="161">
        <f>SUMIF(Lanç!$C$3:$C$114,C1667,Lanç!$F$3:$F$114)</f>
        <v>0</v>
      </c>
      <c r="F1667" s="161">
        <f>SUMIF(Lanç!$C$115:$C$6504,C1667,Lanç!$F$115:$F$6504)</f>
        <v>0</v>
      </c>
      <c r="G1667" s="161">
        <f>SUMIF(Lanç!$C$115:$C$6504,C1667,Lanç!$G$115:$G$6504)</f>
        <v>0</v>
      </c>
      <c r="H1667" s="162">
        <f t="shared" si="93"/>
        <v>0</v>
      </c>
      <c r="I1667" s="162">
        <f t="shared" si="94"/>
        <v>0</v>
      </c>
    </row>
    <row r="1668" spans="1:14" hidden="1">
      <c r="A1668" s="151">
        <f t="shared" si="92"/>
        <v>1</v>
      </c>
      <c r="B1668" s="155" t="s">
        <v>204</v>
      </c>
      <c r="C1668" s="156">
        <v>642</v>
      </c>
      <c r="D1668" s="157" t="s">
        <v>396</v>
      </c>
      <c r="E1668" s="158">
        <f>SUM(E1669)</f>
        <v>0</v>
      </c>
      <c r="F1668" s="158">
        <f>SUM(F1669)</f>
        <v>0</v>
      </c>
      <c r="G1668" s="158">
        <f>SUM(G1669)</f>
        <v>0</v>
      </c>
      <c r="H1668" s="154">
        <f t="shared" si="93"/>
        <v>0</v>
      </c>
      <c r="I1668" s="154">
        <f t="shared" si="94"/>
        <v>0</v>
      </c>
    </row>
    <row r="1669" spans="1:14" hidden="1">
      <c r="A1669" s="151">
        <f t="shared" si="92"/>
        <v>1</v>
      </c>
      <c r="B1669" s="151" t="s">
        <v>206</v>
      </c>
      <c r="C1669" s="159">
        <v>6421</v>
      </c>
      <c r="D1669" s="160" t="s">
        <v>396</v>
      </c>
      <c r="E1669" s="161">
        <f>SUMIF(Lanç!$C$3:$C$114,C1669,Lanç!$F$3:$F$114)</f>
        <v>0</v>
      </c>
      <c r="F1669" s="161">
        <f>SUMIF(Lanç!$C$115:$C$6504,C1669,Lanç!$F$115:$F$6504)</f>
        <v>0</v>
      </c>
      <c r="G1669" s="161">
        <f>SUMIF(Lanç!$C$115:$C$6504,C1669,Lanç!$G$115:$G$6504)</f>
        <v>0</v>
      </c>
      <c r="H1669" s="162">
        <f t="shared" si="93"/>
        <v>0</v>
      </c>
      <c r="I1669" s="162">
        <f t="shared" si="94"/>
        <v>0</v>
      </c>
      <c r="J1669" s="1"/>
      <c r="K1669" s="1"/>
      <c r="L1669" s="1"/>
      <c r="M1669" s="1"/>
      <c r="N1669" s="1"/>
    </row>
    <row r="1670" spans="1:14" hidden="1">
      <c r="A1670" s="151">
        <f t="shared" si="92"/>
        <v>1</v>
      </c>
      <c r="B1670" s="155" t="s">
        <v>204</v>
      </c>
      <c r="C1670" s="156">
        <v>643</v>
      </c>
      <c r="D1670" s="157" t="s">
        <v>398</v>
      </c>
      <c r="E1670" s="158">
        <f>SUM(E1671:E1676)</f>
        <v>0</v>
      </c>
      <c r="F1670" s="158">
        <f>SUM(F1671:F1676)</f>
        <v>0</v>
      </c>
      <c r="G1670" s="158">
        <f>SUM(G1671:G1676)</f>
        <v>0</v>
      </c>
      <c r="H1670" s="154">
        <f t="shared" si="93"/>
        <v>0</v>
      </c>
      <c r="I1670" s="154">
        <f t="shared" si="94"/>
        <v>0</v>
      </c>
    </row>
    <row r="1671" spans="1:14" hidden="1">
      <c r="A1671" s="151">
        <f t="shared" si="92"/>
        <v>1</v>
      </c>
      <c r="B1671" s="151" t="s">
        <v>206</v>
      </c>
      <c r="C1671" s="159">
        <v>6431</v>
      </c>
      <c r="D1671" s="160" t="s">
        <v>398</v>
      </c>
      <c r="E1671" s="161">
        <f>SUMIF(Lanç!$C$3:$C$114,C1671,Lanç!$F$3:$F$114)</f>
        <v>0</v>
      </c>
      <c r="F1671" s="161">
        <f>SUMIF(Lanç!$C$115:$C$6504,C1671,Lanç!$F$115:$F$6504)</f>
        <v>0</v>
      </c>
      <c r="G1671" s="161">
        <f>SUMIF(Lanç!$C$115:$C$6504,C1671,Lanç!$G$115:$G$6504)</f>
        <v>0</v>
      </c>
      <c r="H1671" s="162">
        <f t="shared" si="93"/>
        <v>0</v>
      </c>
      <c r="I1671" s="162">
        <f t="shared" si="94"/>
        <v>0</v>
      </c>
    </row>
    <row r="1672" spans="1:14" hidden="1">
      <c r="A1672" s="151">
        <f t="shared" si="92"/>
        <v>1</v>
      </c>
      <c r="B1672" s="151" t="s">
        <v>206</v>
      </c>
      <c r="C1672" s="159">
        <v>644</v>
      </c>
      <c r="D1672" s="160" t="s">
        <v>1184</v>
      </c>
      <c r="E1672" s="161">
        <f>SUMIF(Lanç!$C$3:$C$114,C1672,Lanç!$F$3:$F$114)</f>
        <v>0</v>
      </c>
      <c r="F1672" s="161">
        <f>SUMIF(Lanç!$C$115:$C$6504,C1672,Lanç!$F$115:$F$6504)</f>
        <v>0</v>
      </c>
      <c r="G1672" s="161">
        <f>SUMIF(Lanç!$C$115:$C$6504,C1672,Lanç!$G$115:$G$6504)</f>
        <v>0</v>
      </c>
      <c r="H1672" s="162">
        <f t="shared" si="93"/>
        <v>0</v>
      </c>
      <c r="I1672" s="162">
        <f t="shared" si="94"/>
        <v>0</v>
      </c>
    </row>
    <row r="1673" spans="1:14" hidden="1">
      <c r="A1673" s="151">
        <f t="shared" si="92"/>
        <v>1</v>
      </c>
      <c r="B1673" s="151" t="s">
        <v>206</v>
      </c>
      <c r="C1673" s="159">
        <v>645</v>
      </c>
      <c r="D1673" s="160" t="s">
        <v>1185</v>
      </c>
      <c r="E1673" s="161">
        <f>SUMIF(Lanç!$C$3:$C$114,C1673,Lanç!$F$3:$F$114)</f>
        <v>0</v>
      </c>
      <c r="F1673" s="161">
        <f>SUMIF(Lanç!$C$115:$C$6504,C1673,Lanç!$F$115:$F$6504)</f>
        <v>0</v>
      </c>
      <c r="G1673" s="161">
        <f>SUMIF(Lanç!$C$115:$C$6504,C1673,Lanç!$G$115:$G$6504)</f>
        <v>0</v>
      </c>
      <c r="H1673" s="162">
        <f t="shared" si="93"/>
        <v>0</v>
      </c>
      <c r="I1673" s="162">
        <f t="shared" si="94"/>
        <v>0</v>
      </c>
    </row>
    <row r="1674" spans="1:14" hidden="1">
      <c r="A1674" s="151">
        <f t="shared" si="92"/>
        <v>1</v>
      </c>
      <c r="B1674" s="151" t="s">
        <v>206</v>
      </c>
      <c r="C1674" s="159">
        <v>646</v>
      </c>
      <c r="D1674" s="160" t="s">
        <v>1186</v>
      </c>
      <c r="E1674" s="161">
        <f>SUMIF(Lanç!$C$3:$C$114,C1674,Lanç!$F$3:$F$114)</f>
        <v>0</v>
      </c>
      <c r="F1674" s="161">
        <f>SUMIF(Lanç!$C$115:$C$6504,C1674,Lanç!$F$115:$F$6504)</f>
        <v>0</v>
      </c>
      <c r="G1674" s="161">
        <f>SUMIF(Lanç!$C$115:$C$6504,C1674,Lanç!$G$115:$G$6504)</f>
        <v>0</v>
      </c>
      <c r="H1674" s="162">
        <f t="shared" si="93"/>
        <v>0</v>
      </c>
      <c r="I1674" s="162">
        <f t="shared" si="94"/>
        <v>0</v>
      </c>
    </row>
    <row r="1675" spans="1:14" hidden="1">
      <c r="A1675" s="151">
        <f t="shared" si="92"/>
        <v>1</v>
      </c>
      <c r="B1675" s="151" t="s">
        <v>206</v>
      </c>
      <c r="C1675" s="159">
        <v>647</v>
      </c>
      <c r="D1675" s="160" t="s">
        <v>1187</v>
      </c>
      <c r="E1675" s="161">
        <f>SUMIF(Lanç!$C$3:$C$114,C1675,Lanç!$F$3:$F$114)</f>
        <v>0</v>
      </c>
      <c r="F1675" s="161">
        <f>SUMIF(Lanç!$C$115:$C$6504,C1675,Lanç!$F$115:$F$6504)</f>
        <v>0</v>
      </c>
      <c r="G1675" s="161">
        <f>SUMIF(Lanç!$C$115:$C$6504,C1675,Lanç!$G$115:$G$6504)</f>
        <v>0</v>
      </c>
      <c r="H1675" s="162">
        <f t="shared" si="93"/>
        <v>0</v>
      </c>
      <c r="I1675" s="162">
        <f t="shared" si="94"/>
        <v>0</v>
      </c>
    </row>
    <row r="1676" spans="1:14" hidden="1">
      <c r="A1676" s="151">
        <f t="shared" si="92"/>
        <v>1</v>
      </c>
      <c r="B1676" s="151" t="s">
        <v>206</v>
      </c>
      <c r="C1676" s="159">
        <v>648</v>
      </c>
      <c r="D1676" s="160" t="s">
        <v>1188</v>
      </c>
      <c r="E1676" s="161">
        <f>SUMIF(Lanç!$C$3:$C$114,C1676,Lanç!$F$3:$F$114)</f>
        <v>0</v>
      </c>
      <c r="F1676" s="161">
        <f>SUMIF(Lanç!$C$115:$C$6504,C1676,Lanç!$F$115:$F$6504)</f>
        <v>0</v>
      </c>
      <c r="G1676" s="161">
        <f>SUMIF(Lanç!$C$115:$C$6504,C1676,Lanç!$G$115:$G$6504)</f>
        <v>0</v>
      </c>
      <c r="H1676" s="162">
        <f t="shared" si="93"/>
        <v>0</v>
      </c>
      <c r="I1676" s="162">
        <f t="shared" si="94"/>
        <v>0</v>
      </c>
      <c r="J1676" s="1"/>
      <c r="K1676" s="1"/>
      <c r="L1676" s="1"/>
      <c r="M1676" s="1"/>
      <c r="N1676" s="1"/>
    </row>
    <row r="1677" spans="1:14" hidden="1">
      <c r="A1677" s="151">
        <f t="shared" si="92"/>
        <v>1</v>
      </c>
      <c r="B1677" s="155" t="s">
        <v>1166</v>
      </c>
      <c r="C1677" s="156">
        <v>649</v>
      </c>
      <c r="D1677" s="157" t="s">
        <v>1167</v>
      </c>
      <c r="E1677" s="158">
        <f>SUMIF(Lanç!$C$3:$C$114,C1677,Lanç!$F$3:$F$114)</f>
        <v>0</v>
      </c>
      <c r="F1677" s="158">
        <f>G1665</f>
        <v>0</v>
      </c>
      <c r="G1677" s="158">
        <f>SUMIF(Lanç!$C$115:$C$6504,C1677,Lanç!$G$115:$G$6504)</f>
        <v>0</v>
      </c>
      <c r="H1677" s="154">
        <f t="shared" si="93"/>
        <v>0</v>
      </c>
      <c r="I1677" s="154">
        <f t="shared" si="94"/>
        <v>0</v>
      </c>
    </row>
    <row r="1678" spans="1:14" hidden="1">
      <c r="A1678" s="151">
        <f t="shared" si="92"/>
        <v>1</v>
      </c>
      <c r="B1678" s="155" t="s">
        <v>202</v>
      </c>
      <c r="C1678" s="156">
        <v>65</v>
      </c>
      <c r="D1678" s="157" t="s">
        <v>1189</v>
      </c>
      <c r="E1678" s="158">
        <f>SUM(E1679,E1684,E1686)</f>
        <v>0</v>
      </c>
      <c r="F1678" s="158">
        <f>SUM(F1679,F1684,F1686)</f>
        <v>0</v>
      </c>
      <c r="G1678" s="158">
        <f>SUM(G1679,G1684)</f>
        <v>0</v>
      </c>
      <c r="H1678" s="154">
        <f t="shared" si="93"/>
        <v>0</v>
      </c>
      <c r="I1678" s="154">
        <f t="shared" si="94"/>
        <v>0</v>
      </c>
    </row>
    <row r="1679" spans="1:14" hidden="1">
      <c r="A1679" s="151">
        <f t="shared" si="92"/>
        <v>1</v>
      </c>
      <c r="B1679" s="155" t="s">
        <v>204</v>
      </c>
      <c r="C1679" s="156">
        <v>651</v>
      </c>
      <c r="D1679" s="157" t="s">
        <v>1190</v>
      </c>
      <c r="E1679" s="158">
        <f>SUM(E1680:E1683)</f>
        <v>0</v>
      </c>
      <c r="F1679" s="158">
        <f>SUM(F1680:F1683)</f>
        <v>0</v>
      </c>
      <c r="G1679" s="158">
        <f>SUM(G1680:G1683)</f>
        <v>0</v>
      </c>
      <c r="H1679" s="154">
        <f t="shared" si="93"/>
        <v>0</v>
      </c>
      <c r="I1679" s="154">
        <f t="shared" si="94"/>
        <v>0</v>
      </c>
    </row>
    <row r="1680" spans="1:14" hidden="1">
      <c r="A1680" s="151">
        <f t="shared" si="92"/>
        <v>1</v>
      </c>
      <c r="B1680" s="151" t="s">
        <v>206</v>
      </c>
      <c r="C1680" s="159">
        <v>6511</v>
      </c>
      <c r="D1680" s="160" t="s">
        <v>929</v>
      </c>
      <c r="E1680" s="161">
        <f>SUMIF(Lanç!$C$3:$C$114,C1680,Lanç!$F$3:$F$114)</f>
        <v>0</v>
      </c>
      <c r="F1680" s="161">
        <f>SUMIF(Lanç!$C$115:$C$6504,C1680,Lanç!$F$115:$F$6504)</f>
        <v>0</v>
      </c>
      <c r="G1680" s="161">
        <f>SUMIF(Lanç!$C$115:$C$6504,C1680,Lanç!$G$115:$G$6504)</f>
        <v>0</v>
      </c>
      <c r="H1680" s="162">
        <f t="shared" si="93"/>
        <v>0</v>
      </c>
      <c r="I1680" s="162">
        <f t="shared" si="94"/>
        <v>0</v>
      </c>
    </row>
    <row r="1681" spans="1:14" hidden="1">
      <c r="A1681" s="151">
        <f t="shared" si="92"/>
        <v>1</v>
      </c>
      <c r="B1681" s="151" t="s">
        <v>206</v>
      </c>
      <c r="C1681" s="159">
        <v>6512</v>
      </c>
      <c r="D1681" s="160" t="s">
        <v>938</v>
      </c>
      <c r="E1681" s="161">
        <f>SUMIF(Lanç!$C$3:$C$114,C1681,Lanç!$F$3:$F$114)</f>
        <v>0</v>
      </c>
      <c r="F1681" s="161">
        <f>SUMIF(Lanç!$C$115:$C$6504,C1681,Lanç!$F$115:$F$6504)</f>
        <v>0</v>
      </c>
      <c r="G1681" s="161">
        <f>SUMIF(Lanç!$C$115:$C$6504,C1681,Lanç!$G$115:$G$6504)</f>
        <v>0</v>
      </c>
      <c r="H1681" s="162">
        <f t="shared" si="93"/>
        <v>0</v>
      </c>
      <c r="I1681" s="162">
        <f t="shared" si="94"/>
        <v>0</v>
      </c>
    </row>
    <row r="1682" spans="1:14" hidden="1">
      <c r="A1682" s="151">
        <f t="shared" si="92"/>
        <v>1</v>
      </c>
      <c r="B1682" s="151" t="s">
        <v>206</v>
      </c>
      <c r="C1682" s="159">
        <v>6513</v>
      </c>
      <c r="D1682" s="160" t="s">
        <v>939</v>
      </c>
      <c r="E1682" s="161">
        <f>SUMIF(Lanç!$C$3:$C$114,C1682,Lanç!$F$3:$F$114)</f>
        <v>0</v>
      </c>
      <c r="F1682" s="161">
        <f>SUMIF(Lanç!$C$115:$C$6504,C1682,Lanç!$F$115:$F$6504)</f>
        <v>0</v>
      </c>
      <c r="G1682" s="161">
        <f>SUMIF(Lanç!$C$115:$C$6504,C1682,Lanç!$G$115:$G$6504)</f>
        <v>0</v>
      </c>
      <c r="H1682" s="162">
        <f t="shared" si="93"/>
        <v>0</v>
      </c>
      <c r="I1682" s="162">
        <f t="shared" si="94"/>
        <v>0</v>
      </c>
    </row>
    <row r="1683" spans="1:14" hidden="1">
      <c r="A1683" s="151">
        <f t="shared" si="92"/>
        <v>1</v>
      </c>
      <c r="B1683" s="151" t="s">
        <v>206</v>
      </c>
      <c r="C1683" s="159">
        <v>6514</v>
      </c>
      <c r="D1683" s="160" t="s">
        <v>1191</v>
      </c>
      <c r="E1683" s="161">
        <f>SUMIF(Lanç!$C$3:$C$114,C1683,Lanç!$F$3:$F$114)</f>
        <v>0</v>
      </c>
      <c r="F1683" s="161">
        <f>SUMIF(Lanç!$C$115:$C$6504,C1683,Lanç!$F$115:$F$6504)</f>
        <v>0</v>
      </c>
      <c r="G1683" s="161">
        <f>SUMIF(Lanç!$C$115:$C$6504,C1683,Lanç!$G$115:$G$6504)</f>
        <v>0</v>
      </c>
      <c r="H1683" s="162">
        <f t="shared" si="93"/>
        <v>0</v>
      </c>
      <c r="I1683" s="162">
        <f t="shared" si="94"/>
        <v>0</v>
      </c>
      <c r="J1683" s="1"/>
      <c r="K1683" s="1"/>
      <c r="L1683" s="1"/>
      <c r="M1683" s="1"/>
      <c r="N1683" s="1"/>
    </row>
    <row r="1684" spans="1:14" hidden="1">
      <c r="A1684" s="151">
        <f t="shared" si="92"/>
        <v>1</v>
      </c>
      <c r="B1684" s="155" t="s">
        <v>204</v>
      </c>
      <c r="C1684" s="156">
        <v>652</v>
      </c>
      <c r="D1684" s="157" t="s">
        <v>1192</v>
      </c>
      <c r="E1684" s="158">
        <f>SUM(E1685)</f>
        <v>0</v>
      </c>
      <c r="F1684" s="158">
        <f>SUM(F1685)</f>
        <v>0</v>
      </c>
      <c r="G1684" s="158">
        <f>SUM(G1685)</f>
        <v>0</v>
      </c>
      <c r="H1684" s="154">
        <f t="shared" si="93"/>
        <v>0</v>
      </c>
      <c r="I1684" s="154">
        <f t="shared" si="94"/>
        <v>0</v>
      </c>
    </row>
    <row r="1685" spans="1:14" hidden="1">
      <c r="A1685" s="151">
        <f t="shared" si="92"/>
        <v>1</v>
      </c>
      <c r="B1685" s="151" t="s">
        <v>206</v>
      </c>
      <c r="C1685" s="159">
        <v>6521</v>
      </c>
      <c r="D1685" s="160" t="s">
        <v>269</v>
      </c>
      <c r="E1685" s="161">
        <f>SUMIF(Lanç!$C$3:$C$114,C1685,Lanç!$F$3:$F$114)</f>
        <v>0</v>
      </c>
      <c r="F1685" s="161">
        <f>SUMIF(Lanç!$C$115:$C$6504,C1685,Lanç!$F$115:$F$6504)</f>
        <v>0</v>
      </c>
      <c r="G1685" s="161">
        <f>SUMIF(Lanç!$C$115:$C$6504,C1685,Lanç!$G$115:$G$6504)</f>
        <v>0</v>
      </c>
      <c r="H1685" s="162">
        <f t="shared" si="93"/>
        <v>0</v>
      </c>
      <c r="I1685" s="162">
        <f t="shared" si="94"/>
        <v>0</v>
      </c>
      <c r="J1685" s="1"/>
      <c r="K1685" s="1"/>
      <c r="L1685" s="1"/>
      <c r="M1685" s="1"/>
      <c r="N1685" s="1"/>
    </row>
    <row r="1686" spans="1:14" hidden="1">
      <c r="A1686" s="151">
        <f t="shared" si="92"/>
        <v>1</v>
      </c>
      <c r="B1686" s="155" t="s">
        <v>1166</v>
      </c>
      <c r="C1686" s="156">
        <v>659</v>
      </c>
      <c r="D1686" s="157" t="s">
        <v>1167</v>
      </c>
      <c r="E1686" s="158">
        <f>SUMIF(Lanç!$C$3:$C$114,C1686,Lanç!$F$3:$F$114)</f>
        <v>0</v>
      </c>
      <c r="F1686" s="158">
        <f>G1678</f>
        <v>0</v>
      </c>
      <c r="G1686" s="158">
        <f>SUMIF(Lanç!$C$115:$C$6504,C1686,Lanç!$G$115:$G$6504)</f>
        <v>0</v>
      </c>
      <c r="H1686" s="154">
        <f t="shared" si="93"/>
        <v>0</v>
      </c>
      <c r="I1686" s="154">
        <f t="shared" si="94"/>
        <v>0</v>
      </c>
    </row>
    <row r="1687" spans="1:14" hidden="1">
      <c r="A1687" s="151">
        <f t="shared" si="92"/>
        <v>1</v>
      </c>
      <c r="B1687" s="155" t="s">
        <v>202</v>
      </c>
      <c r="C1687" s="156">
        <v>66</v>
      </c>
      <c r="D1687" s="157" t="s">
        <v>1193</v>
      </c>
      <c r="E1687" s="158">
        <f>SUM(E1688,E1700,E1703,E1705,E1707,E1711,E1721,E1733)</f>
        <v>0</v>
      </c>
      <c r="F1687" s="158">
        <f>SUM(F1688,F1700,F1703,F1705,F1707,F1711,F1721,F1733,)</f>
        <v>0</v>
      </c>
      <c r="G1687" s="158">
        <f>SUM(G1688,G1700,G1703,G1705,G1707,G1711,G1721,G1733,)</f>
        <v>0</v>
      </c>
      <c r="H1687" s="154">
        <f t="shared" si="93"/>
        <v>0</v>
      </c>
      <c r="I1687" s="154">
        <f t="shared" si="94"/>
        <v>0</v>
      </c>
    </row>
    <row r="1688" spans="1:14" hidden="1">
      <c r="A1688" s="151">
        <f t="shared" si="92"/>
        <v>1</v>
      </c>
      <c r="B1688" s="155" t="s">
        <v>204</v>
      </c>
      <c r="C1688" s="156">
        <v>661</v>
      </c>
      <c r="D1688" s="157" t="s">
        <v>945</v>
      </c>
      <c r="E1688" s="158">
        <f>SUM(E1689,E1694,E1695)</f>
        <v>0</v>
      </c>
      <c r="F1688" s="158">
        <f>SUM(F1689)</f>
        <v>0</v>
      </c>
      <c r="G1688" s="158">
        <f>SUM(G1689)</f>
        <v>0</v>
      </c>
      <c r="H1688" s="154">
        <f t="shared" si="93"/>
        <v>0</v>
      </c>
      <c r="I1688" s="154">
        <f t="shared" si="94"/>
        <v>0</v>
      </c>
    </row>
    <row r="1689" spans="1:14" hidden="1">
      <c r="A1689" s="151">
        <f t="shared" si="92"/>
        <v>1</v>
      </c>
      <c r="B1689" s="155" t="s">
        <v>204</v>
      </c>
      <c r="C1689" s="156">
        <v>6611</v>
      </c>
      <c r="D1689" s="157" t="s">
        <v>1194</v>
      </c>
      <c r="E1689" s="158">
        <f>SUM(E1690:E1693)</f>
        <v>0</v>
      </c>
      <c r="F1689" s="158">
        <f>SUM(F1690:F1693)</f>
        <v>0</v>
      </c>
      <c r="G1689" s="158">
        <f>SUM(G1690:G1693)</f>
        <v>0</v>
      </c>
      <c r="H1689" s="154">
        <f t="shared" si="93"/>
        <v>0</v>
      </c>
      <c r="I1689" s="154">
        <f t="shared" si="94"/>
        <v>0</v>
      </c>
    </row>
    <row r="1690" spans="1:14" hidden="1">
      <c r="A1690" s="151">
        <f t="shared" si="92"/>
        <v>1</v>
      </c>
      <c r="B1690" s="151" t="s">
        <v>206</v>
      </c>
      <c r="C1690" s="159">
        <v>66111</v>
      </c>
      <c r="D1690" s="160" t="s">
        <v>1071</v>
      </c>
      <c r="E1690" s="161">
        <f>SUMIF(Lanç!$C$3:$C$114,C1690,Lanç!$F$3:$F$114)</f>
        <v>0</v>
      </c>
      <c r="F1690" s="161">
        <f>SUMIF(Lanç!$C$115:$C$6504,C1690,Lanç!$F$115:$F$6504)</f>
        <v>0</v>
      </c>
      <c r="G1690" s="161">
        <f>SUMIF(Lanç!$C$115:$C$6504,C1690,Lanç!$G$115:$G$6504)</f>
        <v>0</v>
      </c>
      <c r="H1690" s="162">
        <f t="shared" si="93"/>
        <v>0</v>
      </c>
      <c r="I1690" s="162">
        <f t="shared" si="94"/>
        <v>0</v>
      </c>
    </row>
    <row r="1691" spans="1:14" hidden="1">
      <c r="A1691" s="151">
        <f t="shared" si="92"/>
        <v>1</v>
      </c>
      <c r="B1691" s="151" t="s">
        <v>206</v>
      </c>
      <c r="C1691" s="159">
        <v>66113</v>
      </c>
      <c r="D1691" s="160" t="s">
        <v>1195</v>
      </c>
      <c r="E1691" s="161">
        <f>SUMIF(Lanç!$C$3:$C$114,C1691,Lanç!$F$3:$F$114)</f>
        <v>0</v>
      </c>
      <c r="F1691" s="161">
        <f>SUMIF(Lanç!$C$115:$C$6504,C1691,Lanç!$F$115:$F$6504)</f>
        <v>0</v>
      </c>
      <c r="G1691" s="161">
        <f>SUMIF(Lanç!$C$115:$C$6504,C1691,Lanç!$G$115:$G$6504)</f>
        <v>0</v>
      </c>
      <c r="H1691" s="162">
        <f t="shared" si="93"/>
        <v>0</v>
      </c>
      <c r="I1691" s="162">
        <f t="shared" si="94"/>
        <v>0</v>
      </c>
    </row>
    <row r="1692" spans="1:14" hidden="1">
      <c r="A1692" s="151">
        <f t="shared" si="92"/>
        <v>1</v>
      </c>
      <c r="B1692" s="151" t="s">
        <v>206</v>
      </c>
      <c r="C1692" s="159">
        <v>66114</v>
      </c>
      <c r="D1692" s="160" t="s">
        <v>1196</v>
      </c>
      <c r="E1692" s="161">
        <f>SUMIF(Lanç!$C$3:$C$114,C1692,Lanç!$F$3:$F$114)</f>
        <v>0</v>
      </c>
      <c r="F1692" s="161">
        <f>SUMIF(Lanç!$C$115:$C$6504,C1692,Lanç!$F$115:$F$6504)</f>
        <v>0</v>
      </c>
      <c r="G1692" s="161">
        <f>SUMIF(Lanç!$C$115:$C$6504,C1692,Lanç!$G$115:$G$6504)</f>
        <v>0</v>
      </c>
      <c r="H1692" s="162">
        <f t="shared" si="93"/>
        <v>0</v>
      </c>
      <c r="I1692" s="162">
        <f t="shared" si="94"/>
        <v>0</v>
      </c>
    </row>
    <row r="1693" spans="1:14" hidden="1">
      <c r="A1693" s="151">
        <f t="shared" si="92"/>
        <v>1</v>
      </c>
      <c r="B1693" s="151" t="s">
        <v>206</v>
      </c>
      <c r="C1693" s="159">
        <v>66115</v>
      </c>
      <c r="D1693" s="160" t="s">
        <v>1197</v>
      </c>
      <c r="E1693" s="161">
        <f>SUMIF(Lanç!$C$3:$C$114,C1693,Lanç!$F$3:$F$114)</f>
        <v>0</v>
      </c>
      <c r="F1693" s="161">
        <f>SUMIF(Lanç!$C$115:$C$6504,C1693,Lanç!$F$115:$F$6504)</f>
        <v>0</v>
      </c>
      <c r="G1693" s="161">
        <f>SUMIF(Lanç!$C$115:$C$6504,C1693,Lanç!$G$115:$G$6504)</f>
        <v>0</v>
      </c>
      <c r="H1693" s="162">
        <f t="shared" si="93"/>
        <v>0</v>
      </c>
      <c r="I1693" s="162">
        <f t="shared" si="94"/>
        <v>0</v>
      </c>
    </row>
    <row r="1694" spans="1:14" hidden="1">
      <c r="A1694" s="151">
        <f t="shared" si="92"/>
        <v>1</v>
      </c>
      <c r="B1694" s="151" t="s">
        <v>206</v>
      </c>
      <c r="C1694" s="159">
        <v>66119</v>
      </c>
      <c r="D1694" s="160" t="s">
        <v>245</v>
      </c>
      <c r="E1694" s="161">
        <f>SUMIF(Lanç!$C$3:$C$114,C1694,Lanç!$F$3:$F$114)</f>
        <v>0</v>
      </c>
      <c r="F1694" s="161">
        <f>SUMIF(Lanç!$C$115:$C$6504,C1694,Lanç!$F$115:$F$6504)</f>
        <v>0</v>
      </c>
      <c r="G1694" s="161">
        <f>SUMIF(Lanç!$C$115:$C$6504,C1694,Lanç!$G$115:$G$6504)</f>
        <v>0</v>
      </c>
      <c r="H1694" s="162">
        <f t="shared" si="93"/>
        <v>0</v>
      </c>
      <c r="I1694" s="162">
        <f t="shared" si="94"/>
        <v>0</v>
      </c>
    </row>
    <row r="1695" spans="1:14" hidden="1">
      <c r="A1695" s="151">
        <f t="shared" si="92"/>
        <v>1</v>
      </c>
      <c r="B1695" s="155" t="s">
        <v>204</v>
      </c>
      <c r="C1695" s="156">
        <v>6612</v>
      </c>
      <c r="D1695" s="157" t="s">
        <v>1198</v>
      </c>
      <c r="E1695" s="158">
        <f>SUMIF(Lanç!$C$3:$C$114,C1695,Lanç!$F$3:$F$114)</f>
        <v>0</v>
      </c>
      <c r="F1695" s="158">
        <f>SUMIF(Lanç!$C$115:$C$6504,C1695,Lanç!$F$115:$F$6504)</f>
        <v>0</v>
      </c>
      <c r="G1695" s="158">
        <f>SUMIF(Lanç!$C$115:$C$6504,C1695,Lanç!$G$115:$G$6504)</f>
        <v>0</v>
      </c>
      <c r="H1695" s="163">
        <f t="shared" si="93"/>
        <v>0</v>
      </c>
      <c r="I1695" s="163">
        <f t="shared" si="94"/>
        <v>0</v>
      </c>
    </row>
    <row r="1696" spans="1:14" hidden="1">
      <c r="A1696" s="151">
        <f t="shared" si="92"/>
        <v>1</v>
      </c>
      <c r="B1696" s="151" t="s">
        <v>206</v>
      </c>
      <c r="C1696" s="159">
        <v>66121</v>
      </c>
      <c r="D1696" s="160" t="s">
        <v>1199</v>
      </c>
      <c r="E1696" s="161">
        <f>SUMIF(Lanç!$C$3:$C$114,C1696,Lanç!$F$3:$F$114)</f>
        <v>0</v>
      </c>
      <c r="F1696" s="161">
        <f>SUMIF(Lanç!$C$115:$C$6504,C1696,Lanç!$F$115:$F$6504)</f>
        <v>0</v>
      </c>
      <c r="G1696" s="161">
        <f>SUMIF(Lanç!$C$115:$C$6504,C1696,Lanç!$G$115:$G$6504)</f>
        <v>0</v>
      </c>
      <c r="H1696" s="162">
        <f t="shared" si="93"/>
        <v>0</v>
      </c>
      <c r="I1696" s="162">
        <f t="shared" si="94"/>
        <v>0</v>
      </c>
    </row>
    <row r="1697" spans="1:14" hidden="1">
      <c r="A1697" s="151">
        <f t="shared" si="92"/>
        <v>1</v>
      </c>
      <c r="B1697" s="151" t="s">
        <v>206</v>
      </c>
      <c r="C1697" s="159">
        <v>66122</v>
      </c>
      <c r="D1697" s="160" t="s">
        <v>1200</v>
      </c>
      <c r="E1697" s="161">
        <f>SUMIF(Lanç!$C$3:$C$114,C1697,Lanç!$F$3:$F$114)</f>
        <v>0</v>
      </c>
      <c r="F1697" s="161">
        <f>SUMIF(Lanç!$C$115:$C$6504,C1697,Lanç!$F$115:$F$6504)</f>
        <v>0</v>
      </c>
      <c r="G1697" s="161">
        <f>SUMIF(Lanç!$C$115:$C$6504,C1697,Lanç!$G$115:$G$6504)</f>
        <v>0</v>
      </c>
      <c r="H1697" s="162">
        <f t="shared" si="93"/>
        <v>0</v>
      </c>
      <c r="I1697" s="162">
        <f t="shared" si="94"/>
        <v>0</v>
      </c>
    </row>
    <row r="1698" spans="1:14" hidden="1">
      <c r="A1698" s="151">
        <f t="shared" ref="A1698:A1761" si="95">IF(E1698+F1698+G1698+H1698+I1698=0,1,0)</f>
        <v>1</v>
      </c>
      <c r="B1698" s="151" t="s">
        <v>206</v>
      </c>
      <c r="C1698" s="159">
        <v>6614</v>
      </c>
      <c r="D1698" s="160" t="s">
        <v>1201</v>
      </c>
      <c r="E1698" s="161">
        <f>SUMIF(Lanç!$C$3:$C$114,C1698,Lanç!$F$3:$F$114)</f>
        <v>0</v>
      </c>
      <c r="F1698" s="161">
        <f>SUMIF(Lanç!$C$115:$C$6504,C1698,Lanç!$F$115:$F$6504)</f>
        <v>0</v>
      </c>
      <c r="G1698" s="161">
        <f>SUMIF(Lanç!$C$115:$C$6504,C1698,Lanç!$G$115:$G$6504)</f>
        <v>0</v>
      </c>
      <c r="H1698" s="162">
        <f t="shared" ref="H1698:H1761" si="96">(F1698)-(G1698)</f>
        <v>0</v>
      </c>
      <c r="I1698" s="162">
        <f t="shared" ref="I1698:I1761" si="97">(E1698)+(H1698)</f>
        <v>0</v>
      </c>
    </row>
    <row r="1699" spans="1:14" hidden="1">
      <c r="A1699" s="151">
        <f t="shared" si="95"/>
        <v>1</v>
      </c>
      <c r="B1699" s="151" t="s">
        <v>206</v>
      </c>
      <c r="C1699" s="159">
        <v>6615</v>
      </c>
      <c r="D1699" s="160" t="s">
        <v>1202</v>
      </c>
      <c r="E1699" s="161">
        <f>SUMIF(Lanç!$C$3:$C$114,C1699,Lanç!$F$3:$F$114)</f>
        <v>0</v>
      </c>
      <c r="F1699" s="161">
        <f>SUMIF(Lanç!$C$115:$C$6504,C1699,Lanç!$F$115:$F$6504)</f>
        <v>0</v>
      </c>
      <c r="G1699" s="161">
        <f>SUMIF(Lanç!$C$115:$C$6504,C1699,Lanç!$G$115:$G$6504)</f>
        <v>0</v>
      </c>
      <c r="H1699" s="162">
        <f t="shared" si="96"/>
        <v>0</v>
      </c>
      <c r="I1699" s="162">
        <f t="shared" si="97"/>
        <v>0</v>
      </c>
      <c r="J1699" s="1"/>
      <c r="K1699" s="1"/>
      <c r="L1699" s="1"/>
      <c r="M1699" s="1"/>
      <c r="N1699" s="1"/>
    </row>
    <row r="1700" spans="1:14" hidden="1">
      <c r="A1700" s="151">
        <f t="shared" si="95"/>
        <v>1</v>
      </c>
      <c r="B1700" s="155" t="s">
        <v>204</v>
      </c>
      <c r="C1700" s="156">
        <v>662</v>
      </c>
      <c r="D1700" s="157" t="s">
        <v>1203</v>
      </c>
      <c r="E1700" s="158">
        <f>SUM(E1701:E1702)</f>
        <v>0</v>
      </c>
      <c r="F1700" s="158">
        <f>SUM(F1701:F1702)</f>
        <v>0</v>
      </c>
      <c r="G1700" s="158">
        <f>SUM(G1701:G1702)</f>
        <v>0</v>
      </c>
      <c r="H1700" s="154">
        <f t="shared" si="96"/>
        <v>0</v>
      </c>
      <c r="I1700" s="154">
        <f t="shared" si="97"/>
        <v>0</v>
      </c>
    </row>
    <row r="1701" spans="1:14" hidden="1">
      <c r="A1701" s="151">
        <f t="shared" si="95"/>
        <v>1</v>
      </c>
      <c r="B1701" s="151" t="s">
        <v>206</v>
      </c>
      <c r="C1701" s="159">
        <v>6621</v>
      </c>
      <c r="D1701" s="160" t="s">
        <v>1204</v>
      </c>
      <c r="E1701" s="161">
        <f>SUMIF(Lanç!$C$3:$C$114,C1701,Lanç!$F$3:$F$114)</f>
        <v>0</v>
      </c>
      <c r="F1701" s="161">
        <f>SUMIF(Lanç!$C$115:$C$6504,C1701,Lanç!$F$115:$F$6504)</f>
        <v>0</v>
      </c>
      <c r="G1701" s="161">
        <f>SUMIF(Lanç!$C$115:$C$6504,C1701,Lanç!$G$115:$G$6504)</f>
        <v>0</v>
      </c>
      <c r="H1701" s="162">
        <f t="shared" si="96"/>
        <v>0</v>
      </c>
      <c r="I1701" s="162">
        <f t="shared" si="97"/>
        <v>0</v>
      </c>
    </row>
    <row r="1702" spans="1:14" hidden="1">
      <c r="A1702" s="151">
        <f t="shared" si="95"/>
        <v>1</v>
      </c>
      <c r="B1702" s="151" t="s">
        <v>206</v>
      </c>
      <c r="C1702" s="159">
        <v>6622</v>
      </c>
      <c r="D1702" s="160" t="s">
        <v>1205</v>
      </c>
      <c r="E1702" s="161">
        <f>SUMIF(Lanç!$C$3:$C$114,C1702,Lanç!$F$3:$F$114)</f>
        <v>0</v>
      </c>
      <c r="F1702" s="161">
        <f>SUMIF(Lanç!$C$115:$C$6504,C1702,Lanç!$F$115:$F$6504)</f>
        <v>0</v>
      </c>
      <c r="G1702" s="161">
        <f>SUMIF(Lanç!$C$115:$C$6504,C1702,Lanç!$G$115:$G$6504)</f>
        <v>0</v>
      </c>
      <c r="H1702" s="162">
        <f t="shared" si="96"/>
        <v>0</v>
      </c>
      <c r="I1702" s="162">
        <f t="shared" si="97"/>
        <v>0</v>
      </c>
      <c r="J1702" s="1"/>
      <c r="K1702" s="1"/>
      <c r="L1702" s="1"/>
      <c r="M1702" s="1"/>
      <c r="N1702" s="1"/>
    </row>
    <row r="1703" spans="1:14" hidden="1">
      <c r="A1703" s="151">
        <f t="shared" si="95"/>
        <v>1</v>
      </c>
      <c r="B1703" s="155" t="s">
        <v>204</v>
      </c>
      <c r="C1703" s="156">
        <v>663</v>
      </c>
      <c r="D1703" s="157" t="s">
        <v>1206</v>
      </c>
      <c r="E1703" s="158">
        <f>SUM(E1704)</f>
        <v>0</v>
      </c>
      <c r="F1703" s="158">
        <f>SUM(F1704)</f>
        <v>0</v>
      </c>
      <c r="G1703" s="158">
        <f>SUM(G1704)</f>
        <v>0</v>
      </c>
      <c r="H1703" s="154">
        <f t="shared" si="96"/>
        <v>0</v>
      </c>
      <c r="I1703" s="154">
        <f t="shared" si="97"/>
        <v>0</v>
      </c>
    </row>
    <row r="1704" spans="1:14" hidden="1">
      <c r="A1704" s="151">
        <f t="shared" si="95"/>
        <v>1</v>
      </c>
      <c r="B1704" s="151" t="s">
        <v>206</v>
      </c>
      <c r="C1704" s="159">
        <v>6631</v>
      </c>
      <c r="D1704" s="160" t="s">
        <v>1206</v>
      </c>
      <c r="E1704" s="161">
        <f>SUMIF(Lanç!$C$3:$C$114,C1704,Lanç!$F$3:$F$114)</f>
        <v>0</v>
      </c>
      <c r="F1704" s="161">
        <f>SUMIF(Lanç!$C$115:$C$6504,C1704,Lanç!$F$115:$F$6504)</f>
        <v>0</v>
      </c>
      <c r="G1704" s="161">
        <f>SUMIF(Lanç!$C$115:$C$6504,C1704,Lanç!$G$115:$G$6504)</f>
        <v>0</v>
      </c>
      <c r="H1704" s="162">
        <f t="shared" si="96"/>
        <v>0</v>
      </c>
      <c r="I1704" s="162">
        <f t="shared" si="97"/>
        <v>0</v>
      </c>
      <c r="J1704" s="1"/>
      <c r="K1704" s="1"/>
      <c r="L1704" s="1"/>
      <c r="M1704" s="1"/>
      <c r="N1704" s="1"/>
    </row>
    <row r="1705" spans="1:14" hidden="1">
      <c r="A1705" s="151">
        <f t="shared" si="95"/>
        <v>1</v>
      </c>
      <c r="B1705" s="155" t="s">
        <v>204</v>
      </c>
      <c r="C1705" s="156">
        <v>664</v>
      </c>
      <c r="D1705" s="157" t="s">
        <v>1207</v>
      </c>
      <c r="E1705" s="158">
        <f>SUM(E1706)</f>
        <v>0</v>
      </c>
      <c r="F1705" s="158">
        <f>SUM(F1706)</f>
        <v>0</v>
      </c>
      <c r="G1705" s="158">
        <f>SUM(G1706)</f>
        <v>0</v>
      </c>
      <c r="H1705" s="154">
        <f t="shared" si="96"/>
        <v>0</v>
      </c>
      <c r="I1705" s="154">
        <f t="shared" si="97"/>
        <v>0</v>
      </c>
    </row>
    <row r="1706" spans="1:14" hidden="1">
      <c r="A1706" s="151">
        <f t="shared" si="95"/>
        <v>1</v>
      </c>
      <c r="B1706" s="151" t="s">
        <v>206</v>
      </c>
      <c r="C1706" s="159">
        <v>6641</v>
      </c>
      <c r="D1706" s="160" t="s">
        <v>1207</v>
      </c>
      <c r="E1706" s="161">
        <f>SUMIF(Lanç!$C$3:$C$114,C1706,Lanç!$F$3:$F$114)</f>
        <v>0</v>
      </c>
      <c r="F1706" s="161">
        <f>SUMIF(Lanç!$C$115:$C$6504,C1706,Lanç!$F$115:$F$6504)</f>
        <v>0</v>
      </c>
      <c r="G1706" s="161">
        <f>SUMIF(Lanç!$C$115:$C$6504,C1706,Lanç!$G$115:$G$6504)</f>
        <v>0</v>
      </c>
      <c r="H1706" s="162">
        <f t="shared" si="96"/>
        <v>0</v>
      </c>
      <c r="I1706" s="162">
        <f t="shared" si="97"/>
        <v>0</v>
      </c>
      <c r="J1706" s="1"/>
      <c r="K1706" s="1"/>
      <c r="L1706" s="1"/>
      <c r="M1706" s="1"/>
      <c r="N1706" s="1"/>
    </row>
    <row r="1707" spans="1:14" hidden="1">
      <c r="A1707" s="151">
        <f t="shared" si="95"/>
        <v>1</v>
      </c>
      <c r="B1707" s="155" t="s">
        <v>204</v>
      </c>
      <c r="C1707" s="156">
        <v>665</v>
      </c>
      <c r="D1707" s="157" t="s">
        <v>1208</v>
      </c>
      <c r="E1707" s="158">
        <f>SUM(E1708:E1710)</f>
        <v>0</v>
      </c>
      <c r="F1707" s="158">
        <f>SUM(F1708:F1710)</f>
        <v>0</v>
      </c>
      <c r="G1707" s="158">
        <f>SUM(G1708:G1710)</f>
        <v>0</v>
      </c>
      <c r="H1707" s="154">
        <f t="shared" si="96"/>
        <v>0</v>
      </c>
      <c r="I1707" s="154">
        <f t="shared" si="97"/>
        <v>0</v>
      </c>
    </row>
    <row r="1708" spans="1:14" hidden="1">
      <c r="A1708" s="151">
        <f t="shared" si="95"/>
        <v>1</v>
      </c>
      <c r="B1708" s="151" t="s">
        <v>206</v>
      </c>
      <c r="C1708" s="159">
        <v>6651</v>
      </c>
      <c r="D1708" s="160" t="s">
        <v>1209</v>
      </c>
      <c r="E1708" s="161">
        <f>SUMIF(Lanç!$C$3:$C$114,C1708,Lanç!$F$3:$F$114)</f>
        <v>0</v>
      </c>
      <c r="F1708" s="161">
        <f>SUMIF(Lanç!$C$115:$C$6504,C1708,Lanç!$F$115:$F$6504)</f>
        <v>0</v>
      </c>
      <c r="G1708" s="161">
        <f>SUMIF(Lanç!$C$115:$C$6504,C1708,Lanç!$G$115:$G$6504)</f>
        <v>0</v>
      </c>
      <c r="H1708" s="162">
        <f t="shared" si="96"/>
        <v>0</v>
      </c>
      <c r="I1708" s="162">
        <f t="shared" si="97"/>
        <v>0</v>
      </c>
    </row>
    <row r="1709" spans="1:14" hidden="1">
      <c r="A1709" s="151">
        <f t="shared" si="95"/>
        <v>1</v>
      </c>
      <c r="B1709" s="151" t="s">
        <v>206</v>
      </c>
      <c r="C1709" s="159">
        <v>6652</v>
      </c>
      <c r="D1709" s="160" t="s">
        <v>1210</v>
      </c>
      <c r="E1709" s="161">
        <f>SUMIF(Lanç!$C$3:$C$114,C1709,Lanç!$F$3:$F$114)</f>
        <v>0</v>
      </c>
      <c r="F1709" s="161">
        <f>SUMIF(Lanç!$C$115:$C$6504,C1709,Lanç!$F$115:$F$6504)</f>
        <v>0</v>
      </c>
      <c r="G1709" s="161">
        <f>SUMIF(Lanç!$C$115:$C$6504,C1709,Lanç!$G$115:$G$6504)</f>
        <v>0</v>
      </c>
      <c r="H1709" s="162">
        <f t="shared" si="96"/>
        <v>0</v>
      </c>
      <c r="I1709" s="162">
        <f t="shared" si="97"/>
        <v>0</v>
      </c>
    </row>
    <row r="1710" spans="1:14" hidden="1">
      <c r="A1710" s="151">
        <f t="shared" si="95"/>
        <v>1</v>
      </c>
      <c r="B1710" s="151" t="s">
        <v>206</v>
      </c>
      <c r="C1710" s="159">
        <v>6653</v>
      </c>
      <c r="D1710" s="160" t="s">
        <v>1211</v>
      </c>
      <c r="E1710" s="161">
        <f>SUMIF(Lanç!$C$3:$C$114,C1710,Lanç!$F$3:$F$114)</f>
        <v>0</v>
      </c>
      <c r="F1710" s="161">
        <f>SUMIF(Lanç!$C$115:$C$6504,C1710,Lanç!$F$115:$F$6504)</f>
        <v>0</v>
      </c>
      <c r="G1710" s="161">
        <f>SUMIF(Lanç!$C$115:$C$6504,C1710,Lanç!$G$115:$G$6504)</f>
        <v>0</v>
      </c>
      <c r="H1710" s="162">
        <f t="shared" si="96"/>
        <v>0</v>
      </c>
      <c r="I1710" s="162">
        <f t="shared" si="97"/>
        <v>0</v>
      </c>
      <c r="J1710" s="1"/>
      <c r="K1710" s="1"/>
      <c r="L1710" s="1"/>
      <c r="M1710" s="1"/>
      <c r="N1710" s="1"/>
    </row>
    <row r="1711" spans="1:14" hidden="1">
      <c r="A1711" s="151">
        <f t="shared" si="95"/>
        <v>1</v>
      </c>
      <c r="B1711" s="155" t="s">
        <v>204</v>
      </c>
      <c r="C1711" s="156">
        <v>666</v>
      </c>
      <c r="D1711" s="157" t="s">
        <v>1212</v>
      </c>
      <c r="E1711" s="158">
        <f>SUM(E1712,E1719)</f>
        <v>0</v>
      </c>
      <c r="F1711" s="158">
        <f>SUM(F1712,F1719)</f>
        <v>0</v>
      </c>
      <c r="G1711" s="158">
        <f>SUM(G1712,G1719)</f>
        <v>0</v>
      </c>
      <c r="H1711" s="154">
        <f t="shared" si="96"/>
        <v>0</v>
      </c>
      <c r="I1711" s="154">
        <f t="shared" si="97"/>
        <v>0</v>
      </c>
    </row>
    <row r="1712" spans="1:14" hidden="1">
      <c r="A1712" s="151">
        <f t="shared" si="95"/>
        <v>1</v>
      </c>
      <c r="B1712" s="155" t="s">
        <v>204</v>
      </c>
      <c r="C1712" s="156">
        <v>6661</v>
      </c>
      <c r="D1712" s="157" t="s">
        <v>1213</v>
      </c>
      <c r="E1712" s="158">
        <f>SUM(E1713:E1718)</f>
        <v>0</v>
      </c>
      <c r="F1712" s="158">
        <f>SUM(F1713:F1718)</f>
        <v>0</v>
      </c>
      <c r="G1712" s="158">
        <f>SUM(G1713:G1718)</f>
        <v>0</v>
      </c>
      <c r="H1712" s="154">
        <f t="shared" si="96"/>
        <v>0</v>
      </c>
      <c r="I1712" s="154">
        <f t="shared" si="97"/>
        <v>0</v>
      </c>
    </row>
    <row r="1713" spans="1:14" hidden="1">
      <c r="A1713" s="151">
        <f t="shared" si="95"/>
        <v>1</v>
      </c>
      <c r="B1713" s="151" t="s">
        <v>206</v>
      </c>
      <c r="C1713" s="159">
        <v>66611</v>
      </c>
      <c r="D1713" s="160" t="s">
        <v>1214</v>
      </c>
      <c r="E1713" s="161">
        <f>SUMIF(Lanç!$C$3:$C$114,C1713,Lanç!$F$3:$F$114)</f>
        <v>0</v>
      </c>
      <c r="F1713" s="161">
        <f>SUMIF(Lanç!$C$115:$C$6504,C1713,Lanç!$F$115:$F$6504)</f>
        <v>0</v>
      </c>
      <c r="G1713" s="161">
        <f>SUMIF(Lanç!$C$115:$C$6504,C1713,Lanç!$G$115:$G$6504)</f>
        <v>0</v>
      </c>
      <c r="H1713" s="162">
        <f t="shared" si="96"/>
        <v>0</v>
      </c>
      <c r="I1713" s="162">
        <f t="shared" si="97"/>
        <v>0</v>
      </c>
    </row>
    <row r="1714" spans="1:14" hidden="1">
      <c r="A1714" s="151">
        <f t="shared" si="95"/>
        <v>1</v>
      </c>
      <c r="B1714" s="151" t="s">
        <v>206</v>
      </c>
      <c r="C1714" s="159">
        <v>66612</v>
      </c>
      <c r="D1714" s="160" t="s">
        <v>428</v>
      </c>
      <c r="E1714" s="161">
        <f>SUMIF(Lanç!$C$3:$C$114,C1714,Lanç!$F$3:$F$114)</f>
        <v>0</v>
      </c>
      <c r="F1714" s="161">
        <f>SUMIF(Lanç!$C$115:$C$6504,C1714,Lanç!$F$115:$F$6504)</f>
        <v>0</v>
      </c>
      <c r="G1714" s="161">
        <f>SUMIF(Lanç!$C$115:$C$6504,C1714,Lanç!$G$115:$G$6504)</f>
        <v>0</v>
      </c>
      <c r="H1714" s="162">
        <f t="shared" si="96"/>
        <v>0</v>
      </c>
      <c r="I1714" s="162">
        <f t="shared" si="97"/>
        <v>0</v>
      </c>
    </row>
    <row r="1715" spans="1:14" hidden="1">
      <c r="A1715" s="151">
        <f t="shared" si="95"/>
        <v>1</v>
      </c>
      <c r="B1715" s="151" t="s">
        <v>206</v>
      </c>
      <c r="C1715" s="159">
        <v>66613</v>
      </c>
      <c r="D1715" s="160" t="s">
        <v>267</v>
      </c>
      <c r="E1715" s="161">
        <f>SUMIF(Lanç!$C$3:$C$114,C1715,Lanç!$F$3:$F$114)</f>
        <v>0</v>
      </c>
      <c r="F1715" s="161">
        <f>SUMIF(Lanç!$C$115:$C$6504,C1715,Lanç!$F$115:$F$6504)</f>
        <v>0</v>
      </c>
      <c r="G1715" s="161">
        <f>SUMIF(Lanç!$C$115:$C$6504,C1715,Lanç!$G$115:$G$6504)</f>
        <v>0</v>
      </c>
      <c r="H1715" s="162">
        <f t="shared" si="96"/>
        <v>0</v>
      </c>
      <c r="I1715" s="162">
        <f t="shared" si="97"/>
        <v>0</v>
      </c>
    </row>
    <row r="1716" spans="1:14" hidden="1">
      <c r="A1716" s="151">
        <f t="shared" si="95"/>
        <v>1</v>
      </c>
      <c r="B1716" s="151" t="s">
        <v>206</v>
      </c>
      <c r="C1716" s="159">
        <v>66614</v>
      </c>
      <c r="D1716" s="160" t="s">
        <v>1215</v>
      </c>
      <c r="E1716" s="161">
        <f>SUMIF(Lanç!$C$3:$C$114,C1716,Lanç!$F$3:$F$114)</f>
        <v>0</v>
      </c>
      <c r="F1716" s="161">
        <f>SUMIF(Lanç!$C$115:$C$6504,C1716,Lanç!$F$115:$F$6504)</f>
        <v>0</v>
      </c>
      <c r="G1716" s="161">
        <f>SUMIF(Lanç!$C$115:$C$6504,C1716,Lanç!$G$115:$G$6504)</f>
        <v>0</v>
      </c>
      <c r="H1716" s="162">
        <f t="shared" si="96"/>
        <v>0</v>
      </c>
      <c r="I1716" s="162">
        <f t="shared" si="97"/>
        <v>0</v>
      </c>
    </row>
    <row r="1717" spans="1:14" hidden="1">
      <c r="A1717" s="151">
        <f t="shared" si="95"/>
        <v>1</v>
      </c>
      <c r="B1717" s="151" t="s">
        <v>206</v>
      </c>
      <c r="C1717" s="159">
        <v>66615</v>
      </c>
      <c r="D1717" s="160" t="s">
        <v>270</v>
      </c>
      <c r="E1717" s="161">
        <f>SUMIF(Lanç!$C$3:$C$114,C1717,Lanç!$F$3:$F$114)</f>
        <v>0</v>
      </c>
      <c r="F1717" s="161">
        <f>SUMIF(Lanç!$C$115:$C$6504,C1717,Lanç!$F$115:$F$6504)</f>
        <v>0</v>
      </c>
      <c r="G1717" s="161">
        <f>SUMIF(Lanç!$C$115:$C$6504,C1717,Lanç!$G$115:$G$6504)</f>
        <v>0</v>
      </c>
      <c r="H1717" s="162">
        <f t="shared" si="96"/>
        <v>0</v>
      </c>
      <c r="I1717" s="162">
        <f t="shared" si="97"/>
        <v>0</v>
      </c>
    </row>
    <row r="1718" spans="1:14" hidden="1">
      <c r="A1718" s="151">
        <f t="shared" si="95"/>
        <v>1</v>
      </c>
      <c r="B1718" s="151" t="s">
        <v>206</v>
      </c>
      <c r="C1718" s="159">
        <v>66619</v>
      </c>
      <c r="D1718" s="160" t="s">
        <v>1216</v>
      </c>
      <c r="E1718" s="161">
        <f>SUMIF(Lanç!$C$3:$C$114,C1718,Lanç!$F$3:$F$114)</f>
        <v>0</v>
      </c>
      <c r="F1718" s="161">
        <f>SUMIF(Lanç!$C$115:$C$6504,C1718,Lanç!$F$115:$F$6504)</f>
        <v>0</v>
      </c>
      <c r="G1718" s="161">
        <f>SUMIF(Lanç!$C$115:$C$6504,C1718,Lanç!$G$115:$G$6504)</f>
        <v>0</v>
      </c>
      <c r="H1718" s="162">
        <f t="shared" si="96"/>
        <v>0</v>
      </c>
      <c r="I1718" s="162">
        <f t="shared" si="97"/>
        <v>0</v>
      </c>
      <c r="J1718" s="2"/>
      <c r="K1718" s="2"/>
      <c r="L1718" s="2"/>
      <c r="M1718" s="2"/>
      <c r="N1718" s="2"/>
    </row>
    <row r="1719" spans="1:14" hidden="1">
      <c r="A1719" s="151">
        <f t="shared" si="95"/>
        <v>1</v>
      </c>
      <c r="B1719" s="155" t="s">
        <v>204</v>
      </c>
      <c r="C1719" s="156">
        <v>6662</v>
      </c>
      <c r="D1719" s="157" t="s">
        <v>1217</v>
      </c>
      <c r="E1719" s="158">
        <f>SUM(E1720)</f>
        <v>0</v>
      </c>
      <c r="F1719" s="158">
        <f>SUM(F1720)</f>
        <v>0</v>
      </c>
      <c r="G1719" s="158">
        <f>SUM(G1720)</f>
        <v>0</v>
      </c>
      <c r="H1719" s="154">
        <f t="shared" si="96"/>
        <v>0</v>
      </c>
      <c r="I1719" s="154">
        <f t="shared" si="97"/>
        <v>0</v>
      </c>
    </row>
    <row r="1720" spans="1:14" hidden="1">
      <c r="A1720" s="151">
        <f t="shared" si="95"/>
        <v>1</v>
      </c>
      <c r="B1720" s="151" t="s">
        <v>206</v>
      </c>
      <c r="C1720" s="159">
        <v>66621</v>
      </c>
      <c r="D1720" s="160" t="s">
        <v>1217</v>
      </c>
      <c r="E1720" s="161">
        <f>SUMIF(Lanç!$C$3:$C$114,C1720,Lanç!$F$3:$F$114)</f>
        <v>0</v>
      </c>
      <c r="F1720" s="161">
        <f>SUMIF(Lanç!$C$115:$C$6504,C1720,Lanç!$F$115:$F$6504)</f>
        <v>0</v>
      </c>
      <c r="G1720" s="161">
        <f>SUMIF(Lanç!$C$115:$C$6504,C1720,Lanç!$G$115:$G$6504)</f>
        <v>0</v>
      </c>
      <c r="H1720" s="162">
        <f t="shared" si="96"/>
        <v>0</v>
      </c>
      <c r="I1720" s="162">
        <f t="shared" si="97"/>
        <v>0</v>
      </c>
      <c r="J1720" s="1"/>
      <c r="K1720" s="1"/>
      <c r="L1720" s="1"/>
      <c r="M1720" s="1"/>
      <c r="N1720" s="1"/>
    </row>
    <row r="1721" spans="1:14" hidden="1">
      <c r="A1721" s="151">
        <f t="shared" si="95"/>
        <v>1</v>
      </c>
      <c r="B1721" s="155" t="s">
        <v>204</v>
      </c>
      <c r="C1721" s="156">
        <v>667</v>
      </c>
      <c r="D1721" s="157" t="s">
        <v>1218</v>
      </c>
      <c r="E1721" s="158">
        <f>SUM(E1722,E1728)</f>
        <v>0</v>
      </c>
      <c r="F1721" s="158">
        <f>SUM(F1722,F1728)</f>
        <v>0</v>
      </c>
      <c r="G1721" s="158">
        <f>SUM(G1722,G1728)</f>
        <v>0</v>
      </c>
      <c r="H1721" s="154">
        <f t="shared" si="96"/>
        <v>0</v>
      </c>
      <c r="I1721" s="154">
        <f t="shared" si="97"/>
        <v>0</v>
      </c>
    </row>
    <row r="1722" spans="1:14" hidden="1">
      <c r="A1722" s="151">
        <f t="shared" si="95"/>
        <v>1</v>
      </c>
      <c r="B1722" s="155" t="s">
        <v>204</v>
      </c>
      <c r="C1722" s="156">
        <v>6671</v>
      </c>
      <c r="D1722" s="157" t="s">
        <v>1213</v>
      </c>
      <c r="E1722" s="158">
        <f>SUM(E1723:E1727)</f>
        <v>0</v>
      </c>
      <c r="F1722" s="158">
        <f>SUM(F1723:F1727)</f>
        <v>0</v>
      </c>
      <c r="G1722" s="158">
        <f>SUM(G1723:G1727)</f>
        <v>0</v>
      </c>
      <c r="H1722" s="154">
        <f t="shared" si="96"/>
        <v>0</v>
      </c>
      <c r="I1722" s="154">
        <f t="shared" si="97"/>
        <v>0</v>
      </c>
    </row>
    <row r="1723" spans="1:14" hidden="1">
      <c r="A1723" s="151">
        <f t="shared" si="95"/>
        <v>1</v>
      </c>
      <c r="B1723" s="151" t="s">
        <v>206</v>
      </c>
      <c r="C1723" s="159">
        <v>66711</v>
      </c>
      <c r="D1723" s="160" t="s">
        <v>1214</v>
      </c>
      <c r="E1723" s="161">
        <f>SUMIF(Lanç!$C$3:$C$114,C1723,Lanç!$F$3:$F$114)</f>
        <v>0</v>
      </c>
      <c r="F1723" s="161">
        <f>SUMIF(Lanç!$C$115:$C$6504,C1723,Lanç!$F$115:$F$6504)</f>
        <v>0</v>
      </c>
      <c r="G1723" s="161">
        <f>SUMIF(Lanç!$C$115:$C$6504,C1723,Lanç!$G$115:$G$6504)</f>
        <v>0</v>
      </c>
      <c r="H1723" s="162">
        <f t="shared" si="96"/>
        <v>0</v>
      </c>
      <c r="I1723" s="162">
        <f t="shared" si="97"/>
        <v>0</v>
      </c>
    </row>
    <row r="1724" spans="1:14" hidden="1">
      <c r="A1724" s="151">
        <f t="shared" si="95"/>
        <v>1</v>
      </c>
      <c r="B1724" s="151" t="s">
        <v>206</v>
      </c>
      <c r="C1724" s="159">
        <v>66712</v>
      </c>
      <c r="D1724" s="160" t="s">
        <v>428</v>
      </c>
      <c r="E1724" s="161">
        <f>SUMIF(Lanç!$C$3:$C$114,C1724,Lanç!$F$3:$F$114)</f>
        <v>0</v>
      </c>
      <c r="F1724" s="161">
        <f>SUMIF(Lanç!$C$115:$C$6504,C1724,Lanç!$F$115:$F$6504)</f>
        <v>0</v>
      </c>
      <c r="G1724" s="161">
        <f>SUMIF(Lanç!$C$115:$C$6504,C1724,Lanç!$G$115:$G$6504)</f>
        <v>0</v>
      </c>
      <c r="H1724" s="162">
        <f t="shared" si="96"/>
        <v>0</v>
      </c>
      <c r="I1724" s="162">
        <f t="shared" si="97"/>
        <v>0</v>
      </c>
    </row>
    <row r="1725" spans="1:14" hidden="1">
      <c r="A1725" s="151">
        <f t="shared" si="95"/>
        <v>1</v>
      </c>
      <c r="B1725" s="151" t="s">
        <v>206</v>
      </c>
      <c r="C1725" s="159">
        <v>66713</v>
      </c>
      <c r="D1725" s="160" t="s">
        <v>267</v>
      </c>
      <c r="E1725" s="161">
        <f>SUMIF(Lanç!$C$3:$C$114,C1725,Lanç!$F$3:$F$114)</f>
        <v>0</v>
      </c>
      <c r="F1725" s="161">
        <f>SUMIF(Lanç!$C$115:$C$6504,C1725,Lanç!$F$115:$F$6504)</f>
        <v>0</v>
      </c>
      <c r="G1725" s="161">
        <f>SUMIF(Lanç!$C$115:$C$6504,C1725,Lanç!$G$115:$G$6504)</f>
        <v>0</v>
      </c>
      <c r="H1725" s="162">
        <f t="shared" si="96"/>
        <v>0</v>
      </c>
      <c r="I1725" s="162">
        <f t="shared" si="97"/>
        <v>0</v>
      </c>
    </row>
    <row r="1726" spans="1:14" hidden="1">
      <c r="A1726" s="151">
        <f t="shared" si="95"/>
        <v>1</v>
      </c>
      <c r="B1726" s="151" t="s">
        <v>206</v>
      </c>
      <c r="C1726" s="159">
        <v>66714</v>
      </c>
      <c r="D1726" s="160" t="s">
        <v>270</v>
      </c>
      <c r="E1726" s="161">
        <f>SUMIF(Lanç!$C$3:$C$114,C1726,Lanç!$F$3:$F$114)</f>
        <v>0</v>
      </c>
      <c r="F1726" s="161">
        <f>SUMIF(Lanç!$C$115:$C$6504,C1726,Lanç!$F$115:$F$6504)</f>
        <v>0</v>
      </c>
      <c r="G1726" s="161">
        <f>SUMIF(Lanç!$C$115:$C$6504,C1726,Lanç!$G$115:$G$6504)</f>
        <v>0</v>
      </c>
      <c r="H1726" s="162">
        <f t="shared" si="96"/>
        <v>0</v>
      </c>
      <c r="I1726" s="162">
        <f t="shared" si="97"/>
        <v>0</v>
      </c>
    </row>
    <row r="1727" spans="1:14" hidden="1">
      <c r="A1727" s="151">
        <f t="shared" si="95"/>
        <v>1</v>
      </c>
      <c r="B1727" s="151" t="s">
        <v>206</v>
      </c>
      <c r="C1727" s="159">
        <v>66719</v>
      </c>
      <c r="D1727" s="160" t="s">
        <v>1216</v>
      </c>
      <c r="E1727" s="161">
        <f>SUMIF(Lanç!$C$3:$C$114,C1727,Lanç!$F$3:$F$114)</f>
        <v>0</v>
      </c>
      <c r="F1727" s="161">
        <f>SUMIF(Lanç!$C$115:$C$6504,C1727,Lanç!$F$115:$F$6504)</f>
        <v>0</v>
      </c>
      <c r="G1727" s="161">
        <f>SUMIF(Lanç!$C$115:$C$6504,C1727,Lanç!$G$115:$G$6504)</f>
        <v>0</v>
      </c>
      <c r="H1727" s="162">
        <f t="shared" si="96"/>
        <v>0</v>
      </c>
      <c r="I1727" s="162">
        <f t="shared" si="97"/>
        <v>0</v>
      </c>
      <c r="J1727" s="1"/>
      <c r="K1727" s="1"/>
      <c r="L1727" s="1"/>
      <c r="M1727" s="1"/>
      <c r="N1727" s="1"/>
    </row>
    <row r="1728" spans="1:14" hidden="1">
      <c r="A1728" s="151">
        <f t="shared" si="95"/>
        <v>1</v>
      </c>
      <c r="B1728" s="155" t="s">
        <v>204</v>
      </c>
      <c r="C1728" s="156">
        <v>6672</v>
      </c>
      <c r="D1728" s="157" t="s">
        <v>1219</v>
      </c>
      <c r="E1728" s="158">
        <f>SUM(E1729:E1732)</f>
        <v>0</v>
      </c>
      <c r="F1728" s="158">
        <f>SUM(F1729:F1732)</f>
        <v>0</v>
      </c>
      <c r="G1728" s="158">
        <f>SUM(G1729:G1732)</f>
        <v>0</v>
      </c>
      <c r="H1728" s="154">
        <f t="shared" si="96"/>
        <v>0</v>
      </c>
      <c r="I1728" s="154">
        <f t="shared" si="97"/>
        <v>0</v>
      </c>
    </row>
    <row r="1729" spans="1:14" hidden="1">
      <c r="A1729" s="151">
        <f t="shared" si="95"/>
        <v>1</v>
      </c>
      <c r="B1729" s="151" t="s">
        <v>206</v>
      </c>
      <c r="C1729" s="159">
        <v>66721</v>
      </c>
      <c r="D1729" s="160" t="s">
        <v>1217</v>
      </c>
      <c r="E1729" s="161">
        <f>SUMIF(Lanç!$C$3:$C$114,C1729,Lanç!$F$3:$F$114)</f>
        <v>0</v>
      </c>
      <c r="F1729" s="161">
        <f>SUMIF(Lanç!$C$115:$C$6504,C1729,Lanç!$F$115:$F$6504)</f>
        <v>0</v>
      </c>
      <c r="G1729" s="161">
        <f>SUMIF(Lanç!$C$115:$C$6504,C1729,Lanç!$G$115:$G$6504)</f>
        <v>0</v>
      </c>
      <c r="H1729" s="162">
        <f t="shared" si="96"/>
        <v>0</v>
      </c>
      <c r="I1729" s="162">
        <f t="shared" si="97"/>
        <v>0</v>
      </c>
    </row>
    <row r="1730" spans="1:14" hidden="1">
      <c r="A1730" s="151">
        <f t="shared" si="95"/>
        <v>1</v>
      </c>
      <c r="B1730" s="151" t="s">
        <v>206</v>
      </c>
      <c r="C1730" s="159">
        <v>66722</v>
      </c>
      <c r="D1730" s="160" t="s">
        <v>1220</v>
      </c>
      <c r="E1730" s="161">
        <f>SUMIF(Lanç!$C$3:$C$114,C1730,Lanç!$F$3:$F$114)</f>
        <v>0</v>
      </c>
      <c r="F1730" s="161">
        <f>SUMIF(Lanç!$C$115:$C$6504,C1730,Lanç!$F$115:$F$6504)</f>
        <v>0</v>
      </c>
      <c r="G1730" s="161">
        <f>SUMIF(Lanç!$C$115:$C$6504,C1730,Lanç!$G$115:$G$6504)</f>
        <v>0</v>
      </c>
      <c r="H1730" s="162">
        <f t="shared" si="96"/>
        <v>0</v>
      </c>
      <c r="I1730" s="162">
        <f t="shared" si="97"/>
        <v>0</v>
      </c>
    </row>
    <row r="1731" spans="1:14" hidden="1">
      <c r="A1731" s="151">
        <f t="shared" si="95"/>
        <v>1</v>
      </c>
      <c r="B1731" s="151" t="s">
        <v>206</v>
      </c>
      <c r="C1731" s="159">
        <v>66723</v>
      </c>
      <c r="D1731" s="160" t="s">
        <v>1221</v>
      </c>
      <c r="E1731" s="161">
        <f>SUMIF(Lanç!$C$3:$C$114,C1731,Lanç!$F$3:$F$114)</f>
        <v>0</v>
      </c>
      <c r="F1731" s="161">
        <f>SUMIF(Lanç!$C$115:$C$6504,C1731,Lanç!$F$115:$F$6504)</f>
        <v>0</v>
      </c>
      <c r="G1731" s="161">
        <f>SUMIF(Lanç!$C$115:$C$6504,C1731,Lanç!$G$115:$G$6504)</f>
        <v>0</v>
      </c>
      <c r="H1731" s="162">
        <f t="shared" si="96"/>
        <v>0</v>
      </c>
      <c r="I1731" s="162">
        <f t="shared" si="97"/>
        <v>0</v>
      </c>
    </row>
    <row r="1732" spans="1:14" hidden="1">
      <c r="A1732" s="151">
        <f t="shared" si="95"/>
        <v>1</v>
      </c>
      <c r="B1732" s="151" t="s">
        <v>206</v>
      </c>
      <c r="C1732" s="159">
        <v>66729</v>
      </c>
      <c r="D1732" s="160" t="s">
        <v>1216</v>
      </c>
      <c r="E1732" s="161">
        <f>SUMIF(Lanç!$C$3:$C$114,C1732,Lanç!$F$3:$F$114)</f>
        <v>0</v>
      </c>
      <c r="F1732" s="161">
        <f>SUMIF(Lanç!$C$115:$C$6504,C1732,Lanç!$F$115:$F$6504)</f>
        <v>0</v>
      </c>
      <c r="G1732" s="161">
        <f>SUMIF(Lanç!$C$115:$C$6504,C1732,Lanç!$G$115:$G$6504)</f>
        <v>0</v>
      </c>
      <c r="H1732" s="162">
        <f t="shared" si="96"/>
        <v>0</v>
      </c>
      <c r="I1732" s="162">
        <f t="shared" si="97"/>
        <v>0</v>
      </c>
    </row>
    <row r="1733" spans="1:14" hidden="1">
      <c r="A1733" s="151">
        <f t="shared" si="95"/>
        <v>1</v>
      </c>
      <c r="B1733" s="155" t="s">
        <v>1166</v>
      </c>
      <c r="C1733" s="156">
        <v>669</v>
      </c>
      <c r="D1733" s="157" t="s">
        <v>1167</v>
      </c>
      <c r="E1733" s="158">
        <f>SUMIF(Lanç!$C$3:$C$114,C1733,Lanç!$F$3:$F$114)</f>
        <v>0</v>
      </c>
      <c r="F1733" s="158">
        <f>G1687</f>
        <v>0</v>
      </c>
      <c r="G1733" s="158">
        <f>SUMIF(Lanç!$C$115:$C$6504,C1733,Lanç!$G$115:$G$6504)</f>
        <v>0</v>
      </c>
      <c r="H1733" s="154">
        <f t="shared" si="96"/>
        <v>0</v>
      </c>
      <c r="I1733" s="154">
        <f t="shared" si="97"/>
        <v>0</v>
      </c>
      <c r="J1733" s="1"/>
      <c r="K1733" s="1"/>
      <c r="L1733" s="1"/>
      <c r="M1733" s="1"/>
      <c r="N1733" s="1"/>
    </row>
    <row r="1734" spans="1:14" hidden="1">
      <c r="A1734" s="151">
        <f t="shared" si="95"/>
        <v>1</v>
      </c>
      <c r="B1734" s="155" t="s">
        <v>202</v>
      </c>
      <c r="C1734" s="156">
        <v>67</v>
      </c>
      <c r="D1734" s="157" t="s">
        <v>1222</v>
      </c>
      <c r="E1734" s="158">
        <f>SUM(E1735,E1738)</f>
        <v>0</v>
      </c>
      <c r="F1734" s="158">
        <f>SUM(F1735,F1738)</f>
        <v>0</v>
      </c>
      <c r="G1734" s="158">
        <f>SUM(G1735,G1738)</f>
        <v>0</v>
      </c>
      <c r="H1734" s="154">
        <f t="shared" si="96"/>
        <v>0</v>
      </c>
      <c r="I1734" s="154">
        <f t="shared" si="97"/>
        <v>0</v>
      </c>
    </row>
    <row r="1735" spans="1:14" hidden="1">
      <c r="A1735" s="151">
        <f t="shared" si="95"/>
        <v>1</v>
      </c>
      <c r="B1735" s="155" t="s">
        <v>204</v>
      </c>
      <c r="C1735" s="156">
        <v>671</v>
      </c>
      <c r="D1735" s="157" t="s">
        <v>1223</v>
      </c>
      <c r="E1735" s="158">
        <f>SUM(E1736:E1737)</f>
        <v>0</v>
      </c>
      <c r="F1735" s="158">
        <f>SUM(F1736:F1737)</f>
        <v>0</v>
      </c>
      <c r="G1735" s="158">
        <f>SUM(G1736:G1737)</f>
        <v>0</v>
      </c>
      <c r="H1735" s="154">
        <f t="shared" si="96"/>
        <v>0</v>
      </c>
      <c r="I1735" s="154">
        <f t="shared" si="97"/>
        <v>0</v>
      </c>
    </row>
    <row r="1736" spans="1:14" hidden="1">
      <c r="A1736" s="151">
        <f t="shared" si="95"/>
        <v>1</v>
      </c>
      <c r="B1736" s="151" t="s">
        <v>206</v>
      </c>
      <c r="C1736" s="159">
        <v>6711</v>
      </c>
      <c r="D1736" s="160" t="s">
        <v>1214</v>
      </c>
      <c r="E1736" s="161">
        <f>SUMIF(Lanç!$C$3:$C$114,C1736,Lanç!$F$3:$F$114)</f>
        <v>0</v>
      </c>
      <c r="F1736" s="161">
        <f>SUMIF(Lanç!$C$115:$C$6504,C1736,Lanç!$F$115:$F$6504)</f>
        <v>0</v>
      </c>
      <c r="G1736" s="161">
        <f>SUMIF(Lanç!$C$115:$C$6504,C1736,Lanç!$G$115:$G$6504)</f>
        <v>0</v>
      </c>
      <c r="H1736" s="162">
        <f t="shared" si="96"/>
        <v>0</v>
      </c>
      <c r="I1736" s="162">
        <f t="shared" si="97"/>
        <v>0</v>
      </c>
    </row>
    <row r="1737" spans="1:14" hidden="1">
      <c r="A1737" s="151">
        <f t="shared" si="95"/>
        <v>1</v>
      </c>
      <c r="B1737" s="151" t="s">
        <v>206</v>
      </c>
      <c r="C1737" s="159">
        <v>6712</v>
      </c>
      <c r="D1737" s="160" t="s">
        <v>428</v>
      </c>
      <c r="E1737" s="161">
        <f>SUMIF(Lanç!$C$3:$C$114,C1737,Lanç!$F$3:$F$114)</f>
        <v>0</v>
      </c>
      <c r="F1737" s="161">
        <f>SUMIF(Lanç!$C$115:$C$6504,C1737,Lanç!$F$115:$F$6504)</f>
        <v>0</v>
      </c>
      <c r="G1737" s="161">
        <f>SUMIF(Lanç!$C$115:$C$6504,C1737,Lanç!$G$115:$G$6504)</f>
        <v>0</v>
      </c>
      <c r="H1737" s="162">
        <f t="shared" si="96"/>
        <v>0</v>
      </c>
      <c r="I1737" s="162">
        <f t="shared" si="97"/>
        <v>0</v>
      </c>
      <c r="J1737" s="1"/>
      <c r="K1737" s="1"/>
      <c r="L1737" s="1"/>
      <c r="M1737" s="1"/>
      <c r="N1737" s="1"/>
    </row>
    <row r="1738" spans="1:14" hidden="1">
      <c r="A1738" s="151">
        <f t="shared" si="95"/>
        <v>1</v>
      </c>
      <c r="B1738" s="155" t="s">
        <v>1166</v>
      </c>
      <c r="C1738" s="156">
        <v>679</v>
      </c>
      <c r="D1738" s="157" t="s">
        <v>1224</v>
      </c>
      <c r="E1738" s="158">
        <f>SUMIF(Lanç!$C$3:$C$114,C1738,Lanç!$F$3:$F$114)</f>
        <v>0</v>
      </c>
      <c r="F1738" s="158">
        <f>G1734</f>
        <v>0</v>
      </c>
      <c r="G1738" s="158">
        <f>SUMIF(Lanç!$C$115:$C$6504,C1738,Lanç!$G$115:$G$6504)</f>
        <v>0</v>
      </c>
      <c r="H1738" s="154">
        <f t="shared" si="96"/>
        <v>0</v>
      </c>
      <c r="I1738" s="154">
        <f t="shared" si="97"/>
        <v>0</v>
      </c>
    </row>
    <row r="1739" spans="1:14">
      <c r="A1739" s="151">
        <f t="shared" si="95"/>
        <v>0</v>
      </c>
      <c r="B1739" s="155" t="s">
        <v>202</v>
      </c>
      <c r="C1739" s="156">
        <v>68</v>
      </c>
      <c r="D1739" s="157" t="s">
        <v>1225</v>
      </c>
      <c r="E1739" s="158">
        <f>SUM(E1740,E1762,E1765,E1768,E1769,E1771,E1776,E1782,E1788)</f>
        <v>0</v>
      </c>
      <c r="F1739" s="158">
        <f>SUM(F1740,F1762,F1765,F1768,F1769,F1771,F1776,F1782,F1788)</f>
        <v>14051754.41</v>
      </c>
      <c r="G1739" s="158">
        <f>SUM(G1740,G1762,G1765,G1768,G1769,G1771,G1776,G1782,G1788)</f>
        <v>14051754.41</v>
      </c>
      <c r="H1739" s="154">
        <f t="shared" si="96"/>
        <v>0</v>
      </c>
      <c r="I1739" s="154">
        <f t="shared" si="97"/>
        <v>0</v>
      </c>
    </row>
    <row r="1740" spans="1:14" hidden="1">
      <c r="A1740" s="151">
        <f t="shared" si="95"/>
        <v>1</v>
      </c>
      <c r="B1740" s="155" t="s">
        <v>204</v>
      </c>
      <c r="C1740" s="156">
        <v>6801</v>
      </c>
      <c r="D1740" s="157" t="s">
        <v>1218</v>
      </c>
      <c r="E1740" s="158">
        <f>SUM(E1741,E1748,E1756)</f>
        <v>0</v>
      </c>
      <c r="F1740" s="158">
        <f>SUM(F1741,F1748,F1756)</f>
        <v>0</v>
      </c>
      <c r="G1740" s="158">
        <f>SUM(G1741,G1748,G1756)</f>
        <v>0</v>
      </c>
      <c r="H1740" s="154">
        <f t="shared" si="96"/>
        <v>0</v>
      </c>
      <c r="I1740" s="154">
        <f t="shared" si="97"/>
        <v>0</v>
      </c>
    </row>
    <row r="1741" spans="1:14" hidden="1">
      <c r="A1741" s="151">
        <f t="shared" si="95"/>
        <v>1</v>
      </c>
      <c r="B1741" s="155" t="s">
        <v>204</v>
      </c>
      <c r="C1741" s="156">
        <v>68011</v>
      </c>
      <c r="D1741" s="157" t="s">
        <v>1226</v>
      </c>
      <c r="E1741" s="158">
        <f>SUM(E1742:E1747)</f>
        <v>0</v>
      </c>
      <c r="F1741" s="158">
        <f>SUM(F1742:F1747)</f>
        <v>0</v>
      </c>
      <c r="G1741" s="158">
        <f>SUM(G1742:G1747)</f>
        <v>0</v>
      </c>
      <c r="H1741" s="154">
        <f t="shared" si="96"/>
        <v>0</v>
      </c>
      <c r="I1741" s="154">
        <f t="shared" si="97"/>
        <v>0</v>
      </c>
    </row>
    <row r="1742" spans="1:14" hidden="1">
      <c r="A1742" s="151">
        <f t="shared" si="95"/>
        <v>1</v>
      </c>
      <c r="B1742" s="151" t="s">
        <v>206</v>
      </c>
      <c r="C1742" s="159">
        <v>680111</v>
      </c>
      <c r="D1742" s="160" t="s">
        <v>1227</v>
      </c>
      <c r="E1742" s="161">
        <f>SUMIF(Lanç!$C$3:$C$114,C1742,Lanç!$F$3:$F$114)</f>
        <v>0</v>
      </c>
      <c r="F1742" s="161">
        <f>SUMIF(Lanç!$C$115:$C$6504,C1742,Lanç!$F$115:$F$6504)</f>
        <v>0</v>
      </c>
      <c r="G1742" s="161">
        <f>SUMIF(Lanç!$C$115:$C$6504,C1742,Lanç!$G$115:$G$6504)</f>
        <v>0</v>
      </c>
      <c r="H1742" s="162">
        <f t="shared" si="96"/>
        <v>0</v>
      </c>
      <c r="I1742" s="162">
        <f t="shared" si="97"/>
        <v>0</v>
      </c>
    </row>
    <row r="1743" spans="1:14" hidden="1">
      <c r="A1743" s="151">
        <f t="shared" si="95"/>
        <v>1</v>
      </c>
      <c r="B1743" s="151" t="s">
        <v>206</v>
      </c>
      <c r="C1743" s="159">
        <v>680112</v>
      </c>
      <c r="D1743" s="160" t="s">
        <v>417</v>
      </c>
      <c r="E1743" s="161">
        <f>SUMIF(Lanç!$C$3:$C$114,C1743,Lanç!$F$3:$F$114)</f>
        <v>0</v>
      </c>
      <c r="F1743" s="161">
        <f>SUMIF(Lanç!$C$115:$C$6504,C1743,Lanç!$F$115:$F$6504)</f>
        <v>0</v>
      </c>
      <c r="G1743" s="161">
        <f>SUMIF(Lanç!$C$115:$C$6504,C1743,Lanç!$G$115:$G$6504)</f>
        <v>0</v>
      </c>
      <c r="H1743" s="162">
        <f t="shared" si="96"/>
        <v>0</v>
      </c>
      <c r="I1743" s="162">
        <f t="shared" si="97"/>
        <v>0</v>
      </c>
    </row>
    <row r="1744" spans="1:14" hidden="1">
      <c r="A1744" s="151">
        <f t="shared" si="95"/>
        <v>1</v>
      </c>
      <c r="B1744" s="151" t="s">
        <v>206</v>
      </c>
      <c r="C1744" s="159">
        <v>680113</v>
      </c>
      <c r="D1744" s="160" t="s">
        <v>1228</v>
      </c>
      <c r="E1744" s="161">
        <f>SUMIF(Lanç!$C$3:$C$114,C1744,Lanç!$F$3:$F$114)</f>
        <v>0</v>
      </c>
      <c r="F1744" s="161">
        <f>SUMIF(Lanç!$C$115:$C$6504,C1744,Lanç!$F$115:$F$6504)</f>
        <v>0</v>
      </c>
      <c r="G1744" s="161">
        <f>SUMIF(Lanç!$C$115:$C$6504,C1744,Lanç!$G$115:$G$6504)</f>
        <v>0</v>
      </c>
      <c r="H1744" s="162">
        <f t="shared" si="96"/>
        <v>0</v>
      </c>
      <c r="I1744" s="162">
        <f t="shared" si="97"/>
        <v>0</v>
      </c>
    </row>
    <row r="1745" spans="1:14" hidden="1">
      <c r="A1745" s="151">
        <f t="shared" si="95"/>
        <v>1</v>
      </c>
      <c r="B1745" s="151" t="s">
        <v>206</v>
      </c>
      <c r="C1745" s="159">
        <v>680114</v>
      </c>
      <c r="D1745" s="160" t="s">
        <v>1229</v>
      </c>
      <c r="E1745" s="161">
        <f>SUMIF(Lanç!$C$3:$C$114,C1745,Lanç!$F$3:$F$114)</f>
        <v>0</v>
      </c>
      <c r="F1745" s="161">
        <f>SUMIF(Lanç!$C$115:$C$6504,C1745,Lanç!$F$115:$F$6504)</f>
        <v>0</v>
      </c>
      <c r="G1745" s="161">
        <f>SUMIF(Lanç!$C$115:$C$6504,C1745,Lanç!$G$115:$G$6504)</f>
        <v>0</v>
      </c>
      <c r="H1745" s="162">
        <f t="shared" si="96"/>
        <v>0</v>
      </c>
      <c r="I1745" s="162">
        <f t="shared" si="97"/>
        <v>0</v>
      </c>
    </row>
    <row r="1746" spans="1:14" hidden="1">
      <c r="A1746" s="151">
        <f t="shared" si="95"/>
        <v>1</v>
      </c>
      <c r="B1746" s="151" t="s">
        <v>206</v>
      </c>
      <c r="C1746" s="159">
        <v>680115</v>
      </c>
      <c r="D1746" s="160" t="s">
        <v>349</v>
      </c>
      <c r="E1746" s="161">
        <f>SUMIF(Lanç!$C$3:$C$114,C1746,Lanç!$F$3:$F$114)</f>
        <v>0</v>
      </c>
      <c r="F1746" s="161">
        <f>SUMIF(Lanç!$C$115:$C$6504,C1746,Lanç!$F$115:$F$6504)</f>
        <v>0</v>
      </c>
      <c r="G1746" s="161">
        <f>SUMIF(Lanç!$C$115:$C$6504,C1746,Lanç!$G$115:$G$6504)</f>
        <v>0</v>
      </c>
      <c r="H1746" s="162">
        <f t="shared" si="96"/>
        <v>0</v>
      </c>
      <c r="I1746" s="162">
        <f t="shared" si="97"/>
        <v>0</v>
      </c>
      <c r="J1746" s="1"/>
      <c r="K1746" s="1"/>
      <c r="L1746" s="1"/>
      <c r="M1746" s="1"/>
      <c r="N1746" s="1"/>
    </row>
    <row r="1747" spans="1:14" hidden="1">
      <c r="A1747" s="151">
        <f t="shared" si="95"/>
        <v>1</v>
      </c>
      <c r="B1747" s="151" t="s">
        <v>206</v>
      </c>
      <c r="C1747" s="159">
        <v>680116</v>
      </c>
      <c r="D1747" s="160" t="s">
        <v>245</v>
      </c>
      <c r="E1747" s="161">
        <f>SUMIF(Lanç!$C$3:$C$114,C1747,Lanç!$F$3:$F$114)</f>
        <v>0</v>
      </c>
      <c r="F1747" s="161">
        <f>SUMIF(Lanç!$C$115:$C$6504,C1747,Lanç!$F$115:$F$6504)</f>
        <v>0</v>
      </c>
      <c r="G1747" s="161">
        <f>SUMIF(Lanç!$C$115:$C$6504,C1747,Lanç!$G$115:$G$6504)</f>
        <v>0</v>
      </c>
      <c r="H1747" s="162">
        <f t="shared" si="96"/>
        <v>0</v>
      </c>
      <c r="I1747" s="162">
        <f t="shared" si="97"/>
        <v>0</v>
      </c>
      <c r="J1747" s="1"/>
      <c r="K1747" s="1"/>
      <c r="L1747" s="1"/>
      <c r="M1747" s="1"/>
      <c r="N1747" s="1"/>
    </row>
    <row r="1748" spans="1:14" hidden="1">
      <c r="A1748" s="151">
        <f t="shared" si="95"/>
        <v>1</v>
      </c>
      <c r="B1748" s="155" t="s">
        <v>204</v>
      </c>
      <c r="C1748" s="156">
        <v>68012</v>
      </c>
      <c r="D1748" s="157" t="s">
        <v>1230</v>
      </c>
      <c r="E1748" s="158">
        <f>SUM(E1749:E1755)</f>
        <v>0</v>
      </c>
      <c r="F1748" s="158">
        <f>SUM(F1749:F1755)</f>
        <v>0</v>
      </c>
      <c r="G1748" s="158">
        <f>SUM(G1749:G1755)</f>
        <v>0</v>
      </c>
      <c r="H1748" s="154">
        <f t="shared" si="96"/>
        <v>0</v>
      </c>
      <c r="I1748" s="154">
        <f t="shared" si="97"/>
        <v>0</v>
      </c>
    </row>
    <row r="1749" spans="1:14" hidden="1">
      <c r="A1749" s="151">
        <f t="shared" si="95"/>
        <v>1</v>
      </c>
      <c r="B1749" s="151" t="s">
        <v>206</v>
      </c>
      <c r="C1749" s="159">
        <v>680121</v>
      </c>
      <c r="D1749" s="160" t="s">
        <v>1231</v>
      </c>
      <c r="E1749" s="161">
        <f>SUMIF(Lanç!$C$3:$C$114,C1749,Lanç!$F$3:$F$114)</f>
        <v>0</v>
      </c>
      <c r="F1749" s="161">
        <f>SUMIF(Lanç!$C$115:$C$6504,C1749,Lanç!$F$115:$F$6504)</f>
        <v>0</v>
      </c>
      <c r="G1749" s="161">
        <f>SUMIF(Lanç!$C$115:$C$6504,C1749,Lanç!$G$115:$G$6504)</f>
        <v>0</v>
      </c>
      <c r="H1749" s="162">
        <f t="shared" si="96"/>
        <v>0</v>
      </c>
      <c r="I1749" s="162">
        <f t="shared" si="97"/>
        <v>0</v>
      </c>
    </row>
    <row r="1750" spans="1:14" hidden="1">
      <c r="A1750" s="151">
        <f t="shared" si="95"/>
        <v>1</v>
      </c>
      <c r="B1750" s="151" t="s">
        <v>206</v>
      </c>
      <c r="C1750" s="159">
        <v>680122</v>
      </c>
      <c r="D1750" s="160" t="s">
        <v>1051</v>
      </c>
      <c r="E1750" s="161">
        <f>SUMIF(Lanç!$C$3:$C$114,C1750,Lanç!$F$3:$F$114)</f>
        <v>0</v>
      </c>
      <c r="F1750" s="161">
        <f>SUMIF(Lanç!$C$115:$C$6504,C1750,Lanç!$F$115:$F$6504)</f>
        <v>0</v>
      </c>
      <c r="G1750" s="161">
        <f>SUMIF(Lanç!$C$115:$C$6504,C1750,Lanç!$G$115:$G$6504)</f>
        <v>0</v>
      </c>
      <c r="H1750" s="162">
        <f t="shared" si="96"/>
        <v>0</v>
      </c>
      <c r="I1750" s="162">
        <f t="shared" si="97"/>
        <v>0</v>
      </c>
    </row>
    <row r="1751" spans="1:14" hidden="1">
      <c r="A1751" s="151">
        <f t="shared" si="95"/>
        <v>1</v>
      </c>
      <c r="B1751" s="151" t="s">
        <v>206</v>
      </c>
      <c r="C1751" s="159">
        <v>680123</v>
      </c>
      <c r="D1751" s="160" t="s">
        <v>1232</v>
      </c>
      <c r="E1751" s="161">
        <f>SUMIF(Lanç!$C$3:$C$114,C1751,Lanç!$F$3:$F$114)</f>
        <v>0</v>
      </c>
      <c r="F1751" s="161">
        <f>SUMIF(Lanç!$C$115:$C$6504,C1751,Lanç!$F$115:$F$6504)</f>
        <v>0</v>
      </c>
      <c r="G1751" s="161">
        <f>SUMIF(Lanç!$C$115:$C$6504,C1751,Lanç!$G$115:$G$6504)</f>
        <v>0</v>
      </c>
      <c r="H1751" s="162">
        <f t="shared" si="96"/>
        <v>0</v>
      </c>
      <c r="I1751" s="162">
        <f t="shared" si="97"/>
        <v>0</v>
      </c>
    </row>
    <row r="1752" spans="1:14" hidden="1">
      <c r="A1752" s="151">
        <f t="shared" si="95"/>
        <v>1</v>
      </c>
      <c r="B1752" s="151" t="s">
        <v>206</v>
      </c>
      <c r="C1752" s="159">
        <v>680124</v>
      </c>
      <c r="D1752" s="160" t="s">
        <v>1233</v>
      </c>
      <c r="E1752" s="161">
        <f>SUMIF(Lanç!$C$3:$C$114,C1752,Lanç!$F$3:$F$114)</f>
        <v>0</v>
      </c>
      <c r="F1752" s="161">
        <f>SUMIF(Lanç!$C$115:$C$6504,C1752,Lanç!$F$115:$F$6504)</f>
        <v>0</v>
      </c>
      <c r="G1752" s="161">
        <f>SUMIF(Lanç!$C$115:$C$6504,C1752,Lanç!$G$115:$G$6504)</f>
        <v>0</v>
      </c>
      <c r="H1752" s="162">
        <f t="shared" si="96"/>
        <v>0</v>
      </c>
      <c r="I1752" s="162">
        <f t="shared" si="97"/>
        <v>0</v>
      </c>
    </row>
    <row r="1753" spans="1:14" hidden="1">
      <c r="A1753" s="151">
        <f t="shared" si="95"/>
        <v>1</v>
      </c>
      <c r="B1753" s="151" t="s">
        <v>206</v>
      </c>
      <c r="C1753" s="159">
        <v>680125</v>
      </c>
      <c r="D1753" s="160" t="s">
        <v>1234</v>
      </c>
      <c r="E1753" s="161">
        <f>SUMIF(Lanç!$C$3:$C$114,C1753,Lanç!$F$3:$F$114)</f>
        <v>0</v>
      </c>
      <c r="F1753" s="161">
        <f>SUMIF(Lanç!$C$115:$C$6504,C1753,Lanç!$F$115:$F$6504)</f>
        <v>0</v>
      </c>
      <c r="G1753" s="161">
        <f>SUMIF(Lanç!$C$115:$C$6504,C1753,Lanç!$G$115:$G$6504)</f>
        <v>0</v>
      </c>
      <c r="H1753" s="162">
        <f t="shared" si="96"/>
        <v>0</v>
      </c>
      <c r="I1753" s="162">
        <f t="shared" si="97"/>
        <v>0</v>
      </c>
    </row>
    <row r="1754" spans="1:14" hidden="1">
      <c r="A1754" s="151">
        <f t="shared" si="95"/>
        <v>1</v>
      </c>
      <c r="B1754" s="151" t="s">
        <v>206</v>
      </c>
      <c r="C1754" s="159">
        <v>680126</v>
      </c>
      <c r="D1754" s="160" t="s">
        <v>1235</v>
      </c>
      <c r="E1754" s="161">
        <f>SUMIF(Lanç!$C$3:$C$114,C1754,Lanç!$F$3:$F$114)</f>
        <v>0</v>
      </c>
      <c r="F1754" s="161">
        <f>SUMIF(Lanç!$C$115:$C$6504,C1754,Lanç!$F$115:$F$6504)</f>
        <v>0</v>
      </c>
      <c r="G1754" s="161">
        <f>SUMIF(Lanç!$C$115:$C$6504,C1754,Lanç!$G$115:$G$6504)</f>
        <v>0</v>
      </c>
      <c r="H1754" s="162">
        <f t="shared" si="96"/>
        <v>0</v>
      </c>
      <c r="I1754" s="162">
        <f t="shared" si="97"/>
        <v>0</v>
      </c>
    </row>
    <row r="1755" spans="1:14" hidden="1">
      <c r="A1755" s="151">
        <f t="shared" si="95"/>
        <v>1</v>
      </c>
      <c r="B1755" s="151" t="s">
        <v>206</v>
      </c>
      <c r="C1755" s="159">
        <v>680129</v>
      </c>
      <c r="D1755" s="160" t="s">
        <v>1236</v>
      </c>
      <c r="E1755" s="161">
        <f>SUMIF(Lanç!$C$3:$C$114,C1755,Lanç!$F$3:$F$114)</f>
        <v>0</v>
      </c>
      <c r="F1755" s="161">
        <f>SUMIF(Lanç!$C$115:$C$6504,C1755,Lanç!$F$115:$F$6504)</f>
        <v>0</v>
      </c>
      <c r="G1755" s="161">
        <f>SUMIF(Lanç!$C$115:$C$6504,C1755,Lanç!$G$115:$G$6504)</f>
        <v>0</v>
      </c>
      <c r="H1755" s="162">
        <f t="shared" si="96"/>
        <v>0</v>
      </c>
      <c r="I1755" s="162">
        <f t="shared" si="97"/>
        <v>0</v>
      </c>
      <c r="J1755" s="1"/>
      <c r="K1755" s="1"/>
      <c r="L1755" s="1"/>
      <c r="M1755" s="1"/>
      <c r="N1755" s="1"/>
    </row>
    <row r="1756" spans="1:14" hidden="1">
      <c r="A1756" s="151">
        <f t="shared" si="95"/>
        <v>1</v>
      </c>
      <c r="B1756" s="155" t="s">
        <v>204</v>
      </c>
      <c r="C1756" s="156">
        <v>68013</v>
      </c>
      <c r="D1756" s="157" t="s">
        <v>1237</v>
      </c>
      <c r="E1756" s="158">
        <f>SUM(E1757:E1761)</f>
        <v>0</v>
      </c>
      <c r="F1756" s="158">
        <f>SUM(F1757:F1761)</f>
        <v>0</v>
      </c>
      <c r="G1756" s="158">
        <f>SUM(G1757:G1761)</f>
        <v>0</v>
      </c>
      <c r="H1756" s="154">
        <f t="shared" si="96"/>
        <v>0</v>
      </c>
      <c r="I1756" s="154">
        <f t="shared" si="97"/>
        <v>0</v>
      </c>
    </row>
    <row r="1757" spans="1:14" hidden="1">
      <c r="A1757" s="151">
        <f t="shared" si="95"/>
        <v>1</v>
      </c>
      <c r="B1757" s="151" t="s">
        <v>206</v>
      </c>
      <c r="C1757" s="159">
        <v>680131</v>
      </c>
      <c r="D1757" s="160" t="s">
        <v>1238</v>
      </c>
      <c r="E1757" s="161">
        <f>SUMIF(Lanç!$C$3:$C$114,C1757,Lanç!$F$3:$F$114)</f>
        <v>0</v>
      </c>
      <c r="F1757" s="161">
        <f>SUMIF(Lanç!$C$115:$C$6504,C1757,Lanç!$F$115:$F$6504)</f>
        <v>0</v>
      </c>
      <c r="G1757" s="161">
        <f>SUMIF(Lanç!$C$115:$C$6504,C1757,Lanç!$G$115:$G$6504)</f>
        <v>0</v>
      </c>
      <c r="H1757" s="162">
        <f t="shared" si="96"/>
        <v>0</v>
      </c>
      <c r="I1757" s="162">
        <f t="shared" si="97"/>
        <v>0</v>
      </c>
    </row>
    <row r="1758" spans="1:14" hidden="1">
      <c r="A1758" s="151">
        <f t="shared" si="95"/>
        <v>1</v>
      </c>
      <c r="B1758" s="151" t="s">
        <v>206</v>
      </c>
      <c r="C1758" s="159">
        <v>680132</v>
      </c>
      <c r="D1758" s="160" t="s">
        <v>1239</v>
      </c>
      <c r="E1758" s="161">
        <f>SUMIF(Lanç!$C$3:$C$114,C1758,Lanç!$F$3:$F$114)</f>
        <v>0</v>
      </c>
      <c r="F1758" s="161">
        <f>SUMIF(Lanç!$C$115:$C$6504,C1758,Lanç!$F$115:$F$6504)</f>
        <v>0</v>
      </c>
      <c r="G1758" s="161">
        <f>SUMIF(Lanç!$C$115:$C$6504,C1758,Lanç!$G$115:$G$6504)</f>
        <v>0</v>
      </c>
      <c r="H1758" s="162">
        <f t="shared" si="96"/>
        <v>0</v>
      </c>
      <c r="I1758" s="162">
        <f t="shared" si="97"/>
        <v>0</v>
      </c>
    </row>
    <row r="1759" spans="1:14" hidden="1">
      <c r="A1759" s="151">
        <f t="shared" si="95"/>
        <v>1</v>
      </c>
      <c r="B1759" s="151" t="s">
        <v>206</v>
      </c>
      <c r="C1759" s="159">
        <v>680133</v>
      </c>
      <c r="D1759" s="160" t="s">
        <v>1240</v>
      </c>
      <c r="E1759" s="161">
        <f>SUMIF(Lanç!$C$3:$C$114,C1759,Lanç!$F$3:$F$114)</f>
        <v>0</v>
      </c>
      <c r="F1759" s="161">
        <f>SUMIF(Lanç!$C$115:$C$6504,C1759,Lanç!$F$115:$F$6504)</f>
        <v>0</v>
      </c>
      <c r="G1759" s="161">
        <f>SUMIF(Lanç!$C$115:$C$6504,C1759,Lanç!$G$115:$G$6504)</f>
        <v>0</v>
      </c>
      <c r="H1759" s="162">
        <f t="shared" si="96"/>
        <v>0</v>
      </c>
      <c r="I1759" s="162">
        <f t="shared" si="97"/>
        <v>0</v>
      </c>
    </row>
    <row r="1760" spans="1:14" hidden="1">
      <c r="A1760" s="151">
        <f t="shared" si="95"/>
        <v>1</v>
      </c>
      <c r="B1760" s="151" t="s">
        <v>206</v>
      </c>
      <c r="C1760" s="159">
        <v>680134</v>
      </c>
      <c r="D1760" s="160" t="s">
        <v>1241</v>
      </c>
      <c r="E1760" s="161">
        <f>SUMIF(Lanç!$C$3:$C$114,C1760,Lanç!$F$3:$F$114)</f>
        <v>0</v>
      </c>
      <c r="F1760" s="161">
        <f>SUMIF(Lanç!$C$115:$C$6504,C1760,Lanç!$F$115:$F$6504)</f>
        <v>0</v>
      </c>
      <c r="G1760" s="161">
        <f>SUMIF(Lanç!$C$115:$C$6504,C1760,Lanç!$G$115:$G$6504)</f>
        <v>0</v>
      </c>
      <c r="H1760" s="162">
        <f t="shared" si="96"/>
        <v>0</v>
      </c>
      <c r="I1760" s="162">
        <f t="shared" si="97"/>
        <v>0</v>
      </c>
    </row>
    <row r="1761" spans="1:14" hidden="1">
      <c r="A1761" s="151">
        <f t="shared" si="95"/>
        <v>1</v>
      </c>
      <c r="B1761" s="151" t="s">
        <v>206</v>
      </c>
      <c r="C1761" s="159">
        <v>680139</v>
      </c>
      <c r="D1761" s="160" t="s">
        <v>1242</v>
      </c>
      <c r="E1761" s="161">
        <f>SUMIF(Lanç!$C$3:$C$114,C1761,Lanç!$F$3:$F$114)</f>
        <v>0</v>
      </c>
      <c r="F1761" s="161">
        <f>SUMIF(Lanç!$C$115:$C$6504,C1761,Lanç!$F$115:$F$6504)</f>
        <v>0</v>
      </c>
      <c r="G1761" s="161">
        <f>SUMIF(Lanç!$C$115:$C$6504,C1761,Lanç!$G$115:$G$6504)</f>
        <v>0</v>
      </c>
      <c r="H1761" s="162">
        <f t="shared" si="96"/>
        <v>0</v>
      </c>
      <c r="I1761" s="162">
        <f t="shared" si="97"/>
        <v>0</v>
      </c>
      <c r="J1761" s="1"/>
      <c r="K1761" s="1"/>
      <c r="L1761" s="1"/>
      <c r="M1761" s="1"/>
      <c r="N1761" s="1"/>
    </row>
    <row r="1762" spans="1:14" hidden="1">
      <c r="A1762" s="151">
        <f t="shared" ref="A1762:A1825" si="98">IF(E1762+F1762+G1762+H1762+I1762=0,1,0)</f>
        <v>1</v>
      </c>
      <c r="B1762" s="155" t="s">
        <v>204</v>
      </c>
      <c r="C1762" s="156">
        <v>6802</v>
      </c>
      <c r="D1762" s="157" t="s">
        <v>1243</v>
      </c>
      <c r="E1762" s="158">
        <f>SUM(E1763:E1764)</f>
        <v>0</v>
      </c>
      <c r="F1762" s="158">
        <f>SUM(F1763:F1764)</f>
        <v>0</v>
      </c>
      <c r="G1762" s="158">
        <f>SUM(G1763:G1764)</f>
        <v>0</v>
      </c>
      <c r="H1762" s="154">
        <f t="shared" ref="H1762:H1825" si="99">(F1762)-(G1762)</f>
        <v>0</v>
      </c>
      <c r="I1762" s="154">
        <f t="shared" ref="I1762:I1825" si="100">(E1762)+(H1762)</f>
        <v>0</v>
      </c>
    </row>
    <row r="1763" spans="1:14" hidden="1">
      <c r="A1763" s="151">
        <f t="shared" si="98"/>
        <v>1</v>
      </c>
      <c r="B1763" s="151" t="s">
        <v>206</v>
      </c>
      <c r="C1763" s="159">
        <v>68021</v>
      </c>
      <c r="D1763" s="160" t="s">
        <v>1244</v>
      </c>
      <c r="E1763" s="161">
        <f>SUMIF(Lanç!$C$3:$C$114,C1763,Lanç!$F$3:$F$114)</f>
        <v>0</v>
      </c>
      <c r="F1763" s="161">
        <f>SUMIF(Lanç!$C$115:$C$6504,C1763,Lanç!$F$115:$F$6504)</f>
        <v>0</v>
      </c>
      <c r="G1763" s="161">
        <f>SUMIF(Lanç!$C$115:$C$6504,C1763,Lanç!$G$115:$G$6504)</f>
        <v>0</v>
      </c>
      <c r="H1763" s="162">
        <f t="shared" si="99"/>
        <v>0</v>
      </c>
      <c r="I1763" s="162">
        <f t="shared" si="100"/>
        <v>0</v>
      </c>
    </row>
    <row r="1764" spans="1:14" hidden="1">
      <c r="A1764" s="151">
        <f t="shared" si="98"/>
        <v>1</v>
      </c>
      <c r="B1764" s="151" t="s">
        <v>206</v>
      </c>
      <c r="C1764" s="159">
        <v>68022</v>
      </c>
      <c r="D1764" s="160" t="s">
        <v>1245</v>
      </c>
      <c r="E1764" s="161">
        <f>SUMIF(Lanç!$C$3:$C$114,C1764,Lanç!$F$3:$F$114)</f>
        <v>0</v>
      </c>
      <c r="F1764" s="161">
        <f>SUMIF(Lanç!$C$115:$C$6504,C1764,Lanç!$F$115:$F$6504)</f>
        <v>0</v>
      </c>
      <c r="G1764" s="161">
        <f>SUMIF(Lanç!$C$115:$C$6504,C1764,Lanç!$G$115:$G$6504)</f>
        <v>0</v>
      </c>
      <c r="H1764" s="162">
        <f t="shared" si="99"/>
        <v>0</v>
      </c>
      <c r="I1764" s="162">
        <f t="shared" si="100"/>
        <v>0</v>
      </c>
      <c r="J1764" s="1"/>
      <c r="K1764" s="1"/>
      <c r="L1764" s="1"/>
      <c r="M1764" s="1"/>
      <c r="N1764" s="1"/>
    </row>
    <row r="1765" spans="1:14" hidden="1">
      <c r="A1765" s="151">
        <f t="shared" si="98"/>
        <v>1</v>
      </c>
      <c r="B1765" s="155" t="s">
        <v>204</v>
      </c>
      <c r="C1765" s="156">
        <v>6803</v>
      </c>
      <c r="D1765" s="157" t="s">
        <v>1246</v>
      </c>
      <c r="E1765" s="158">
        <f>SUM(E1766:E1768)</f>
        <v>0</v>
      </c>
      <c r="F1765" s="158">
        <f>SUM(F1766:F1768)</f>
        <v>0</v>
      </c>
      <c r="G1765" s="158">
        <f>SUM(G1766:G1768)</f>
        <v>0</v>
      </c>
      <c r="H1765" s="154">
        <f t="shared" si="99"/>
        <v>0</v>
      </c>
      <c r="I1765" s="154">
        <f t="shared" si="100"/>
        <v>0</v>
      </c>
    </row>
    <row r="1766" spans="1:14" hidden="1">
      <c r="A1766" s="151">
        <f t="shared" si="98"/>
        <v>1</v>
      </c>
      <c r="B1766" s="151" t="s">
        <v>206</v>
      </c>
      <c r="C1766" s="159">
        <v>68031</v>
      </c>
      <c r="D1766" s="160" t="s">
        <v>1247</v>
      </c>
      <c r="E1766" s="161">
        <f>SUMIF(Lanç!$C$3:$C$114,C1766,Lanç!$F$3:$F$114)</f>
        <v>0</v>
      </c>
      <c r="F1766" s="161">
        <f>SUMIF(Lanç!$C$115:$C$6504,C1766,Lanç!$F$115:$F$6504)</f>
        <v>0</v>
      </c>
      <c r="G1766" s="161">
        <f>SUMIF(Lanç!$C$115:$C$6504,C1766,Lanç!$G$115:$G$6504)</f>
        <v>0</v>
      </c>
      <c r="H1766" s="162">
        <f t="shared" si="99"/>
        <v>0</v>
      </c>
      <c r="I1766" s="162">
        <f t="shared" si="100"/>
        <v>0</v>
      </c>
    </row>
    <row r="1767" spans="1:14" hidden="1">
      <c r="A1767" s="151">
        <f t="shared" si="98"/>
        <v>1</v>
      </c>
      <c r="B1767" s="151" t="s">
        <v>206</v>
      </c>
      <c r="C1767" s="159">
        <v>68032</v>
      </c>
      <c r="D1767" s="160" t="s">
        <v>1248</v>
      </c>
      <c r="E1767" s="161">
        <f>SUMIF(Lanç!$C$3:$C$114,C1767,Lanç!$F$3:$F$114)</f>
        <v>0</v>
      </c>
      <c r="F1767" s="161">
        <f>SUMIF(Lanç!$C$115:$C$6504,C1767,Lanç!$F$115:$F$6504)</f>
        <v>0</v>
      </c>
      <c r="G1767" s="161">
        <f>SUMIF(Lanç!$C$115:$C$6504,C1767,Lanç!$G$115:$G$6504)</f>
        <v>0</v>
      </c>
      <c r="H1767" s="162">
        <f t="shared" si="99"/>
        <v>0</v>
      </c>
      <c r="I1767" s="162">
        <f t="shared" si="100"/>
        <v>0</v>
      </c>
    </row>
    <row r="1768" spans="1:14" hidden="1">
      <c r="A1768" s="151">
        <f t="shared" si="98"/>
        <v>1</v>
      </c>
      <c r="B1768" s="151" t="s">
        <v>206</v>
      </c>
      <c r="C1768" s="159">
        <v>6804</v>
      </c>
      <c r="D1768" s="160" t="s">
        <v>1249</v>
      </c>
      <c r="E1768" s="161">
        <f>SUMIF(Lanç!$C$3:$C$114,C1768,Lanç!$F$3:$F$114)</f>
        <v>0</v>
      </c>
      <c r="F1768" s="161">
        <f>SUMIF(Lanç!$C$115:$C$6504,C1768,Lanç!$F$115:$F$6504)</f>
        <v>0</v>
      </c>
      <c r="G1768" s="161">
        <f>SUMIF(Lanç!$C$115:$C$6504,C1768,Lanç!$G$115:$G$6504)</f>
        <v>0</v>
      </c>
      <c r="H1768" s="162">
        <f t="shared" si="99"/>
        <v>0</v>
      </c>
      <c r="I1768" s="162">
        <f t="shared" si="100"/>
        <v>0</v>
      </c>
    </row>
    <row r="1769" spans="1:14" hidden="1">
      <c r="A1769" s="151">
        <f t="shared" si="98"/>
        <v>1</v>
      </c>
      <c r="B1769" s="155" t="s">
        <v>204</v>
      </c>
      <c r="C1769" s="156">
        <v>6805</v>
      </c>
      <c r="D1769" s="157" t="s">
        <v>1250</v>
      </c>
      <c r="E1769" s="158">
        <f>SUM(E1770)</f>
        <v>0</v>
      </c>
      <c r="F1769" s="158">
        <f>SUM(F1770)</f>
        <v>0</v>
      </c>
      <c r="G1769" s="158">
        <f>SUM(G1770)</f>
        <v>0</v>
      </c>
      <c r="H1769" s="154">
        <f t="shared" si="99"/>
        <v>0</v>
      </c>
      <c r="I1769" s="154">
        <f t="shared" si="100"/>
        <v>0</v>
      </c>
    </row>
    <row r="1770" spans="1:14" hidden="1">
      <c r="A1770" s="151">
        <f t="shared" si="98"/>
        <v>1</v>
      </c>
      <c r="B1770" s="151" t="s">
        <v>206</v>
      </c>
      <c r="C1770" s="159">
        <v>68051</v>
      </c>
      <c r="D1770" s="160" t="s">
        <v>269</v>
      </c>
      <c r="E1770" s="161">
        <f>SUMIF(Lanç!$C$3:$C$114,C1770,Lanç!$F$3:$F$114)</f>
        <v>0</v>
      </c>
      <c r="F1770" s="161">
        <f>SUMIF(Lanç!$C$115:$C$6504,C1770,Lanç!$F$115:$F$6504)</f>
        <v>0</v>
      </c>
      <c r="G1770" s="161">
        <f>SUMIF(Lanç!$C$115:$C$6504,C1770,Lanç!$G$115:$G$6504)</f>
        <v>0</v>
      </c>
      <c r="H1770" s="162">
        <f t="shared" si="99"/>
        <v>0</v>
      </c>
      <c r="I1770" s="162">
        <f t="shared" si="100"/>
        <v>0</v>
      </c>
      <c r="J1770" s="1"/>
      <c r="K1770" s="1"/>
      <c r="L1770" s="1"/>
      <c r="M1770" s="1"/>
      <c r="N1770" s="1"/>
    </row>
    <row r="1771" spans="1:14" hidden="1">
      <c r="A1771" s="151">
        <f t="shared" si="98"/>
        <v>1</v>
      </c>
      <c r="B1771" s="155" t="s">
        <v>204</v>
      </c>
      <c r="C1771" s="156">
        <v>6806</v>
      </c>
      <c r="D1771" s="157" t="s">
        <v>1251</v>
      </c>
      <c r="E1771" s="158">
        <f>SUM(E1772:E1775)</f>
        <v>0</v>
      </c>
      <c r="F1771" s="158">
        <f>SUM(F1772:F1775)</f>
        <v>0</v>
      </c>
      <c r="G1771" s="158">
        <f>SUM(G1772:G1775)</f>
        <v>0</v>
      </c>
      <c r="H1771" s="154">
        <f t="shared" si="99"/>
        <v>0</v>
      </c>
      <c r="I1771" s="154">
        <f t="shared" si="100"/>
        <v>0</v>
      </c>
    </row>
    <row r="1772" spans="1:14" hidden="1">
      <c r="A1772" s="151">
        <f t="shared" si="98"/>
        <v>1</v>
      </c>
      <c r="B1772" s="151" t="s">
        <v>206</v>
      </c>
      <c r="C1772" s="159">
        <v>68061</v>
      </c>
      <c r="D1772" s="160" t="s">
        <v>269</v>
      </c>
      <c r="E1772" s="161">
        <f>SUMIF(Lanç!$C$3:$C$114,C1772,Lanç!$F$3:$F$114)</f>
        <v>0</v>
      </c>
      <c r="F1772" s="161">
        <f>SUMIF(Lanç!$C$115:$C$6504,C1772,Lanç!$F$115:$F$6504)</f>
        <v>0</v>
      </c>
      <c r="G1772" s="161">
        <f>SUMIF(Lanç!$C$115:$C$6504,C1772,Lanç!$G$115:$G$6504)</f>
        <v>0</v>
      </c>
      <c r="H1772" s="162">
        <f t="shared" si="99"/>
        <v>0</v>
      </c>
      <c r="I1772" s="162">
        <f t="shared" si="100"/>
        <v>0</v>
      </c>
    </row>
    <row r="1773" spans="1:14" hidden="1">
      <c r="A1773" s="151">
        <f t="shared" si="98"/>
        <v>1</v>
      </c>
      <c r="B1773" s="151" t="s">
        <v>206</v>
      </c>
      <c r="C1773" s="159">
        <v>6807</v>
      </c>
      <c r="D1773" s="160" t="s">
        <v>269</v>
      </c>
      <c r="E1773" s="161">
        <f>SUMIF(Lanç!$C$3:$C$114,C1773,Lanç!$F$3:$F$114)</f>
        <v>0</v>
      </c>
      <c r="F1773" s="161">
        <f>SUMIF(Lanç!$C$115:$C$6504,C1773,Lanç!$F$115:$F$6504)</f>
        <v>0</v>
      </c>
      <c r="G1773" s="161">
        <f>SUMIF(Lanç!$C$115:$C$6504,C1773,Lanç!$G$115:$G$6504)</f>
        <v>0</v>
      </c>
      <c r="H1773" s="162">
        <f t="shared" si="99"/>
        <v>0</v>
      </c>
      <c r="I1773" s="162">
        <f t="shared" si="100"/>
        <v>0</v>
      </c>
    </row>
    <row r="1774" spans="1:14" hidden="1">
      <c r="A1774" s="151">
        <f t="shared" si="98"/>
        <v>1</v>
      </c>
      <c r="B1774" s="151" t="s">
        <v>206</v>
      </c>
      <c r="C1774" s="159">
        <v>6808</v>
      </c>
      <c r="D1774" s="160" t="s">
        <v>1252</v>
      </c>
      <c r="E1774" s="161">
        <f>SUMIF(Lanç!$C$3:$C$114,C1774,Lanç!$F$3:$F$114)</f>
        <v>0</v>
      </c>
      <c r="F1774" s="161">
        <f>SUMIF(Lanç!$C$115:$C$6504,C1774,Lanç!$F$115:$F$6504)</f>
        <v>0</v>
      </c>
      <c r="G1774" s="161">
        <f>SUMIF(Lanç!$C$115:$C$6504,C1774,Lanç!$G$115:$G$6504)</f>
        <v>0</v>
      </c>
      <c r="H1774" s="162">
        <f t="shared" si="99"/>
        <v>0</v>
      </c>
      <c r="I1774" s="162">
        <f t="shared" si="100"/>
        <v>0</v>
      </c>
    </row>
    <row r="1775" spans="1:14" hidden="1">
      <c r="A1775" s="151">
        <f t="shared" si="98"/>
        <v>1</v>
      </c>
      <c r="B1775" s="151" t="s">
        <v>206</v>
      </c>
      <c r="C1775" s="159">
        <v>6809</v>
      </c>
      <c r="D1775" s="160" t="s">
        <v>1253</v>
      </c>
      <c r="E1775" s="161">
        <f>SUMIF(Lanç!$C$3:$C$114,C1775,Lanç!$F$3:$F$114)</f>
        <v>0</v>
      </c>
      <c r="F1775" s="161">
        <f>SUMIF(Lanç!$C$115:$C$6504,C1775,Lanç!$F$115:$F$6504)</f>
        <v>0</v>
      </c>
      <c r="G1775" s="161">
        <f>SUMIF(Lanç!$C$115:$C$6504,C1775,Lanç!$G$115:$G$6504)</f>
        <v>0</v>
      </c>
      <c r="H1775" s="162">
        <f t="shared" si="99"/>
        <v>0</v>
      </c>
      <c r="I1775" s="162">
        <f t="shared" si="100"/>
        <v>0</v>
      </c>
      <c r="J1775" s="1"/>
      <c r="K1775" s="1"/>
      <c r="L1775" s="1"/>
      <c r="M1775" s="1"/>
      <c r="N1775" s="1"/>
    </row>
    <row r="1776" spans="1:14">
      <c r="A1776" s="151">
        <f t="shared" si="98"/>
        <v>0</v>
      </c>
      <c r="B1776" s="155" t="s">
        <v>204</v>
      </c>
      <c r="C1776" s="156">
        <v>6810</v>
      </c>
      <c r="D1776" s="157" t="s">
        <v>1254</v>
      </c>
      <c r="E1776" s="158">
        <f>SUM(E1777:E1781)</f>
        <v>0</v>
      </c>
      <c r="F1776" s="158">
        <f>SUM(F1777:F1781)</f>
        <v>14051754.41</v>
      </c>
      <c r="G1776" s="158">
        <f>SUM(G1777:G1781)</f>
        <v>0</v>
      </c>
      <c r="H1776" s="154">
        <f t="shared" si="99"/>
        <v>14051754.41</v>
      </c>
      <c r="I1776" s="154">
        <f t="shared" si="100"/>
        <v>14051754.41</v>
      </c>
    </row>
    <row r="1777" spans="1:14" hidden="1">
      <c r="A1777" s="151">
        <f t="shared" si="98"/>
        <v>1</v>
      </c>
      <c r="B1777" s="151" t="s">
        <v>206</v>
      </c>
      <c r="C1777" s="159">
        <v>68101</v>
      </c>
      <c r="D1777" s="160" t="s">
        <v>1255</v>
      </c>
      <c r="E1777" s="161">
        <f>SUMIF(Lanç!$C$3:$C$114,C1777,Lanç!$F$3:$F$114)</f>
        <v>0</v>
      </c>
      <c r="F1777" s="161">
        <f>SUMIF(Lanç!$C$115:$C$6504,C1777,Lanç!$F$115:$F$6504)</f>
        <v>0</v>
      </c>
      <c r="G1777" s="161">
        <f>SUMIF(Lanç!$C$115:$C$6504,C1777,Lanç!$G$115:$G$6504)</f>
        <v>0</v>
      </c>
      <c r="H1777" s="162">
        <f t="shared" si="99"/>
        <v>0</v>
      </c>
      <c r="I1777" s="162">
        <f t="shared" si="100"/>
        <v>0</v>
      </c>
    </row>
    <row r="1778" spans="1:14" hidden="1">
      <c r="A1778" s="151">
        <f t="shared" si="98"/>
        <v>1</v>
      </c>
      <c r="B1778" s="151" t="s">
        <v>206</v>
      </c>
      <c r="C1778" s="159">
        <v>68102</v>
      </c>
      <c r="D1778" s="160" t="s">
        <v>1256</v>
      </c>
      <c r="E1778" s="161">
        <f>SUMIF(Lanç!$C$3:$C$114,C1778,Lanç!$F$3:$F$114)</f>
        <v>0</v>
      </c>
      <c r="F1778" s="161">
        <f>SUMIF(Lanç!$C$115:$C$6504,C1778,Lanç!$F$115:$F$6504)</f>
        <v>0</v>
      </c>
      <c r="G1778" s="161">
        <f>SUMIF(Lanç!$C$115:$C$6504,C1778,Lanç!$G$115:$G$6504)</f>
        <v>0</v>
      </c>
      <c r="H1778" s="162">
        <f t="shared" si="99"/>
        <v>0</v>
      </c>
      <c r="I1778" s="162">
        <f t="shared" si="100"/>
        <v>0</v>
      </c>
    </row>
    <row r="1779" spans="1:14" hidden="1">
      <c r="A1779" s="151">
        <f t="shared" si="98"/>
        <v>1</v>
      </c>
      <c r="B1779" s="151" t="s">
        <v>206</v>
      </c>
      <c r="C1779" s="159">
        <v>68103</v>
      </c>
      <c r="D1779" s="160" t="s">
        <v>1257</v>
      </c>
      <c r="E1779" s="161">
        <f>SUMIF(Lanç!$C$3:$C$114,C1779,Lanç!$F$3:$F$114)</f>
        <v>0</v>
      </c>
      <c r="F1779" s="161">
        <f>SUMIF(Lanç!$C$115:$C$6504,C1779,Lanç!$F$115:$F$6504)</f>
        <v>0</v>
      </c>
      <c r="G1779" s="161">
        <f>SUMIF(Lanç!$C$115:$C$6504,C1779,Lanç!$G$115:$G$6504)</f>
        <v>0</v>
      </c>
      <c r="H1779" s="162">
        <f t="shared" si="99"/>
        <v>0</v>
      </c>
      <c r="I1779" s="162">
        <f t="shared" si="100"/>
        <v>0</v>
      </c>
    </row>
    <row r="1780" spans="1:14">
      <c r="A1780" s="151">
        <f t="shared" si="98"/>
        <v>0</v>
      </c>
      <c r="B1780" s="151" t="s">
        <v>206</v>
      </c>
      <c r="C1780" s="159">
        <v>68104</v>
      </c>
      <c r="D1780" s="160" t="s">
        <v>1258</v>
      </c>
      <c r="E1780" s="161">
        <f>SUMIF(Lanç!$C$3:$C$114,C1780,Lanç!$F$3:$F$114)</f>
        <v>0</v>
      </c>
      <c r="F1780" s="161">
        <f>SUMIF(Lanç!$C$115:$C$6504,C1780,Lanç!$F$115:$F$6504)</f>
        <v>14051754.41</v>
      </c>
      <c r="G1780" s="161">
        <f>SUMIF(Lanç!$C$115:$C$6504,C1780,Lanç!$G$115:$G$6504)</f>
        <v>0</v>
      </c>
      <c r="H1780" s="162">
        <f t="shared" si="99"/>
        <v>14051754.41</v>
      </c>
      <c r="I1780" s="162">
        <f t="shared" si="100"/>
        <v>14051754.41</v>
      </c>
    </row>
    <row r="1781" spans="1:14" hidden="1">
      <c r="A1781" s="151">
        <f t="shared" si="98"/>
        <v>1</v>
      </c>
      <c r="B1781" s="151" t="s">
        <v>206</v>
      </c>
      <c r="C1781" s="159">
        <v>68109</v>
      </c>
      <c r="D1781" s="160" t="s">
        <v>1259</v>
      </c>
      <c r="E1781" s="161">
        <f>SUMIF(Lanç!$C$3:$C$114,C1781,Lanç!$F$3:$F$114)</f>
        <v>0</v>
      </c>
      <c r="F1781" s="161">
        <f>SUMIF(Lanç!$C$115:$C$6504,C1781,Lanç!$F$115:$F$6504)</f>
        <v>0</v>
      </c>
      <c r="G1781" s="161">
        <f>SUMIF(Lanç!$C$115:$C$6504,C1781,Lanç!$G$115:$G$6504)</f>
        <v>0</v>
      </c>
      <c r="H1781" s="162">
        <f t="shared" si="99"/>
        <v>0</v>
      </c>
      <c r="I1781" s="162">
        <f t="shared" si="100"/>
        <v>0</v>
      </c>
      <c r="J1781" s="1"/>
      <c r="K1781" s="1"/>
      <c r="L1781" s="1"/>
      <c r="M1781" s="1"/>
      <c r="N1781" s="1"/>
    </row>
    <row r="1782" spans="1:14" hidden="1">
      <c r="A1782" s="151">
        <f t="shared" si="98"/>
        <v>1</v>
      </c>
      <c r="B1782" s="155" t="s">
        <v>204</v>
      </c>
      <c r="C1782" s="156">
        <v>6811</v>
      </c>
      <c r="D1782" s="157" t="s">
        <v>1260</v>
      </c>
      <c r="E1782" s="158">
        <f>SUM(E1783:E1787)</f>
        <v>0</v>
      </c>
      <c r="F1782" s="158">
        <f>SUM(F1783:F1787)</f>
        <v>0</v>
      </c>
      <c r="G1782" s="158">
        <f>SUM(G1783:G1787)</f>
        <v>0</v>
      </c>
      <c r="H1782" s="154">
        <f t="shared" si="99"/>
        <v>0</v>
      </c>
      <c r="I1782" s="154">
        <f t="shared" si="100"/>
        <v>0</v>
      </c>
    </row>
    <row r="1783" spans="1:14" hidden="1">
      <c r="A1783" s="151">
        <f t="shared" si="98"/>
        <v>1</v>
      </c>
      <c r="B1783" s="151" t="s">
        <v>206</v>
      </c>
      <c r="C1783" s="159">
        <v>68111</v>
      </c>
      <c r="D1783" s="160" t="s">
        <v>1261</v>
      </c>
      <c r="E1783" s="161">
        <f>SUMIF(Lanç!$C$3:$C$114,C1783,Lanç!$F$3:$F$114)</f>
        <v>0</v>
      </c>
      <c r="F1783" s="161">
        <f>SUMIF(Lanç!$C$115:$C$6504,C1783,Lanç!$F$115:$F$6504)</f>
        <v>0</v>
      </c>
      <c r="G1783" s="161">
        <f>SUMIF(Lanç!$C$115:$C$6504,C1783,Lanç!$G$115:$G$6504)</f>
        <v>0</v>
      </c>
      <c r="H1783" s="162">
        <f t="shared" si="99"/>
        <v>0</v>
      </c>
      <c r="I1783" s="162">
        <f t="shared" si="100"/>
        <v>0</v>
      </c>
    </row>
    <row r="1784" spans="1:14" hidden="1">
      <c r="A1784" s="151">
        <f t="shared" si="98"/>
        <v>1</v>
      </c>
      <c r="B1784" s="151" t="s">
        <v>206</v>
      </c>
      <c r="C1784" s="159">
        <v>68112</v>
      </c>
      <c r="D1784" s="160" t="s">
        <v>1262</v>
      </c>
      <c r="E1784" s="161">
        <f>SUMIF(Lanç!$C$3:$C$114,C1784,Lanç!$F$3:$F$114)</f>
        <v>0</v>
      </c>
      <c r="F1784" s="161">
        <f>SUMIF(Lanç!$C$115:$C$6504,C1784,Lanç!$F$115:$F$6504)</f>
        <v>0</v>
      </c>
      <c r="G1784" s="161">
        <f>SUMIF(Lanç!$C$115:$C$6504,C1784,Lanç!$G$115:$G$6504)</f>
        <v>0</v>
      </c>
      <c r="H1784" s="162">
        <f t="shared" si="99"/>
        <v>0</v>
      </c>
      <c r="I1784" s="162">
        <f t="shared" si="100"/>
        <v>0</v>
      </c>
    </row>
    <row r="1785" spans="1:14" hidden="1">
      <c r="A1785" s="151">
        <f t="shared" si="98"/>
        <v>1</v>
      </c>
      <c r="B1785" s="151" t="s">
        <v>206</v>
      </c>
      <c r="C1785" s="159">
        <v>68113</v>
      </c>
      <c r="D1785" s="160" t="s">
        <v>1263</v>
      </c>
      <c r="E1785" s="161">
        <f>SUMIF(Lanç!$C$3:$C$114,C1785,Lanç!$F$3:$F$114)</f>
        <v>0</v>
      </c>
      <c r="F1785" s="161">
        <f>SUMIF(Lanç!$C$115:$C$6504,C1785,Lanç!$F$115:$F$6504)</f>
        <v>0</v>
      </c>
      <c r="G1785" s="161">
        <f>SUMIF(Lanç!$C$115:$C$6504,C1785,Lanç!$G$115:$G$6504)</f>
        <v>0</v>
      </c>
      <c r="H1785" s="162">
        <f t="shared" si="99"/>
        <v>0</v>
      </c>
      <c r="I1785" s="162">
        <f t="shared" si="100"/>
        <v>0</v>
      </c>
    </row>
    <row r="1786" spans="1:14" hidden="1">
      <c r="A1786" s="151">
        <f t="shared" si="98"/>
        <v>1</v>
      </c>
      <c r="B1786" s="151" t="s">
        <v>206</v>
      </c>
      <c r="C1786" s="159">
        <v>68119</v>
      </c>
      <c r="D1786" s="160" t="s">
        <v>1264</v>
      </c>
      <c r="E1786" s="161">
        <f>SUMIF(Lanç!$C$3:$C$114,C1786,Lanç!$F$3:$F$114)</f>
        <v>0</v>
      </c>
      <c r="F1786" s="161">
        <f>SUMIF(Lanç!$C$115:$C$6504,C1786,Lanç!$F$115:$F$6504)</f>
        <v>0</v>
      </c>
      <c r="G1786" s="161">
        <f>SUMIF(Lanç!$C$115:$C$6504,C1786,Lanç!$G$115:$G$6504)</f>
        <v>0</v>
      </c>
      <c r="H1786" s="162">
        <f t="shared" si="99"/>
        <v>0</v>
      </c>
      <c r="I1786" s="162">
        <f t="shared" si="100"/>
        <v>0</v>
      </c>
    </row>
    <row r="1787" spans="1:14" hidden="1">
      <c r="A1787" s="151">
        <f t="shared" si="98"/>
        <v>1</v>
      </c>
      <c r="B1787" s="151" t="s">
        <v>206</v>
      </c>
      <c r="C1787" s="159">
        <v>6841</v>
      </c>
      <c r="D1787" s="160" t="s">
        <v>1265</v>
      </c>
      <c r="E1787" s="161">
        <f>SUMIF(Lanç!$C$3:$C$114,C1787,Lanç!$F$3:$F$114)</f>
        <v>0</v>
      </c>
      <c r="F1787" s="161">
        <f>SUMIF(Lanç!$C$115:$C$6504,C1787,Lanç!$F$115:$F$6504)</f>
        <v>0</v>
      </c>
      <c r="G1787" s="161">
        <f>SUMIF(Lanç!$C$115:$C$6504,C1787,Lanç!$G$115:$G$6504)</f>
        <v>0</v>
      </c>
      <c r="H1787" s="162">
        <f t="shared" si="99"/>
        <v>0</v>
      </c>
      <c r="I1787" s="162">
        <f t="shared" si="100"/>
        <v>0</v>
      </c>
      <c r="J1787" s="1"/>
      <c r="K1787" s="1"/>
      <c r="L1787" s="1"/>
      <c r="M1787" s="1"/>
      <c r="N1787" s="1"/>
    </row>
    <row r="1788" spans="1:14">
      <c r="A1788" s="151">
        <f t="shared" si="98"/>
        <v>0</v>
      </c>
      <c r="B1788" s="155" t="s">
        <v>1166</v>
      </c>
      <c r="C1788" s="156">
        <v>689</v>
      </c>
      <c r="D1788" s="157" t="s">
        <v>1266</v>
      </c>
      <c r="E1788" s="158">
        <f>SUMIF(Lanç!$C$3:$C$114,C1788,Lanç!$F$3:$F$114)</f>
        <v>0</v>
      </c>
      <c r="F1788" s="158">
        <f>SUM(G1740,G1762,G1765,G1768,G1769,G1771,G1776,G1782)</f>
        <v>0</v>
      </c>
      <c r="G1788" s="158">
        <f>SUM(F1740,F1762,F1765,F1768,F1769,F1771,F1776,F1782)</f>
        <v>14051754.41</v>
      </c>
      <c r="H1788" s="154">
        <f t="shared" si="99"/>
        <v>-14051754.41</v>
      </c>
      <c r="I1788" s="154">
        <f t="shared" si="100"/>
        <v>-14051754.41</v>
      </c>
    </row>
    <row r="1789" spans="1:14" hidden="1">
      <c r="A1789" s="151">
        <f t="shared" si="98"/>
        <v>1</v>
      </c>
      <c r="B1789" s="155" t="s">
        <v>202</v>
      </c>
      <c r="C1789" s="156">
        <v>69</v>
      </c>
      <c r="D1789" s="157" t="s">
        <v>1267</v>
      </c>
      <c r="E1789" s="158">
        <f>SUM(E1790,E1792,E1794,E1796,E1798,E1800,E1802,E1804)</f>
        <v>0</v>
      </c>
      <c r="F1789" s="158">
        <f>SUM(F1790,F1792,F1794,F1796,F1798,F1800,F1802,F1804)</f>
        <v>0</v>
      </c>
      <c r="G1789" s="158">
        <f>SUM(G1790,G1792,G1794,G1796,G1798,G1800,G1802,G1804)</f>
        <v>0</v>
      </c>
      <c r="H1789" s="154">
        <f t="shared" si="99"/>
        <v>0</v>
      </c>
      <c r="I1789" s="154">
        <f t="shared" si="100"/>
        <v>0</v>
      </c>
    </row>
    <row r="1790" spans="1:14" hidden="1">
      <c r="A1790" s="151">
        <f t="shared" si="98"/>
        <v>1</v>
      </c>
      <c r="B1790" s="155" t="s">
        <v>204</v>
      </c>
      <c r="C1790" s="156">
        <v>691</v>
      </c>
      <c r="D1790" s="157" t="s">
        <v>1268</v>
      </c>
      <c r="E1790" s="158">
        <f>SUM(E1791)</f>
        <v>0</v>
      </c>
      <c r="F1790" s="158">
        <f>SUM(F1791)</f>
        <v>0</v>
      </c>
      <c r="G1790" s="158">
        <f>SUM(G1791)</f>
        <v>0</v>
      </c>
      <c r="H1790" s="154">
        <f t="shared" si="99"/>
        <v>0</v>
      </c>
      <c r="I1790" s="154">
        <f t="shared" si="100"/>
        <v>0</v>
      </c>
    </row>
    <row r="1791" spans="1:14" hidden="1">
      <c r="A1791" s="151">
        <f t="shared" si="98"/>
        <v>1</v>
      </c>
      <c r="B1791" s="151" t="s">
        <v>206</v>
      </c>
      <c r="C1791" s="159">
        <v>6911</v>
      </c>
      <c r="D1791" s="160" t="s">
        <v>269</v>
      </c>
      <c r="E1791" s="161">
        <f>SUMIF(Lanç!$C$3:$C$114,C1791,Lanç!$F$3:$F$114)</f>
        <v>0</v>
      </c>
      <c r="F1791" s="161">
        <f>SUMIF(Lanç!$C$115:$C$6504,C1791,Lanç!$F$115:$F$6504)</f>
        <v>0</v>
      </c>
      <c r="G1791" s="161">
        <f>SUMIF(Lanç!$C$115:$C$6504,C1791,Lanç!$G$115:$G$6504)</f>
        <v>0</v>
      </c>
      <c r="H1791" s="162">
        <f t="shared" si="99"/>
        <v>0</v>
      </c>
      <c r="I1791" s="162">
        <f t="shared" si="100"/>
        <v>0</v>
      </c>
      <c r="J1791" s="1"/>
      <c r="K1791" s="1"/>
      <c r="L1791" s="1"/>
      <c r="M1791" s="1"/>
      <c r="N1791" s="1"/>
    </row>
    <row r="1792" spans="1:14" hidden="1">
      <c r="A1792" s="151">
        <f t="shared" si="98"/>
        <v>1</v>
      </c>
      <c r="B1792" s="155" t="s">
        <v>204</v>
      </c>
      <c r="C1792" s="156">
        <v>692</v>
      </c>
      <c r="D1792" s="157" t="s">
        <v>1269</v>
      </c>
      <c r="E1792" s="158">
        <f>SUM(E1793)</f>
        <v>0</v>
      </c>
      <c r="F1792" s="158">
        <f>SUM(F1793)</f>
        <v>0</v>
      </c>
      <c r="G1792" s="158">
        <f>SUM(G1793)</f>
        <v>0</v>
      </c>
      <c r="H1792" s="154">
        <f t="shared" si="99"/>
        <v>0</v>
      </c>
      <c r="I1792" s="154">
        <f t="shared" si="100"/>
        <v>0</v>
      </c>
    </row>
    <row r="1793" spans="1:14" hidden="1">
      <c r="A1793" s="151">
        <f t="shared" si="98"/>
        <v>1</v>
      </c>
      <c r="B1793" s="151" t="s">
        <v>206</v>
      </c>
      <c r="C1793" s="159">
        <v>6921</v>
      </c>
      <c r="D1793" s="160" t="s">
        <v>269</v>
      </c>
      <c r="E1793" s="161">
        <f>SUMIF(Lanç!$C$3:$C$114,C1793,Lanç!$F$3:$F$114)</f>
        <v>0</v>
      </c>
      <c r="F1793" s="161">
        <f>SUMIF(Lanç!$C$115:$C$6504,C1793,Lanç!$F$115:$F$6504)</f>
        <v>0</v>
      </c>
      <c r="G1793" s="161">
        <f>SUMIF(Lanç!$C$115:$C$6504,C1793,Lanç!$G$115:$G$6504)</f>
        <v>0</v>
      </c>
      <c r="H1793" s="162">
        <f t="shared" si="99"/>
        <v>0</v>
      </c>
      <c r="I1793" s="162">
        <f t="shared" si="100"/>
        <v>0</v>
      </c>
      <c r="J1793" s="1"/>
      <c r="K1793" s="1"/>
      <c r="L1793" s="1"/>
      <c r="M1793" s="1"/>
      <c r="N1793" s="1"/>
    </row>
    <row r="1794" spans="1:14" hidden="1">
      <c r="A1794" s="151">
        <f t="shared" si="98"/>
        <v>1</v>
      </c>
      <c r="B1794" s="155" t="s">
        <v>204</v>
      </c>
      <c r="C1794" s="156">
        <v>693</v>
      </c>
      <c r="D1794" s="157" t="s">
        <v>1270</v>
      </c>
      <c r="E1794" s="158">
        <f>SUM(E1795)</f>
        <v>0</v>
      </c>
      <c r="F1794" s="158">
        <f>SUM(F1795)</f>
        <v>0</v>
      </c>
      <c r="G1794" s="158">
        <f>SUM(G1795)</f>
        <v>0</v>
      </c>
      <c r="H1794" s="154">
        <f t="shared" si="99"/>
        <v>0</v>
      </c>
      <c r="I1794" s="154">
        <f t="shared" si="100"/>
        <v>0</v>
      </c>
    </row>
    <row r="1795" spans="1:14" hidden="1">
      <c r="A1795" s="151">
        <f t="shared" si="98"/>
        <v>1</v>
      </c>
      <c r="B1795" s="151" t="s">
        <v>206</v>
      </c>
      <c r="C1795" s="159">
        <v>6931</v>
      </c>
      <c r="D1795" s="160" t="s">
        <v>1271</v>
      </c>
      <c r="E1795" s="161">
        <f>SUMIF(Lanç!$C$3:$C$114,C1795,Lanç!$F$3:$F$114)</f>
        <v>0</v>
      </c>
      <c r="F1795" s="161">
        <f>SUMIF(Lanç!$C$115:$C$6504,C1795,Lanç!$F$115:$F$6504)</f>
        <v>0</v>
      </c>
      <c r="G1795" s="161">
        <f>SUMIF(Lanç!$C$115:$C$6504,C1795,Lanç!$G$115:$G$6504)</f>
        <v>0</v>
      </c>
      <c r="H1795" s="162">
        <f t="shared" si="99"/>
        <v>0</v>
      </c>
      <c r="I1795" s="162">
        <f t="shared" si="100"/>
        <v>0</v>
      </c>
      <c r="J1795" s="1"/>
      <c r="K1795" s="1"/>
      <c r="L1795" s="1"/>
      <c r="M1795" s="1"/>
      <c r="N1795" s="1"/>
    </row>
    <row r="1796" spans="1:14" hidden="1">
      <c r="A1796" s="151">
        <f t="shared" si="98"/>
        <v>1</v>
      </c>
      <c r="B1796" s="155" t="s">
        <v>204</v>
      </c>
      <c r="C1796" s="156">
        <v>694</v>
      </c>
      <c r="D1796" s="157" t="s">
        <v>1272</v>
      </c>
      <c r="E1796" s="158">
        <f>SUM(E1797)</f>
        <v>0</v>
      </c>
      <c r="F1796" s="158">
        <f>SUM(F1797)</f>
        <v>0</v>
      </c>
      <c r="G1796" s="158">
        <f>SUM(G1797)</f>
        <v>0</v>
      </c>
      <c r="H1796" s="154">
        <f t="shared" si="99"/>
        <v>0</v>
      </c>
      <c r="I1796" s="154">
        <f t="shared" si="100"/>
        <v>0</v>
      </c>
    </row>
    <row r="1797" spans="1:14" hidden="1">
      <c r="A1797" s="151">
        <f t="shared" si="98"/>
        <v>1</v>
      </c>
      <c r="B1797" s="151" t="s">
        <v>206</v>
      </c>
      <c r="C1797" s="159">
        <v>6941</v>
      </c>
      <c r="D1797" s="160" t="s">
        <v>269</v>
      </c>
      <c r="E1797" s="161">
        <f>SUMIF(Lanç!$C$3:$C$114,C1797,Lanç!$F$3:$F$114)</f>
        <v>0</v>
      </c>
      <c r="F1797" s="161">
        <f>SUMIF(Lanç!$C$115:$C$6504,C1797,Lanç!$F$115:$F$6504)</f>
        <v>0</v>
      </c>
      <c r="G1797" s="161">
        <f>SUMIF(Lanç!$C$115:$C$6504,C1797,Lanç!$G$115:$G$6504)</f>
        <v>0</v>
      </c>
      <c r="H1797" s="162">
        <f t="shared" si="99"/>
        <v>0</v>
      </c>
      <c r="I1797" s="162">
        <f t="shared" si="100"/>
        <v>0</v>
      </c>
      <c r="J1797" s="1"/>
      <c r="K1797" s="1"/>
      <c r="L1797" s="1"/>
      <c r="M1797" s="1"/>
      <c r="N1797" s="1"/>
    </row>
    <row r="1798" spans="1:14" hidden="1">
      <c r="A1798" s="151">
        <f t="shared" si="98"/>
        <v>1</v>
      </c>
      <c r="B1798" s="155" t="s">
        <v>204</v>
      </c>
      <c r="C1798" s="156">
        <v>695</v>
      </c>
      <c r="D1798" s="157" t="s">
        <v>1273</v>
      </c>
      <c r="E1798" s="158">
        <f>SUM(E1799)</f>
        <v>0</v>
      </c>
      <c r="F1798" s="158">
        <f>SUM(F1799)</f>
        <v>0</v>
      </c>
      <c r="G1798" s="158">
        <f>SUM(G1799)</f>
        <v>0</v>
      </c>
      <c r="H1798" s="154">
        <f t="shared" si="99"/>
        <v>0</v>
      </c>
      <c r="I1798" s="154">
        <f t="shared" si="100"/>
        <v>0</v>
      </c>
    </row>
    <row r="1799" spans="1:14" hidden="1">
      <c r="A1799" s="151">
        <f t="shared" si="98"/>
        <v>1</v>
      </c>
      <c r="B1799" s="151" t="s">
        <v>206</v>
      </c>
      <c r="C1799" s="159">
        <v>6951</v>
      </c>
      <c r="D1799" s="160" t="s">
        <v>269</v>
      </c>
      <c r="E1799" s="161">
        <f>SUMIF(Lanç!$C$3:$C$114,C1799,Lanç!$F$3:$F$114)</f>
        <v>0</v>
      </c>
      <c r="F1799" s="161">
        <f>SUMIF(Lanç!$C$115:$C$6504,C1799,Lanç!$F$115:$F$6504)</f>
        <v>0</v>
      </c>
      <c r="G1799" s="161">
        <f>SUMIF(Lanç!$C$115:$C$6504,C1799,Lanç!$G$115:$G$6504)</f>
        <v>0</v>
      </c>
      <c r="H1799" s="162">
        <f t="shared" si="99"/>
        <v>0</v>
      </c>
      <c r="I1799" s="162">
        <f t="shared" si="100"/>
        <v>0</v>
      </c>
      <c r="J1799" s="1"/>
      <c r="K1799" s="1"/>
      <c r="L1799" s="1"/>
      <c r="M1799" s="1"/>
      <c r="N1799" s="1"/>
    </row>
    <row r="1800" spans="1:14" hidden="1">
      <c r="A1800" s="151">
        <f t="shared" si="98"/>
        <v>1</v>
      </c>
      <c r="B1800" s="155" t="s">
        <v>204</v>
      </c>
      <c r="C1800" s="156">
        <v>696</v>
      </c>
      <c r="D1800" s="157" t="s">
        <v>1274</v>
      </c>
      <c r="E1800" s="158">
        <f>SUM(E1801)</f>
        <v>0</v>
      </c>
      <c r="F1800" s="158">
        <f>SUM(F1801)</f>
        <v>0</v>
      </c>
      <c r="G1800" s="158">
        <f>SUM(G1801)</f>
        <v>0</v>
      </c>
      <c r="H1800" s="154">
        <f t="shared" si="99"/>
        <v>0</v>
      </c>
      <c r="I1800" s="154">
        <f t="shared" si="100"/>
        <v>0</v>
      </c>
    </row>
    <row r="1801" spans="1:14" hidden="1">
      <c r="A1801" s="151">
        <f t="shared" si="98"/>
        <v>1</v>
      </c>
      <c r="B1801" s="151" t="s">
        <v>206</v>
      </c>
      <c r="C1801" s="159">
        <v>6961</v>
      </c>
      <c r="D1801" s="160" t="s">
        <v>269</v>
      </c>
      <c r="E1801" s="161">
        <f>SUMIF(Lanç!$C$3:$C$114,C1801,Lanç!$F$3:$F$114)</f>
        <v>0</v>
      </c>
      <c r="F1801" s="161">
        <f>SUMIF(Lanç!$C$115:$C$6504,C1801,Lanç!$F$115:$F$6504)</f>
        <v>0</v>
      </c>
      <c r="G1801" s="161">
        <f>SUMIF(Lanç!$C$115:$C$6504,C1801,Lanç!$G$115:$G$6504)</f>
        <v>0</v>
      </c>
      <c r="H1801" s="162">
        <f t="shared" si="99"/>
        <v>0</v>
      </c>
      <c r="I1801" s="162">
        <f t="shared" si="100"/>
        <v>0</v>
      </c>
      <c r="J1801" s="1"/>
      <c r="K1801" s="1"/>
      <c r="L1801" s="1"/>
      <c r="M1801" s="1"/>
      <c r="N1801" s="1"/>
    </row>
    <row r="1802" spans="1:14" hidden="1">
      <c r="A1802" s="151">
        <f t="shared" si="98"/>
        <v>1</v>
      </c>
      <c r="B1802" s="155" t="s">
        <v>204</v>
      </c>
      <c r="C1802" s="156">
        <v>698</v>
      </c>
      <c r="D1802" s="157" t="s">
        <v>1275</v>
      </c>
      <c r="E1802" s="158">
        <f>SUM(E1803)</f>
        <v>0</v>
      </c>
      <c r="F1802" s="158">
        <f>SUM(F1803)</f>
        <v>0</v>
      </c>
      <c r="G1802" s="158">
        <f>SUM(G1803)</f>
        <v>0</v>
      </c>
      <c r="H1802" s="154">
        <f t="shared" si="99"/>
        <v>0</v>
      </c>
      <c r="I1802" s="154">
        <f t="shared" si="100"/>
        <v>0</v>
      </c>
      <c r="J1802" s="1"/>
      <c r="K1802" s="1"/>
      <c r="L1802" s="1"/>
      <c r="M1802" s="1"/>
      <c r="N1802" s="1"/>
    </row>
    <row r="1803" spans="1:14" hidden="1">
      <c r="A1803" s="151">
        <f t="shared" si="98"/>
        <v>1</v>
      </c>
      <c r="B1803" s="151" t="s">
        <v>206</v>
      </c>
      <c r="C1803" s="159">
        <v>6981</v>
      </c>
      <c r="D1803" s="160" t="s">
        <v>1275</v>
      </c>
      <c r="E1803" s="161">
        <f>SUMIF(Lanç!$C$3:$C$114,C1803,Lanç!$F$3:$F$114)</f>
        <v>0</v>
      </c>
      <c r="F1803" s="161">
        <f>SUMIF(Lanç!$C$115:$C$6504,C1803,Lanç!$F$115:$F$6504)</f>
        <v>0</v>
      </c>
      <c r="G1803" s="161">
        <f>SUMIF(Lanç!$C$115:$C$6504,C1803,Lanç!$G$115:$G$6504)</f>
        <v>0</v>
      </c>
      <c r="H1803" s="162">
        <f t="shared" si="99"/>
        <v>0</v>
      </c>
      <c r="I1803" s="162">
        <f t="shared" si="100"/>
        <v>0</v>
      </c>
      <c r="J1803" s="1"/>
      <c r="K1803" s="1"/>
      <c r="L1803" s="1"/>
      <c r="M1803" s="1"/>
      <c r="N1803" s="1"/>
    </row>
    <row r="1804" spans="1:14" hidden="1">
      <c r="A1804" s="151">
        <f t="shared" si="98"/>
        <v>1</v>
      </c>
      <c r="B1804" s="155" t="s">
        <v>1166</v>
      </c>
      <c r="C1804" s="156">
        <v>699</v>
      </c>
      <c r="D1804" s="157" t="s">
        <v>1276</v>
      </c>
      <c r="E1804" s="158">
        <f>SUMIF(Lanç!$C$3:$C$114,C1804,Lanç!$F$3:$F$114)</f>
        <v>0</v>
      </c>
      <c r="F1804" s="158">
        <f>G1789</f>
        <v>0</v>
      </c>
      <c r="G1804" s="158">
        <f>SUMIF(Lanç!$C$115:$C$6504,C1804,Lanç!$G$115:$G$6504)</f>
        <v>0</v>
      </c>
      <c r="H1804" s="154">
        <f t="shared" si="99"/>
        <v>0</v>
      </c>
      <c r="I1804" s="154">
        <f t="shared" si="100"/>
        <v>0</v>
      </c>
      <c r="J1804" s="58"/>
      <c r="K1804" s="58"/>
      <c r="L1804" s="58"/>
      <c r="M1804" s="58"/>
      <c r="N1804" s="58"/>
    </row>
    <row r="1805" spans="1:14">
      <c r="A1805" s="151">
        <f t="shared" si="98"/>
        <v>0</v>
      </c>
      <c r="B1805" s="152" t="s">
        <v>200</v>
      </c>
      <c r="C1805" s="153">
        <v>7</v>
      </c>
      <c r="D1805" s="164" t="s">
        <v>1277</v>
      </c>
      <c r="E1805" s="165">
        <f>SUM(E1806,E1820,E1918,E1933,E2066,E2128,E2130,E2183)</f>
        <v>0</v>
      </c>
      <c r="F1805" s="165">
        <f>SUM(F1806,F1820,F1918,F1933,F2066,F2128,F2130,F2183)</f>
        <v>310476932.12</v>
      </c>
      <c r="G1805" s="165">
        <f>SUM(G1806,G1820,G1918,G1933,G2066,G2128,G2130,G2183)</f>
        <v>310476932.12</v>
      </c>
      <c r="H1805" s="154">
        <f t="shared" si="99"/>
        <v>0</v>
      </c>
      <c r="I1805" s="154">
        <f t="shared" si="100"/>
        <v>0</v>
      </c>
      <c r="J1805" s="1"/>
      <c r="K1805" s="1"/>
      <c r="L1805" s="1"/>
      <c r="M1805" s="1"/>
      <c r="N1805" s="1"/>
    </row>
    <row r="1806" spans="1:14">
      <c r="A1806" s="151">
        <f t="shared" si="98"/>
        <v>0</v>
      </c>
      <c r="B1806" s="155" t="s">
        <v>202</v>
      </c>
      <c r="C1806" s="156">
        <v>71</v>
      </c>
      <c r="D1806" s="157" t="s">
        <v>1278</v>
      </c>
      <c r="E1806" s="158">
        <f>SUM(E1807,E1809,E1809,E1809,E1811,E1813,E1815,E1817,E1819)</f>
        <v>0</v>
      </c>
      <c r="F1806" s="158">
        <f>SUM(F1807,F1809,F1809,F1809,F1811,F1813,F1815,F1817,F1819)</f>
        <v>57496258.18999999</v>
      </c>
      <c r="G1806" s="158">
        <f>SUM(G1807,G1809,G1809,G1809,G1811,G1813,G1815,G1817,G1819)</f>
        <v>57496258.18999999</v>
      </c>
      <c r="H1806" s="154">
        <f t="shared" si="99"/>
        <v>0</v>
      </c>
      <c r="I1806" s="154">
        <f t="shared" si="100"/>
        <v>0</v>
      </c>
    </row>
    <row r="1807" spans="1:14">
      <c r="A1807" s="151">
        <f t="shared" si="98"/>
        <v>0</v>
      </c>
      <c r="B1807" s="155" t="s">
        <v>204</v>
      </c>
      <c r="C1807" s="156">
        <v>711</v>
      </c>
      <c r="D1807" s="157" t="s">
        <v>1279</v>
      </c>
      <c r="E1807" s="158">
        <f>SUM(E1808)</f>
        <v>0</v>
      </c>
      <c r="F1807" s="158">
        <f>SUM(F1808)</f>
        <v>52996258.18999999</v>
      </c>
      <c r="G1807" s="158">
        <f>SUM(G1808)</f>
        <v>4500000</v>
      </c>
      <c r="H1807" s="154">
        <f t="shared" si="99"/>
        <v>48496258.18999999</v>
      </c>
      <c r="I1807" s="154">
        <f t="shared" si="100"/>
        <v>48496258.18999999</v>
      </c>
    </row>
    <row r="1808" spans="1:14">
      <c r="A1808" s="151">
        <f t="shared" si="98"/>
        <v>0</v>
      </c>
      <c r="B1808" s="151" t="s">
        <v>206</v>
      </c>
      <c r="C1808" s="159">
        <v>7111</v>
      </c>
      <c r="D1808" s="160" t="s">
        <v>1280</v>
      </c>
      <c r="E1808" s="161">
        <f>SUMIF(Lanç!$C$3:$C$114,C1808,Lanç!$F$3:$F$114)</f>
        <v>0</v>
      </c>
      <c r="F1808" s="161">
        <f>SUMIF(Lanç!$C$115:$C$6504,C1808,Lanç!$F$115:$F$6504)</f>
        <v>52996258.18999999</v>
      </c>
      <c r="G1808" s="161">
        <f>SUMIF(Lanç!$C$115:$C$6504,C1808,Lanç!$G$115:$G$6504)</f>
        <v>4500000</v>
      </c>
      <c r="H1808" s="162">
        <f t="shared" si="99"/>
        <v>48496258.18999999</v>
      </c>
      <c r="I1808" s="162">
        <f t="shared" si="100"/>
        <v>48496258.18999999</v>
      </c>
      <c r="J1808" s="1"/>
      <c r="K1808" s="1"/>
      <c r="L1808" s="1"/>
      <c r="M1808" s="1"/>
      <c r="N1808" s="1"/>
    </row>
    <row r="1809" spans="1:14" hidden="1">
      <c r="A1809" s="151">
        <f t="shared" si="98"/>
        <v>1</v>
      </c>
      <c r="B1809" s="155" t="s">
        <v>204</v>
      </c>
      <c r="C1809" s="156">
        <v>712</v>
      </c>
      <c r="D1809" s="157" t="s">
        <v>1281</v>
      </c>
      <c r="E1809" s="158">
        <f>SUM(E1810)</f>
        <v>0</v>
      </c>
      <c r="F1809" s="158">
        <f>SUM(F1810)</f>
        <v>0</v>
      </c>
      <c r="G1809" s="158">
        <f>SUM(G1810)</f>
        <v>0</v>
      </c>
      <c r="H1809" s="154">
        <f t="shared" si="99"/>
        <v>0</v>
      </c>
      <c r="I1809" s="154">
        <f t="shared" si="100"/>
        <v>0</v>
      </c>
    </row>
    <row r="1810" spans="1:14" hidden="1">
      <c r="A1810" s="151">
        <f t="shared" si="98"/>
        <v>1</v>
      </c>
      <c r="B1810" s="151" t="s">
        <v>206</v>
      </c>
      <c r="C1810" s="159">
        <v>7121</v>
      </c>
      <c r="D1810" s="160" t="s">
        <v>1282</v>
      </c>
      <c r="E1810" s="161">
        <f>SUMIF(Lanç!$C$3:$C$114,C1810,Lanç!$F$3:$F$114)</f>
        <v>0</v>
      </c>
      <c r="F1810" s="161">
        <f>SUMIF(Lanç!$C$115:$C$6504,C1810,Lanç!$F$115:$F$6504)</f>
        <v>0</v>
      </c>
      <c r="G1810" s="161">
        <f>SUMIF(Lanç!$C$115:$C$6504,C1810,Lanç!$G$115:$G$6504)</f>
        <v>0</v>
      </c>
      <c r="H1810" s="162">
        <f t="shared" si="99"/>
        <v>0</v>
      </c>
      <c r="I1810" s="162">
        <f t="shared" si="100"/>
        <v>0</v>
      </c>
      <c r="J1810" s="1"/>
      <c r="K1810" s="1"/>
      <c r="L1810" s="1"/>
      <c r="M1810" s="1"/>
      <c r="N1810" s="1"/>
    </row>
    <row r="1811" spans="1:14" hidden="1">
      <c r="A1811" s="151">
        <f t="shared" si="98"/>
        <v>1</v>
      </c>
      <c r="B1811" s="155" t="s">
        <v>204</v>
      </c>
      <c r="C1811" s="156">
        <v>713</v>
      </c>
      <c r="D1811" s="157" t="s">
        <v>317</v>
      </c>
      <c r="E1811" s="158">
        <f>SUM(E1812)</f>
        <v>0</v>
      </c>
      <c r="F1811" s="158">
        <f>SUM(F1812)</f>
        <v>0</v>
      </c>
      <c r="G1811" s="158">
        <f>SUM(G1812)</f>
        <v>0</v>
      </c>
      <c r="H1811" s="154">
        <f t="shared" si="99"/>
        <v>0</v>
      </c>
      <c r="I1811" s="154">
        <f t="shared" si="100"/>
        <v>0</v>
      </c>
    </row>
    <row r="1812" spans="1:14" hidden="1">
      <c r="A1812" s="151">
        <f t="shared" si="98"/>
        <v>1</v>
      </c>
      <c r="B1812" s="151" t="s">
        <v>206</v>
      </c>
      <c r="C1812" s="159">
        <v>7131</v>
      </c>
      <c r="D1812" s="160" t="s">
        <v>1283</v>
      </c>
      <c r="E1812" s="161">
        <f>SUMIF(Lanç!$C$3:$C$114,C1812,Lanç!$F$3:$F$114)</f>
        <v>0</v>
      </c>
      <c r="F1812" s="161">
        <f>SUMIF(Lanç!$C$115:$C$6504,C1812,Lanç!$F$115:$F$6504)</f>
        <v>0</v>
      </c>
      <c r="G1812" s="161">
        <f>SUMIF(Lanç!$C$115:$C$6504,C1812,Lanç!$G$115:$G$6504)</f>
        <v>0</v>
      </c>
      <c r="H1812" s="162">
        <f t="shared" si="99"/>
        <v>0</v>
      </c>
      <c r="I1812" s="162">
        <f t="shared" si="100"/>
        <v>0</v>
      </c>
      <c r="J1812" s="1"/>
      <c r="K1812" s="1"/>
      <c r="L1812" s="1"/>
      <c r="M1812" s="1"/>
      <c r="N1812" s="1"/>
    </row>
    <row r="1813" spans="1:14" hidden="1">
      <c r="A1813" s="151">
        <f t="shared" si="98"/>
        <v>1</v>
      </c>
      <c r="B1813" s="155" t="s">
        <v>204</v>
      </c>
      <c r="C1813" s="156">
        <v>714</v>
      </c>
      <c r="D1813" s="157" t="s">
        <v>327</v>
      </c>
      <c r="E1813" s="158">
        <f>SUM(E1814)</f>
        <v>0</v>
      </c>
      <c r="F1813" s="158">
        <f>SUM(F1814)</f>
        <v>0</v>
      </c>
      <c r="G1813" s="158">
        <f>SUM(G1814)</f>
        <v>0</v>
      </c>
      <c r="H1813" s="154">
        <f t="shared" si="99"/>
        <v>0</v>
      </c>
      <c r="I1813" s="154">
        <f t="shared" si="100"/>
        <v>0</v>
      </c>
    </row>
    <row r="1814" spans="1:14" hidden="1">
      <c r="A1814" s="151">
        <f t="shared" si="98"/>
        <v>1</v>
      </c>
      <c r="B1814" s="151" t="s">
        <v>206</v>
      </c>
      <c r="C1814" s="159">
        <v>7141</v>
      </c>
      <c r="D1814" s="160" t="s">
        <v>1284</v>
      </c>
      <c r="E1814" s="161">
        <f>SUMIF(Lanç!$C$3:$C$114,C1814,Lanç!$F$3:$F$114)</f>
        <v>0</v>
      </c>
      <c r="F1814" s="161">
        <f>SUMIF(Lanç!$C$115:$C$6504,C1814,Lanç!$F$115:$F$6504)</f>
        <v>0</v>
      </c>
      <c r="G1814" s="161">
        <f>SUMIF(Lanç!$C$115:$C$6504,C1814,Lanç!$G$115:$G$6504)</f>
        <v>0</v>
      </c>
      <c r="H1814" s="162">
        <f t="shared" si="99"/>
        <v>0</v>
      </c>
      <c r="I1814" s="162">
        <f t="shared" si="100"/>
        <v>0</v>
      </c>
      <c r="J1814" s="1"/>
      <c r="K1814" s="1"/>
      <c r="L1814" s="1"/>
      <c r="M1814" s="1"/>
      <c r="N1814" s="1"/>
    </row>
    <row r="1815" spans="1:14" hidden="1">
      <c r="A1815" s="151">
        <f t="shared" si="98"/>
        <v>1</v>
      </c>
      <c r="B1815" s="155" t="s">
        <v>204</v>
      </c>
      <c r="C1815" s="156">
        <v>715</v>
      </c>
      <c r="D1815" s="157" t="s">
        <v>338</v>
      </c>
      <c r="E1815" s="158">
        <f>SUM(E1816)</f>
        <v>0</v>
      </c>
      <c r="F1815" s="158">
        <f>SUM(F1816)</f>
        <v>0</v>
      </c>
      <c r="G1815" s="158">
        <f>SUM(G1816)</f>
        <v>0</v>
      </c>
      <c r="H1815" s="154">
        <f t="shared" si="99"/>
        <v>0</v>
      </c>
      <c r="I1815" s="154">
        <f t="shared" si="100"/>
        <v>0</v>
      </c>
    </row>
    <row r="1816" spans="1:14" hidden="1">
      <c r="A1816" s="151">
        <f t="shared" si="98"/>
        <v>1</v>
      </c>
      <c r="B1816" s="151" t="s">
        <v>206</v>
      </c>
      <c r="C1816" s="159">
        <v>7151</v>
      </c>
      <c r="D1816" s="160" t="s">
        <v>1285</v>
      </c>
      <c r="E1816" s="161">
        <f>SUMIF(Lanç!$C$3:$C$114,C1816,Lanç!$F$3:$F$114)</f>
        <v>0</v>
      </c>
      <c r="F1816" s="161">
        <f>SUMIF(Lanç!$C$115:$C$6504,C1816,Lanç!$F$115:$F$6504)</f>
        <v>0</v>
      </c>
      <c r="G1816" s="161">
        <f>SUMIF(Lanç!$C$115:$C$6504,C1816,Lanç!$G$115:$G$6504)</f>
        <v>0</v>
      </c>
      <c r="H1816" s="162">
        <f t="shared" si="99"/>
        <v>0</v>
      </c>
      <c r="I1816" s="162">
        <f t="shared" si="100"/>
        <v>0</v>
      </c>
      <c r="J1816" s="1"/>
      <c r="K1816" s="1"/>
      <c r="L1816" s="1"/>
      <c r="M1816" s="1"/>
      <c r="N1816" s="1"/>
    </row>
    <row r="1817" spans="1:14" hidden="1">
      <c r="A1817" s="151">
        <f t="shared" si="98"/>
        <v>1</v>
      </c>
      <c r="B1817" s="155" t="s">
        <v>204</v>
      </c>
      <c r="C1817" s="156">
        <v>716</v>
      </c>
      <c r="D1817" s="157" t="s">
        <v>349</v>
      </c>
      <c r="E1817" s="158">
        <f>SUM(E1818)</f>
        <v>0</v>
      </c>
      <c r="F1817" s="158">
        <f>SUM(F1818)</f>
        <v>0</v>
      </c>
      <c r="G1817" s="158">
        <f>SUM(G1818)</f>
        <v>0</v>
      </c>
      <c r="H1817" s="154">
        <f t="shared" si="99"/>
        <v>0</v>
      </c>
      <c r="I1817" s="154">
        <f t="shared" si="100"/>
        <v>0</v>
      </c>
    </row>
    <row r="1818" spans="1:14" hidden="1">
      <c r="A1818" s="151">
        <f t="shared" si="98"/>
        <v>1</v>
      </c>
      <c r="B1818" s="151" t="s">
        <v>206</v>
      </c>
      <c r="C1818" s="159">
        <v>7161</v>
      </c>
      <c r="D1818" s="160" t="s">
        <v>1286</v>
      </c>
      <c r="E1818" s="161">
        <f>SUMIF(Lanç!$C$3:$C$114,C1818,Lanç!$F$3:$F$114)</f>
        <v>0</v>
      </c>
      <c r="F1818" s="161">
        <f>SUMIF(Lanç!$C$115:$C$6504,C1818,Lanç!$F$115:$F$6504)</f>
        <v>0</v>
      </c>
      <c r="G1818" s="161">
        <f>SUMIF(Lanç!$C$115:$C$6504,C1818,Lanç!$G$115:$G$6504)</f>
        <v>0</v>
      </c>
      <c r="H1818" s="162">
        <f t="shared" si="99"/>
        <v>0</v>
      </c>
      <c r="I1818" s="162">
        <f t="shared" si="100"/>
        <v>0</v>
      </c>
      <c r="J1818" s="1"/>
      <c r="K1818" s="1"/>
      <c r="L1818" s="1"/>
      <c r="M1818" s="1"/>
      <c r="N1818" s="1"/>
    </row>
    <row r="1819" spans="1:14">
      <c r="A1819" s="151">
        <f t="shared" si="98"/>
        <v>0</v>
      </c>
      <c r="B1819" s="155" t="s">
        <v>1166</v>
      </c>
      <c r="C1819" s="156">
        <v>719</v>
      </c>
      <c r="D1819" s="157" t="s">
        <v>1167</v>
      </c>
      <c r="E1819" s="158">
        <f>SUMIF(Lanç!$C$3:$C$114,C1819,Lanç!$F$3:$F$114)</f>
        <v>0</v>
      </c>
      <c r="F1819" s="158">
        <f>SUM(G1807,G1809,G1809,G1809,G1811,G1813,G1815,G1817)</f>
        <v>4500000</v>
      </c>
      <c r="G1819" s="158">
        <f>SUM(F1807,F1809,F1809,F1809,F1811,F1813,F1815,F1817)</f>
        <v>52996258.18999999</v>
      </c>
      <c r="H1819" s="154">
        <f t="shared" si="99"/>
        <v>-48496258.18999999</v>
      </c>
      <c r="I1819" s="154">
        <f t="shared" si="100"/>
        <v>-48496258.18999999</v>
      </c>
    </row>
    <row r="1820" spans="1:14">
      <c r="A1820" s="151">
        <f t="shared" si="98"/>
        <v>0</v>
      </c>
      <c r="B1820" s="155" t="s">
        <v>202</v>
      </c>
      <c r="C1820" s="156">
        <v>72</v>
      </c>
      <c r="D1820" s="157" t="s">
        <v>1287</v>
      </c>
      <c r="E1820" s="158">
        <f>SUM(E1821,E1831,E1865,E1871,E1877,E1883,E1888,E1893,E1917)</f>
        <v>0</v>
      </c>
      <c r="F1820" s="158">
        <f>SUM(F1821,F1831,F1865,F1871,F1877,F1883,F1888,F1893,F1917)</f>
        <v>33038302.689999998</v>
      </c>
      <c r="G1820" s="158">
        <f>SUM(G1821,G1831,G1865,G1871,G1877,G1883,G1888,G1893,G1917)</f>
        <v>33038302.689999998</v>
      </c>
      <c r="H1820" s="154">
        <f t="shared" si="99"/>
        <v>0</v>
      </c>
      <c r="I1820" s="154">
        <f t="shared" si="100"/>
        <v>0</v>
      </c>
    </row>
    <row r="1821" spans="1:14" hidden="1">
      <c r="A1821" s="151">
        <f t="shared" si="98"/>
        <v>1</v>
      </c>
      <c r="B1821" s="155" t="s">
        <v>204</v>
      </c>
      <c r="C1821" s="156">
        <v>721</v>
      </c>
      <c r="D1821" s="157" t="s">
        <v>1288</v>
      </c>
      <c r="E1821" s="158">
        <f>SUM(E1824:E1830)</f>
        <v>0</v>
      </c>
      <c r="F1821" s="158">
        <f>SUM(F1824:F1830)</f>
        <v>0</v>
      </c>
      <c r="G1821" s="158">
        <f>SUM(G1824:G1830)</f>
        <v>0</v>
      </c>
      <c r="H1821" s="154">
        <f t="shared" si="99"/>
        <v>0</v>
      </c>
      <c r="I1821" s="154">
        <f t="shared" si="100"/>
        <v>0</v>
      </c>
    </row>
    <row r="1822" spans="1:14" hidden="1">
      <c r="A1822" s="151">
        <f t="shared" si="98"/>
        <v>1</v>
      </c>
      <c r="B1822" s="151" t="s">
        <v>206</v>
      </c>
      <c r="C1822" s="159">
        <v>72101</v>
      </c>
      <c r="D1822" s="160" t="s">
        <v>1289</v>
      </c>
      <c r="E1822" s="161">
        <f>SUMIF(Lanç!$C$3:$C$114,C1822,Lanç!$F$3:$F$114)</f>
        <v>0</v>
      </c>
      <c r="F1822" s="161">
        <f>SUMIF(Lanç!$C$115:$C$6504,C1822,Lanç!$F$115:$F$6504)</f>
        <v>0</v>
      </c>
      <c r="G1822" s="161">
        <f>SUMIF(Lanç!$C$115:$C$6504,C1822,Lanç!$G$115:$G$6504)</f>
        <v>0</v>
      </c>
      <c r="H1822" s="162">
        <f t="shared" si="99"/>
        <v>0</v>
      </c>
      <c r="I1822" s="162">
        <f t="shared" si="100"/>
        <v>0</v>
      </c>
    </row>
    <row r="1823" spans="1:14" hidden="1">
      <c r="A1823" s="151">
        <f t="shared" si="98"/>
        <v>1</v>
      </c>
      <c r="B1823" s="151" t="s">
        <v>206</v>
      </c>
      <c r="C1823" s="159">
        <v>72109</v>
      </c>
      <c r="D1823" s="160" t="s">
        <v>1290</v>
      </c>
      <c r="E1823" s="161">
        <f>SUMIF(Lanç!$C$3:$C$114,C1823,Lanç!$F$3:$F$114)</f>
        <v>0</v>
      </c>
      <c r="F1823" s="161">
        <f>SUMIF(Lanç!$C$115:$C$6504,C1823,Lanç!$F$115:$F$6504)</f>
        <v>0</v>
      </c>
      <c r="G1823" s="161">
        <f>SUMIF(Lanç!$C$115:$C$6504,C1823,Lanç!$G$115:$G$6504)</f>
        <v>0</v>
      </c>
      <c r="H1823" s="162">
        <f t="shared" si="99"/>
        <v>0</v>
      </c>
      <c r="I1823" s="162">
        <f t="shared" si="100"/>
        <v>0</v>
      </c>
    </row>
    <row r="1824" spans="1:14" hidden="1">
      <c r="A1824" s="151">
        <f t="shared" si="98"/>
        <v>1</v>
      </c>
      <c r="B1824" s="151" t="s">
        <v>206</v>
      </c>
      <c r="C1824" s="159">
        <v>7211</v>
      </c>
      <c r="D1824" s="160" t="s">
        <v>1291</v>
      </c>
      <c r="E1824" s="161">
        <f>SUMIF(Lanç!$C$3:$C$114,C1824,Lanç!$F$3:$F$114)</f>
        <v>0</v>
      </c>
      <c r="F1824" s="161">
        <f>SUMIF(Lanç!$C$115:$C$6504,C1824,Lanç!$F$115:$F$6504)</f>
        <v>0</v>
      </c>
      <c r="G1824" s="161">
        <f>SUMIF(Lanç!$C$115:$C$6504,C1824,Lanç!$G$115:$G$6504)</f>
        <v>0</v>
      </c>
      <c r="H1824" s="162">
        <f t="shared" si="99"/>
        <v>0</v>
      </c>
      <c r="I1824" s="162">
        <f t="shared" si="100"/>
        <v>0</v>
      </c>
    </row>
    <row r="1825" spans="1:14" hidden="1">
      <c r="A1825" s="151">
        <f t="shared" si="98"/>
        <v>1</v>
      </c>
      <c r="B1825" s="151" t="s">
        <v>206</v>
      </c>
      <c r="C1825" s="159">
        <v>7212</v>
      </c>
      <c r="D1825" s="160" t="s">
        <v>1292</v>
      </c>
      <c r="E1825" s="161">
        <f>SUMIF(Lanç!$C$3:$C$114,C1825,Lanç!$F$3:$F$114)</f>
        <v>0</v>
      </c>
      <c r="F1825" s="161">
        <f>SUMIF(Lanç!$C$115:$C$6504,C1825,Lanç!$F$115:$F$6504)</f>
        <v>0</v>
      </c>
      <c r="G1825" s="161">
        <f>SUMIF(Lanç!$C$115:$C$6504,C1825,Lanç!$G$115:$G$6504)</f>
        <v>0</v>
      </c>
      <c r="H1825" s="162">
        <f t="shared" si="99"/>
        <v>0</v>
      </c>
      <c r="I1825" s="162">
        <f t="shared" si="100"/>
        <v>0</v>
      </c>
    </row>
    <row r="1826" spans="1:14" hidden="1">
      <c r="A1826" s="151">
        <f t="shared" ref="A1826:A1889" si="101">IF(E1826+F1826+G1826+H1826+I1826=0,1,0)</f>
        <v>1</v>
      </c>
      <c r="B1826" s="151" t="s">
        <v>206</v>
      </c>
      <c r="C1826" s="159">
        <v>7213</v>
      </c>
      <c r="D1826" s="160" t="s">
        <v>1292</v>
      </c>
      <c r="E1826" s="161">
        <f>SUMIF(Lanç!$C$3:$C$114,C1826,Lanç!$F$3:$F$114)</f>
        <v>0</v>
      </c>
      <c r="F1826" s="161">
        <f>SUMIF(Lanç!$C$115:$C$6504,C1826,Lanç!$F$115:$F$6504)</f>
        <v>0</v>
      </c>
      <c r="G1826" s="161">
        <f>SUMIF(Lanç!$C$115:$C$6504,C1826,Lanç!$G$115:$G$6504)</f>
        <v>0</v>
      </c>
      <c r="H1826" s="162">
        <f t="shared" ref="H1826:H1889" si="102">(F1826)-(G1826)</f>
        <v>0</v>
      </c>
      <c r="I1826" s="162">
        <f t="shared" ref="I1826:I1889" si="103">(E1826)+(H1826)</f>
        <v>0</v>
      </c>
    </row>
    <row r="1827" spans="1:14" hidden="1">
      <c r="A1827" s="151">
        <f t="shared" si="101"/>
        <v>1</v>
      </c>
      <c r="B1827" s="151" t="s">
        <v>206</v>
      </c>
      <c r="C1827" s="159">
        <v>7214</v>
      </c>
      <c r="D1827" s="160" t="s">
        <v>1293</v>
      </c>
      <c r="E1827" s="161">
        <f>SUMIF(Lanç!$C$3:$C$114,C1827,Lanç!$F$3:$F$114)</f>
        <v>0</v>
      </c>
      <c r="F1827" s="161">
        <f>SUMIF(Lanç!$C$115:$C$6504,C1827,Lanç!$F$115:$F$6504)</f>
        <v>0</v>
      </c>
      <c r="G1827" s="161">
        <f>SUMIF(Lanç!$C$115:$C$6504,C1827,Lanç!$G$115:$G$6504)</f>
        <v>0</v>
      </c>
      <c r="H1827" s="162">
        <f t="shared" si="102"/>
        <v>0</v>
      </c>
      <c r="I1827" s="162">
        <f t="shared" si="103"/>
        <v>0</v>
      </c>
    </row>
    <row r="1828" spans="1:14" hidden="1">
      <c r="A1828" s="151">
        <f t="shared" si="101"/>
        <v>1</v>
      </c>
      <c r="B1828" s="151" t="s">
        <v>206</v>
      </c>
      <c r="C1828" s="159">
        <v>7215</v>
      </c>
      <c r="D1828" s="160" t="s">
        <v>1294</v>
      </c>
      <c r="E1828" s="161">
        <f>SUMIF(Lanç!$C$3:$C$114,C1828,Lanç!$F$3:$F$114)</f>
        <v>0</v>
      </c>
      <c r="F1828" s="161">
        <f>SUMIF(Lanç!$C$115:$C$6504,C1828,Lanç!$F$115:$F$6504)</f>
        <v>0</v>
      </c>
      <c r="G1828" s="161">
        <f>SUMIF(Lanç!$C$115:$C$6504,C1828,Lanç!$G$115:$G$6504)</f>
        <v>0</v>
      </c>
      <c r="H1828" s="162">
        <f t="shared" si="102"/>
        <v>0</v>
      </c>
      <c r="I1828" s="162">
        <f t="shared" si="103"/>
        <v>0</v>
      </c>
    </row>
    <row r="1829" spans="1:14" hidden="1">
      <c r="A1829" s="151">
        <f t="shared" si="101"/>
        <v>1</v>
      </c>
      <c r="B1829" s="151" t="s">
        <v>206</v>
      </c>
      <c r="C1829" s="159">
        <v>7216</v>
      </c>
      <c r="D1829" s="160" t="s">
        <v>1295</v>
      </c>
      <c r="E1829" s="161">
        <f>SUMIF(Lanç!$C$3:$C$114,C1829,Lanç!$F$3:$F$114)</f>
        <v>0</v>
      </c>
      <c r="F1829" s="161">
        <f>SUMIF(Lanç!$C$115:$C$6504,C1829,Lanç!$F$115:$F$6504)</f>
        <v>0</v>
      </c>
      <c r="G1829" s="161">
        <f>SUMIF(Lanç!$C$115:$C$6504,C1829,Lanç!$G$115:$G$6504)</f>
        <v>0</v>
      </c>
      <c r="H1829" s="162">
        <f t="shared" si="102"/>
        <v>0</v>
      </c>
      <c r="I1829" s="162">
        <f t="shared" si="103"/>
        <v>0</v>
      </c>
    </row>
    <row r="1830" spans="1:14" hidden="1">
      <c r="A1830" s="151">
        <f t="shared" si="101"/>
        <v>1</v>
      </c>
      <c r="B1830" s="151" t="s">
        <v>206</v>
      </c>
      <c r="C1830" s="159">
        <v>7217</v>
      </c>
      <c r="D1830" s="160" t="s">
        <v>1296</v>
      </c>
      <c r="E1830" s="161">
        <f>SUMIF(Lanç!$C$3:$C$114,C1830,Lanç!$F$3:$F$114)</f>
        <v>0</v>
      </c>
      <c r="F1830" s="161">
        <f>SUMIF(Lanç!$C$115:$C$6504,C1830,Lanç!$F$115:$F$6504)</f>
        <v>0</v>
      </c>
      <c r="G1830" s="161">
        <f>SUMIF(Lanç!$C$115:$C$6504,C1830,Lanç!$G$115:$G$6504)</f>
        <v>0</v>
      </c>
      <c r="H1830" s="162">
        <f t="shared" si="102"/>
        <v>0</v>
      </c>
      <c r="I1830" s="162">
        <f t="shared" si="103"/>
        <v>0</v>
      </c>
      <c r="J1830" s="1"/>
      <c r="K1830" s="1"/>
      <c r="L1830" s="1"/>
      <c r="M1830" s="1"/>
      <c r="N1830" s="1"/>
    </row>
    <row r="1831" spans="1:14">
      <c r="A1831" s="151">
        <f t="shared" si="101"/>
        <v>0</v>
      </c>
      <c r="B1831" s="155" t="s">
        <v>204</v>
      </c>
      <c r="C1831" s="156">
        <v>722</v>
      </c>
      <c r="D1831" s="157" t="s">
        <v>1297</v>
      </c>
      <c r="E1831" s="158">
        <f>SUM(E1832,E1846,E1858)</f>
        <v>0</v>
      </c>
      <c r="F1831" s="158">
        <f>SUM(F1832,F1846,F1858)</f>
        <v>25906815.140000001</v>
      </c>
      <c r="G1831" s="158">
        <f>SUM(G1832,G1846,G1858)</f>
        <v>0</v>
      </c>
      <c r="H1831" s="154">
        <f t="shared" si="102"/>
        <v>25906815.140000001</v>
      </c>
      <c r="I1831" s="154">
        <f t="shared" si="103"/>
        <v>25906815.140000001</v>
      </c>
    </row>
    <row r="1832" spans="1:14">
      <c r="A1832" s="151">
        <f t="shared" si="101"/>
        <v>0</v>
      </c>
      <c r="B1832" s="155" t="s">
        <v>204</v>
      </c>
      <c r="C1832" s="156">
        <v>7221</v>
      </c>
      <c r="D1832" s="157" t="s">
        <v>1298</v>
      </c>
      <c r="E1832" s="158">
        <f>SUM(E1833:E1845)</f>
        <v>0</v>
      </c>
      <c r="F1832" s="158">
        <f>SUM(F1833:F1845)</f>
        <v>16732518.390000001</v>
      </c>
      <c r="G1832" s="158">
        <f>SUM(G1833:G1845)</f>
        <v>0</v>
      </c>
      <c r="H1832" s="154">
        <f t="shared" si="102"/>
        <v>16732518.390000001</v>
      </c>
      <c r="I1832" s="154">
        <f t="shared" si="103"/>
        <v>16732518.390000001</v>
      </c>
    </row>
    <row r="1833" spans="1:14" hidden="1">
      <c r="A1833" s="151">
        <f t="shared" si="101"/>
        <v>1</v>
      </c>
      <c r="B1833" s="151" t="s">
        <v>206</v>
      </c>
      <c r="C1833" s="159">
        <v>722101</v>
      </c>
      <c r="D1833" s="160" t="s">
        <v>1289</v>
      </c>
      <c r="E1833" s="161">
        <f>SUMIF(Lanç!$C$3:$C$114,C1833,Lanç!$F$3:$F$114)</f>
        <v>0</v>
      </c>
      <c r="F1833" s="161">
        <f>SUMIF(Lanç!$C$115:$C$6504,C1833,Lanç!$F$115:$F$6504)</f>
        <v>0</v>
      </c>
      <c r="G1833" s="161">
        <f>SUMIF(Lanç!$C$115:$C$6504,C1833,Lanç!$G$115:$G$6504)</f>
        <v>0</v>
      </c>
      <c r="H1833" s="162">
        <f t="shared" si="102"/>
        <v>0</v>
      </c>
      <c r="I1833" s="162">
        <f t="shared" si="103"/>
        <v>0</v>
      </c>
    </row>
    <row r="1834" spans="1:14" hidden="1">
      <c r="A1834" s="151">
        <f t="shared" si="101"/>
        <v>1</v>
      </c>
      <c r="B1834" s="151" t="s">
        <v>206</v>
      </c>
      <c r="C1834" s="159">
        <v>722102</v>
      </c>
      <c r="D1834" s="160" t="s">
        <v>1299</v>
      </c>
      <c r="E1834" s="161">
        <f>SUMIF(Lanç!$C$3:$C$114,C1834,Lanç!$F$3:$F$114)</f>
        <v>0</v>
      </c>
      <c r="F1834" s="161">
        <f>SUMIF(Lanç!$C$115:$C$6504,C1834,Lanç!$F$115:$F$6504)</f>
        <v>0</v>
      </c>
      <c r="G1834" s="161">
        <f>SUMIF(Lanç!$C$115:$C$6504,C1834,Lanç!$G$115:$G$6504)</f>
        <v>0</v>
      </c>
      <c r="H1834" s="162">
        <f t="shared" si="102"/>
        <v>0</v>
      </c>
      <c r="I1834" s="162">
        <f t="shared" si="103"/>
        <v>0</v>
      </c>
    </row>
    <row r="1835" spans="1:14" hidden="1">
      <c r="A1835" s="151">
        <f t="shared" si="101"/>
        <v>1</v>
      </c>
      <c r="B1835" s="151" t="s">
        <v>206</v>
      </c>
      <c r="C1835" s="159">
        <v>722103</v>
      </c>
      <c r="D1835" s="160" t="s">
        <v>1300</v>
      </c>
      <c r="E1835" s="161">
        <f>SUMIF(Lanç!$C$3:$C$114,C1835,Lanç!$F$3:$F$114)</f>
        <v>0</v>
      </c>
      <c r="F1835" s="161">
        <f>SUMIF(Lanç!$C$115:$C$6504,C1835,Lanç!$F$115:$F$6504)</f>
        <v>0</v>
      </c>
      <c r="G1835" s="161">
        <f>SUMIF(Lanç!$C$115:$C$6504,C1835,Lanç!$G$115:$G$6504)</f>
        <v>0</v>
      </c>
      <c r="H1835" s="162">
        <f t="shared" si="102"/>
        <v>0</v>
      </c>
      <c r="I1835" s="162">
        <f t="shared" si="103"/>
        <v>0</v>
      </c>
    </row>
    <row r="1836" spans="1:14" hidden="1">
      <c r="A1836" s="151">
        <f t="shared" si="101"/>
        <v>1</v>
      </c>
      <c r="B1836" s="151" t="s">
        <v>206</v>
      </c>
      <c r="C1836" s="159">
        <v>722104</v>
      </c>
      <c r="D1836" s="160" t="s">
        <v>1301</v>
      </c>
      <c r="E1836" s="161">
        <f>SUMIF(Lanç!$C$3:$C$114,C1836,Lanç!$F$3:$F$114)</f>
        <v>0</v>
      </c>
      <c r="F1836" s="161">
        <f>SUMIF(Lanç!$C$115:$C$6504,C1836,Lanç!$F$115:$F$6504)</f>
        <v>0</v>
      </c>
      <c r="G1836" s="161">
        <f>SUMIF(Lanç!$C$115:$C$6504,C1836,Lanç!$G$115:$G$6504)</f>
        <v>0</v>
      </c>
      <c r="H1836" s="162">
        <f t="shared" si="102"/>
        <v>0</v>
      </c>
      <c r="I1836" s="162">
        <f t="shared" si="103"/>
        <v>0</v>
      </c>
    </row>
    <row r="1837" spans="1:14">
      <c r="A1837" s="151">
        <f t="shared" si="101"/>
        <v>0</v>
      </c>
      <c r="B1837" s="151" t="s">
        <v>206</v>
      </c>
      <c r="C1837" s="159">
        <v>72211</v>
      </c>
      <c r="D1837" s="160" t="s">
        <v>1291</v>
      </c>
      <c r="E1837" s="161">
        <f>SUMIF(Lanç!$C$3:$C$114,C1837,Lanç!$F$3:$F$114)</f>
        <v>0</v>
      </c>
      <c r="F1837" s="161">
        <f>SUMIF(Lanç!$C$115:$C$6504,C1837,Lanç!$F$115:$F$6504)</f>
        <v>16732518.390000001</v>
      </c>
      <c r="G1837" s="161">
        <f>SUMIF(Lanç!$C$115:$C$6504,C1837,Lanç!$G$115:$G$6504)</f>
        <v>0</v>
      </c>
      <c r="H1837" s="162">
        <f t="shared" si="102"/>
        <v>16732518.390000001</v>
      </c>
      <c r="I1837" s="162">
        <f t="shared" si="103"/>
        <v>16732518.390000001</v>
      </c>
    </row>
    <row r="1838" spans="1:14" hidden="1">
      <c r="A1838" s="151">
        <f t="shared" si="101"/>
        <v>1</v>
      </c>
      <c r="B1838" s="151" t="s">
        <v>206</v>
      </c>
      <c r="C1838" s="159">
        <v>72212</v>
      </c>
      <c r="D1838" s="160" t="s">
        <v>1302</v>
      </c>
      <c r="E1838" s="161">
        <f>SUMIF(Lanç!$C$3:$C$114,C1838,Lanç!$F$3:$F$114)</f>
        <v>0</v>
      </c>
      <c r="F1838" s="161">
        <f>SUMIF(Lanç!$C$115:$C$6504,C1838,Lanç!$F$115:$F$6504)</f>
        <v>0</v>
      </c>
      <c r="G1838" s="161">
        <f>SUMIF(Lanç!$C$115:$C$6504,C1838,Lanç!$G$115:$G$6504)</f>
        <v>0</v>
      </c>
      <c r="H1838" s="162">
        <f t="shared" si="102"/>
        <v>0</v>
      </c>
      <c r="I1838" s="162">
        <f t="shared" si="103"/>
        <v>0</v>
      </c>
    </row>
    <row r="1839" spans="1:14" hidden="1">
      <c r="A1839" s="151">
        <f t="shared" si="101"/>
        <v>1</v>
      </c>
      <c r="B1839" s="151" t="s">
        <v>206</v>
      </c>
      <c r="C1839" s="159">
        <v>72213</v>
      </c>
      <c r="D1839" s="160" t="s">
        <v>1292</v>
      </c>
      <c r="E1839" s="161">
        <f>SUMIF(Lanç!$C$3:$C$114,C1839,Lanç!$F$3:$F$114)</f>
        <v>0</v>
      </c>
      <c r="F1839" s="161">
        <f>SUMIF(Lanç!$C$115:$C$6504,C1839,Lanç!$F$115:$F$6504)</f>
        <v>0</v>
      </c>
      <c r="G1839" s="161">
        <f>SUMIF(Lanç!$C$115:$C$6504,C1839,Lanç!$G$115:$G$6504)</f>
        <v>0</v>
      </c>
      <c r="H1839" s="162">
        <f t="shared" si="102"/>
        <v>0</v>
      </c>
      <c r="I1839" s="162">
        <f t="shared" si="103"/>
        <v>0</v>
      </c>
    </row>
    <row r="1840" spans="1:14" hidden="1">
      <c r="A1840" s="151">
        <f t="shared" si="101"/>
        <v>1</v>
      </c>
      <c r="B1840" s="151" t="s">
        <v>206</v>
      </c>
      <c r="C1840" s="159">
        <v>72214</v>
      </c>
      <c r="D1840" s="160" t="s">
        <v>1293</v>
      </c>
      <c r="E1840" s="161">
        <f>SUMIF(Lanç!$C$3:$C$114,C1840,Lanç!$F$3:$F$114)</f>
        <v>0</v>
      </c>
      <c r="F1840" s="161">
        <f>SUMIF(Lanç!$C$115:$C$6504,C1840,Lanç!$F$115:$F$6504)</f>
        <v>0</v>
      </c>
      <c r="G1840" s="161">
        <f>SUMIF(Lanç!$C$115:$C$6504,C1840,Lanç!$G$115:$G$6504)</f>
        <v>0</v>
      </c>
      <c r="H1840" s="162">
        <f t="shared" si="102"/>
        <v>0</v>
      </c>
      <c r="I1840" s="162">
        <f t="shared" si="103"/>
        <v>0</v>
      </c>
    </row>
    <row r="1841" spans="1:14" hidden="1">
      <c r="A1841" s="151">
        <f t="shared" si="101"/>
        <v>1</v>
      </c>
      <c r="B1841" s="151" t="s">
        <v>206</v>
      </c>
      <c r="C1841" s="159">
        <v>72215</v>
      </c>
      <c r="D1841" s="160" t="s">
        <v>1294</v>
      </c>
      <c r="E1841" s="161">
        <f>SUMIF(Lanç!$C$3:$C$114,C1841,Lanç!$F$3:$F$114)</f>
        <v>0</v>
      </c>
      <c r="F1841" s="161">
        <f>SUMIF(Lanç!$C$115:$C$6504,C1841,Lanç!$F$115:$F$6504)</f>
        <v>0</v>
      </c>
      <c r="G1841" s="161">
        <f>SUMIF(Lanç!$C$115:$C$6504,C1841,Lanç!$G$115:$G$6504)</f>
        <v>0</v>
      </c>
      <c r="H1841" s="162">
        <f t="shared" si="102"/>
        <v>0</v>
      </c>
      <c r="I1841" s="162">
        <f t="shared" si="103"/>
        <v>0</v>
      </c>
    </row>
    <row r="1842" spans="1:14" hidden="1">
      <c r="A1842" s="151">
        <f t="shared" si="101"/>
        <v>1</v>
      </c>
      <c r="B1842" s="151" t="s">
        <v>206</v>
      </c>
      <c r="C1842" s="159">
        <v>72216</v>
      </c>
      <c r="D1842" s="160" t="s">
        <v>1295</v>
      </c>
      <c r="E1842" s="161">
        <f>SUMIF(Lanç!$C$3:$C$114,C1842,Lanç!$F$3:$F$114)</f>
        <v>0</v>
      </c>
      <c r="F1842" s="161">
        <f>SUMIF(Lanç!$C$115:$C$6504,C1842,Lanç!$F$115:$F$6504)</f>
        <v>0</v>
      </c>
      <c r="G1842" s="161">
        <f>SUMIF(Lanç!$C$115:$C$6504,C1842,Lanç!$G$115:$G$6504)</f>
        <v>0</v>
      </c>
      <c r="H1842" s="162">
        <f t="shared" si="102"/>
        <v>0</v>
      </c>
      <c r="I1842" s="162">
        <f t="shared" si="103"/>
        <v>0</v>
      </c>
    </row>
    <row r="1843" spans="1:14" hidden="1">
      <c r="A1843" s="151">
        <f t="shared" si="101"/>
        <v>1</v>
      </c>
      <c r="B1843" s="151" t="s">
        <v>206</v>
      </c>
      <c r="C1843" s="159">
        <v>72217</v>
      </c>
      <c r="D1843" s="160" t="s">
        <v>1303</v>
      </c>
      <c r="E1843" s="161">
        <f>SUMIF(Lanç!$C$3:$C$114,C1843,Lanç!$F$3:$F$114)</f>
        <v>0</v>
      </c>
      <c r="F1843" s="161">
        <f>SUMIF(Lanç!$C$115:$C$6504,C1843,Lanç!$F$115:$F$6504)</f>
        <v>0</v>
      </c>
      <c r="G1843" s="161">
        <f>SUMIF(Lanç!$C$115:$C$6504,C1843,Lanç!$G$115:$G$6504)</f>
        <v>0</v>
      </c>
      <c r="H1843" s="162">
        <f t="shared" si="102"/>
        <v>0</v>
      </c>
      <c r="I1843" s="162">
        <f t="shared" si="103"/>
        <v>0</v>
      </c>
    </row>
    <row r="1844" spans="1:14" hidden="1">
      <c r="A1844" s="151">
        <f t="shared" si="101"/>
        <v>1</v>
      </c>
      <c r="B1844" s="151" t="s">
        <v>206</v>
      </c>
      <c r="C1844" s="159">
        <v>72218</v>
      </c>
      <c r="D1844" s="160" t="s">
        <v>1304</v>
      </c>
      <c r="E1844" s="161">
        <f>SUMIF(Lanç!$C$3:$C$114,C1844,Lanç!$F$3:$F$114)</f>
        <v>0</v>
      </c>
      <c r="F1844" s="161">
        <f>SUMIF(Lanç!$C$115:$C$6504,C1844,Lanç!$F$115:$F$6504)</f>
        <v>0</v>
      </c>
      <c r="G1844" s="161">
        <f>SUMIF(Lanç!$C$115:$C$6504,C1844,Lanç!$G$115:$G$6504)</f>
        <v>0</v>
      </c>
      <c r="H1844" s="162">
        <f t="shared" si="102"/>
        <v>0</v>
      </c>
      <c r="I1844" s="162">
        <f t="shared" si="103"/>
        <v>0</v>
      </c>
    </row>
    <row r="1845" spans="1:14" hidden="1">
      <c r="A1845" s="151">
        <f t="shared" si="101"/>
        <v>1</v>
      </c>
      <c r="B1845" s="151" t="s">
        <v>206</v>
      </c>
      <c r="C1845" s="159">
        <v>72219</v>
      </c>
      <c r="D1845" s="160" t="s">
        <v>1305</v>
      </c>
      <c r="E1845" s="161">
        <f>SUMIF(Lanç!$C$3:$C$114,C1845,Lanç!$F$3:$F$114)</f>
        <v>0</v>
      </c>
      <c r="F1845" s="161">
        <f>SUMIF(Lanç!$C$115:$C$6504,C1845,Lanç!$F$115:$F$6504)</f>
        <v>0</v>
      </c>
      <c r="G1845" s="161">
        <f>SUMIF(Lanç!$C$115:$C$6504,C1845,Lanç!$G$115:$G$6504)</f>
        <v>0</v>
      </c>
      <c r="H1845" s="162">
        <f t="shared" si="102"/>
        <v>0</v>
      </c>
      <c r="I1845" s="162">
        <f t="shared" si="103"/>
        <v>0</v>
      </c>
      <c r="J1845" s="1"/>
      <c r="K1845" s="1"/>
      <c r="L1845" s="1"/>
      <c r="M1845" s="1"/>
      <c r="N1845" s="1"/>
    </row>
    <row r="1846" spans="1:14">
      <c r="A1846" s="151">
        <f t="shared" si="101"/>
        <v>0</v>
      </c>
      <c r="B1846" s="155" t="s">
        <v>204</v>
      </c>
      <c r="C1846" s="156">
        <v>7222</v>
      </c>
      <c r="D1846" s="157" t="s">
        <v>1306</v>
      </c>
      <c r="E1846" s="158">
        <f>SUM(E1847:E1857)</f>
        <v>0</v>
      </c>
      <c r="F1846" s="158">
        <f>SUM(F1847:F1857)</f>
        <v>9174296.7500000019</v>
      </c>
      <c r="G1846" s="158">
        <f>SUM(G1847:G1857)</f>
        <v>0</v>
      </c>
      <c r="H1846" s="154">
        <f t="shared" si="102"/>
        <v>9174296.7500000019</v>
      </c>
      <c r="I1846" s="154">
        <f t="shared" si="103"/>
        <v>9174296.7500000019</v>
      </c>
    </row>
    <row r="1847" spans="1:14" hidden="1">
      <c r="A1847" s="151">
        <f t="shared" si="101"/>
        <v>1</v>
      </c>
      <c r="B1847" s="151" t="s">
        <v>206</v>
      </c>
      <c r="C1847" s="159">
        <v>722201</v>
      </c>
      <c r="D1847" s="160" t="s">
        <v>1289</v>
      </c>
      <c r="E1847" s="161">
        <f>SUMIF(Lanç!$C$3:$C$114,C1847,Lanç!$F$3:$F$114)</f>
        <v>0</v>
      </c>
      <c r="F1847" s="161">
        <f>SUMIF(Lanç!$C$115:$C$6504,C1847,Lanç!$F$115:$F$6504)</f>
        <v>0</v>
      </c>
      <c r="G1847" s="161">
        <f>SUMIF(Lanç!$C$115:$C$6504,C1847,Lanç!$G$115:$G$6504)</f>
        <v>0</v>
      </c>
      <c r="H1847" s="162">
        <f t="shared" si="102"/>
        <v>0</v>
      </c>
      <c r="I1847" s="162">
        <f t="shared" si="103"/>
        <v>0</v>
      </c>
    </row>
    <row r="1848" spans="1:14" hidden="1">
      <c r="A1848" s="151">
        <f t="shared" si="101"/>
        <v>1</v>
      </c>
      <c r="B1848" s="151" t="s">
        <v>206</v>
      </c>
      <c r="C1848" s="159">
        <v>722202</v>
      </c>
      <c r="D1848" s="160" t="s">
        <v>1301</v>
      </c>
      <c r="E1848" s="161">
        <f>SUMIF(Lanç!$C$3:$C$114,C1848,Lanç!$F$3:$F$114)</f>
        <v>0</v>
      </c>
      <c r="F1848" s="161">
        <f>SUMIF(Lanç!$C$115:$C$6504,C1848,Lanç!$F$115:$F$6504)</f>
        <v>0</v>
      </c>
      <c r="G1848" s="161">
        <f>SUMIF(Lanç!$C$115:$C$6504,C1848,Lanç!$G$115:$G$6504)</f>
        <v>0</v>
      </c>
      <c r="H1848" s="162">
        <f t="shared" si="102"/>
        <v>0</v>
      </c>
      <c r="I1848" s="162">
        <f t="shared" si="103"/>
        <v>0</v>
      </c>
    </row>
    <row r="1849" spans="1:14">
      <c r="A1849" s="151">
        <f t="shared" si="101"/>
        <v>0</v>
      </c>
      <c r="B1849" s="151" t="s">
        <v>206</v>
      </c>
      <c r="C1849" s="159">
        <v>72221</v>
      </c>
      <c r="D1849" s="160" t="s">
        <v>1291</v>
      </c>
      <c r="E1849" s="161">
        <f>SUMIF(Lanç!$C$3:$C$114,C1849,Lanç!$F$3:$F$114)</f>
        <v>0</v>
      </c>
      <c r="F1849" s="161">
        <f>SUMIF(Lanç!$C$115:$C$6504,C1849,Lanç!$F$115:$F$6504)</f>
        <v>9174296.7500000019</v>
      </c>
      <c r="G1849" s="161">
        <f>SUMIF(Lanç!$C$115:$C$6504,C1849,Lanç!$G$115:$G$6504)</f>
        <v>0</v>
      </c>
      <c r="H1849" s="162">
        <f t="shared" si="102"/>
        <v>9174296.7500000019</v>
      </c>
      <c r="I1849" s="162">
        <f t="shared" si="103"/>
        <v>9174296.7500000019</v>
      </c>
    </row>
    <row r="1850" spans="1:14" hidden="1">
      <c r="A1850" s="151">
        <f t="shared" si="101"/>
        <v>1</v>
      </c>
      <c r="B1850" s="151" t="s">
        <v>206</v>
      </c>
      <c r="C1850" s="159">
        <v>72222</v>
      </c>
      <c r="D1850" s="160" t="s">
        <v>1302</v>
      </c>
      <c r="E1850" s="161">
        <f>SUMIF(Lanç!$C$3:$C$114,C1850,Lanç!$F$3:$F$114)</f>
        <v>0</v>
      </c>
      <c r="F1850" s="161">
        <f>SUMIF(Lanç!$C$115:$C$6504,C1850,Lanç!$F$115:$F$6504)</f>
        <v>0</v>
      </c>
      <c r="G1850" s="161">
        <f>SUMIF(Lanç!$C$115:$C$6504,C1850,Lanç!$G$115:$G$6504)</f>
        <v>0</v>
      </c>
      <c r="H1850" s="162">
        <f t="shared" si="102"/>
        <v>0</v>
      </c>
      <c r="I1850" s="162">
        <f t="shared" si="103"/>
        <v>0</v>
      </c>
    </row>
    <row r="1851" spans="1:14" hidden="1">
      <c r="A1851" s="151">
        <f t="shared" si="101"/>
        <v>1</v>
      </c>
      <c r="B1851" s="151" t="s">
        <v>206</v>
      </c>
      <c r="C1851" s="159">
        <v>72223</v>
      </c>
      <c r="D1851" s="160" t="s">
        <v>1292</v>
      </c>
      <c r="E1851" s="161">
        <f>SUMIF(Lanç!$C$3:$C$114,C1851,Lanç!$F$3:$F$114)</f>
        <v>0</v>
      </c>
      <c r="F1851" s="161">
        <f>SUMIF(Lanç!$C$115:$C$6504,C1851,Lanç!$F$115:$F$6504)</f>
        <v>0</v>
      </c>
      <c r="G1851" s="161">
        <f>SUMIF(Lanç!$C$115:$C$6504,C1851,Lanç!$G$115:$G$6504)</f>
        <v>0</v>
      </c>
      <c r="H1851" s="162">
        <f t="shared" si="102"/>
        <v>0</v>
      </c>
      <c r="I1851" s="162">
        <f t="shared" si="103"/>
        <v>0</v>
      </c>
    </row>
    <row r="1852" spans="1:14" hidden="1">
      <c r="A1852" s="151">
        <f t="shared" si="101"/>
        <v>1</v>
      </c>
      <c r="B1852" s="151" t="s">
        <v>206</v>
      </c>
      <c r="C1852" s="159">
        <v>72224</v>
      </c>
      <c r="D1852" s="160" t="s">
        <v>1293</v>
      </c>
      <c r="E1852" s="161">
        <f>SUMIF(Lanç!$C$3:$C$114,C1852,Lanç!$F$3:$F$114)</f>
        <v>0</v>
      </c>
      <c r="F1852" s="161">
        <f>SUMIF(Lanç!$C$115:$C$6504,C1852,Lanç!$F$115:$F$6504)</f>
        <v>0</v>
      </c>
      <c r="G1852" s="161">
        <f>SUMIF(Lanç!$C$115:$C$6504,C1852,Lanç!$G$115:$G$6504)</f>
        <v>0</v>
      </c>
      <c r="H1852" s="162">
        <f t="shared" si="102"/>
        <v>0</v>
      </c>
      <c r="I1852" s="162">
        <f t="shared" si="103"/>
        <v>0</v>
      </c>
    </row>
    <row r="1853" spans="1:14" hidden="1">
      <c r="A1853" s="151">
        <f t="shared" si="101"/>
        <v>1</v>
      </c>
      <c r="B1853" s="151" t="s">
        <v>206</v>
      </c>
      <c r="C1853" s="159">
        <v>72225</v>
      </c>
      <c r="D1853" s="160" t="s">
        <v>1294</v>
      </c>
      <c r="E1853" s="161">
        <f>SUMIF(Lanç!$C$3:$C$114,C1853,Lanç!$F$3:$F$114)</f>
        <v>0</v>
      </c>
      <c r="F1853" s="161">
        <f>SUMIF(Lanç!$C$115:$C$6504,C1853,Lanç!$F$115:$F$6504)</f>
        <v>0</v>
      </c>
      <c r="G1853" s="161">
        <f>SUMIF(Lanç!$C$115:$C$6504,C1853,Lanç!$G$115:$G$6504)</f>
        <v>0</v>
      </c>
      <c r="H1853" s="162">
        <f t="shared" si="102"/>
        <v>0</v>
      </c>
      <c r="I1853" s="162">
        <f t="shared" si="103"/>
        <v>0</v>
      </c>
    </row>
    <row r="1854" spans="1:14" hidden="1">
      <c r="A1854" s="151">
        <f t="shared" si="101"/>
        <v>1</v>
      </c>
      <c r="B1854" s="151" t="s">
        <v>206</v>
      </c>
      <c r="C1854" s="159">
        <v>72226</v>
      </c>
      <c r="D1854" s="160" t="s">
        <v>1295</v>
      </c>
      <c r="E1854" s="161">
        <f>SUMIF(Lanç!$C$3:$C$114,C1854,Lanç!$F$3:$F$114)</f>
        <v>0</v>
      </c>
      <c r="F1854" s="161">
        <f>SUMIF(Lanç!$C$115:$C$6504,C1854,Lanç!$F$115:$F$6504)</f>
        <v>0</v>
      </c>
      <c r="G1854" s="161">
        <f>SUMIF(Lanç!$C$115:$C$6504,C1854,Lanç!$G$115:$G$6504)</f>
        <v>0</v>
      </c>
      <c r="H1854" s="162">
        <f t="shared" si="102"/>
        <v>0</v>
      </c>
      <c r="I1854" s="162">
        <f t="shared" si="103"/>
        <v>0</v>
      </c>
    </row>
    <row r="1855" spans="1:14" hidden="1">
      <c r="A1855" s="151">
        <f t="shared" si="101"/>
        <v>1</v>
      </c>
      <c r="B1855" s="151" t="s">
        <v>206</v>
      </c>
      <c r="C1855" s="159">
        <v>72227</v>
      </c>
      <c r="D1855" s="160" t="s">
        <v>1307</v>
      </c>
      <c r="E1855" s="161">
        <f>SUMIF(Lanç!$C$3:$C$114,C1855,Lanç!$F$3:$F$114)</f>
        <v>0</v>
      </c>
      <c r="F1855" s="161">
        <f>SUMIF(Lanç!$C$115:$C$6504,C1855,Lanç!$F$115:$F$6504)</f>
        <v>0</v>
      </c>
      <c r="G1855" s="161">
        <f>SUMIF(Lanç!$C$115:$C$6504,C1855,Lanç!$G$115:$G$6504)</f>
        <v>0</v>
      </c>
      <c r="H1855" s="162">
        <f t="shared" si="102"/>
        <v>0</v>
      </c>
      <c r="I1855" s="162">
        <f t="shared" si="103"/>
        <v>0</v>
      </c>
    </row>
    <row r="1856" spans="1:14" hidden="1">
      <c r="A1856" s="151">
        <f t="shared" si="101"/>
        <v>1</v>
      </c>
      <c r="B1856" s="151" t="s">
        <v>206</v>
      </c>
      <c r="C1856" s="159">
        <v>72228</v>
      </c>
      <c r="D1856" s="160" t="s">
        <v>1304</v>
      </c>
      <c r="E1856" s="161">
        <f>SUMIF(Lanç!$C$3:$C$114,C1856,Lanç!$F$3:$F$114)</f>
        <v>0</v>
      </c>
      <c r="F1856" s="161">
        <f>SUMIF(Lanç!$C$115:$C$6504,C1856,Lanç!$F$115:$F$6504)</f>
        <v>0</v>
      </c>
      <c r="G1856" s="161">
        <f>SUMIF(Lanç!$C$115:$C$6504,C1856,Lanç!$G$115:$G$6504)</f>
        <v>0</v>
      </c>
      <c r="H1856" s="162">
        <f t="shared" si="102"/>
        <v>0</v>
      </c>
      <c r="I1856" s="162">
        <f t="shared" si="103"/>
        <v>0</v>
      </c>
    </row>
    <row r="1857" spans="1:14" hidden="1">
      <c r="A1857" s="151">
        <f t="shared" si="101"/>
        <v>1</v>
      </c>
      <c r="B1857" s="151" t="s">
        <v>206</v>
      </c>
      <c r="C1857" s="159">
        <v>72229</v>
      </c>
      <c r="D1857" s="160" t="s">
        <v>1308</v>
      </c>
      <c r="E1857" s="161">
        <f>SUMIF(Lanç!$C$3:$C$114,C1857,Lanç!$F$3:$F$114)</f>
        <v>0</v>
      </c>
      <c r="F1857" s="161">
        <f>SUMIF(Lanç!$C$115:$C$6504,C1857,Lanç!$F$115:$F$6504)</f>
        <v>0</v>
      </c>
      <c r="G1857" s="161">
        <f>SUMIF(Lanç!$C$115:$C$6504,C1857,Lanç!$G$115:$G$6504)</f>
        <v>0</v>
      </c>
      <c r="H1857" s="162">
        <f t="shared" si="102"/>
        <v>0</v>
      </c>
      <c r="I1857" s="162">
        <f t="shared" si="103"/>
        <v>0</v>
      </c>
      <c r="J1857" s="1"/>
      <c r="K1857" s="1"/>
      <c r="L1857" s="1"/>
      <c r="M1857" s="1"/>
      <c r="N1857" s="1"/>
    </row>
    <row r="1858" spans="1:14" hidden="1">
      <c r="A1858" s="151">
        <f t="shared" si="101"/>
        <v>1</v>
      </c>
      <c r="B1858" s="155" t="s">
        <v>204</v>
      </c>
      <c r="C1858" s="156">
        <v>7223</v>
      </c>
      <c r="D1858" s="157" t="s">
        <v>1309</v>
      </c>
      <c r="E1858" s="158">
        <f>SUM(E1859:E1864)</f>
        <v>0</v>
      </c>
      <c r="F1858" s="158">
        <f>SUM(F1859:F1864)</f>
        <v>0</v>
      </c>
      <c r="G1858" s="158">
        <f>SUM(G1859:G1864)</f>
        <v>0</v>
      </c>
      <c r="H1858" s="154">
        <f t="shared" si="102"/>
        <v>0</v>
      </c>
      <c r="I1858" s="154">
        <f t="shared" si="103"/>
        <v>0</v>
      </c>
      <c r="J1858" s="1"/>
      <c r="K1858" s="1"/>
      <c r="L1858" s="1"/>
      <c r="M1858" s="1"/>
      <c r="N1858" s="1"/>
    </row>
    <row r="1859" spans="1:14" hidden="1">
      <c r="A1859" s="151">
        <f t="shared" si="101"/>
        <v>1</v>
      </c>
      <c r="B1859" s="151" t="s">
        <v>206</v>
      </c>
      <c r="C1859" s="159">
        <v>722301</v>
      </c>
      <c r="D1859" s="160" t="s">
        <v>1310</v>
      </c>
      <c r="E1859" s="161">
        <f>SUMIF(Lanç!$C$3:$C$114,C1859,Lanç!$F$3:$F$114)</f>
        <v>0</v>
      </c>
      <c r="F1859" s="161">
        <f>SUMIF(Lanç!$C$115:$C$6504,C1859,Lanç!$F$115:$F$6504)</f>
        <v>0</v>
      </c>
      <c r="G1859" s="161">
        <f>SUMIF(Lanç!$C$115:$C$6504,C1859,Lanç!$G$115:$G$6504)</f>
        <v>0</v>
      </c>
      <c r="H1859" s="162">
        <f t="shared" si="102"/>
        <v>0</v>
      </c>
      <c r="I1859" s="162">
        <f t="shared" si="103"/>
        <v>0</v>
      </c>
      <c r="J1859" s="1"/>
      <c r="K1859" s="1"/>
      <c r="L1859" s="1"/>
      <c r="M1859" s="1"/>
      <c r="N1859" s="1"/>
    </row>
    <row r="1860" spans="1:14" hidden="1">
      <c r="A1860" s="151">
        <f t="shared" si="101"/>
        <v>1</v>
      </c>
      <c r="B1860" s="151" t="s">
        <v>206</v>
      </c>
      <c r="C1860" s="159">
        <v>722302</v>
      </c>
      <c r="D1860" s="160" t="s">
        <v>153</v>
      </c>
      <c r="E1860" s="161">
        <f>SUMIF(Lanç!$C$3:$C$114,C1860,Lanç!$F$3:$F$114)</f>
        <v>0</v>
      </c>
      <c r="F1860" s="161">
        <f>SUMIF(Lanç!$C$115:$C$6504,C1860,Lanç!$F$115:$F$6504)</f>
        <v>0</v>
      </c>
      <c r="G1860" s="161">
        <f>SUMIF(Lanç!$C$115:$C$6504,C1860,Lanç!$G$115:$G$6504)</f>
        <v>0</v>
      </c>
      <c r="H1860" s="162">
        <f t="shared" si="102"/>
        <v>0</v>
      </c>
      <c r="I1860" s="162">
        <f t="shared" si="103"/>
        <v>0</v>
      </c>
      <c r="J1860" s="1"/>
      <c r="K1860" s="1"/>
      <c r="L1860" s="1"/>
      <c r="M1860" s="1"/>
      <c r="N1860" s="1"/>
    </row>
    <row r="1861" spans="1:14" hidden="1">
      <c r="A1861" s="151">
        <f t="shared" si="101"/>
        <v>1</v>
      </c>
      <c r="B1861" s="151" t="s">
        <v>206</v>
      </c>
      <c r="C1861" s="159">
        <v>72231</v>
      </c>
      <c r="D1861" s="160" t="s">
        <v>1291</v>
      </c>
      <c r="E1861" s="161">
        <f>SUMIF(Lanç!$C$3:$C$114,C1861,Lanç!$F$3:$F$114)</f>
        <v>0</v>
      </c>
      <c r="F1861" s="161">
        <f>SUMIF(Lanç!$C$115:$C$6504,C1861,Lanç!$F$115:$F$6504)</f>
        <v>0</v>
      </c>
      <c r="G1861" s="161">
        <f>SUMIF(Lanç!$C$115:$C$6504,C1861,Lanç!$G$115:$G$6504)</f>
        <v>0</v>
      </c>
      <c r="H1861" s="162">
        <f t="shared" si="102"/>
        <v>0</v>
      </c>
      <c r="I1861" s="162">
        <f t="shared" si="103"/>
        <v>0</v>
      </c>
      <c r="J1861" s="1"/>
      <c r="K1861" s="1"/>
      <c r="L1861" s="1"/>
      <c r="M1861" s="1"/>
      <c r="N1861" s="1"/>
    </row>
    <row r="1862" spans="1:14" hidden="1">
      <c r="A1862" s="151">
        <f t="shared" si="101"/>
        <v>1</v>
      </c>
      <c r="B1862" s="151" t="s">
        <v>206</v>
      </c>
      <c r="C1862" s="159">
        <v>72232</v>
      </c>
      <c r="D1862" s="160" t="s">
        <v>1302</v>
      </c>
      <c r="E1862" s="161">
        <f>SUMIF(Lanç!$C$3:$C$114,C1862,Lanç!$F$3:$F$114)</f>
        <v>0</v>
      </c>
      <c r="F1862" s="161">
        <f>SUMIF(Lanç!$C$115:$C$6504,C1862,Lanç!$F$115:$F$6504)</f>
        <v>0</v>
      </c>
      <c r="G1862" s="161">
        <f>SUMIF(Lanç!$C$115:$C$6504,C1862,Lanç!$G$115:$G$6504)</f>
        <v>0</v>
      </c>
      <c r="H1862" s="162">
        <f t="shared" si="102"/>
        <v>0</v>
      </c>
      <c r="I1862" s="162">
        <f t="shared" si="103"/>
        <v>0</v>
      </c>
      <c r="J1862" s="1"/>
      <c r="K1862" s="1"/>
      <c r="L1862" s="1"/>
      <c r="M1862" s="1"/>
      <c r="N1862" s="1"/>
    </row>
    <row r="1863" spans="1:14" hidden="1">
      <c r="A1863" s="151">
        <f t="shared" si="101"/>
        <v>1</v>
      </c>
      <c r="B1863" s="151" t="s">
        <v>206</v>
      </c>
      <c r="C1863" s="159">
        <v>72233</v>
      </c>
      <c r="D1863" s="160" t="s">
        <v>1292</v>
      </c>
      <c r="E1863" s="161">
        <f>SUMIF(Lanç!$C$3:$C$114,C1863,Lanç!$F$3:$F$114)</f>
        <v>0</v>
      </c>
      <c r="F1863" s="161">
        <f>SUMIF(Lanç!$C$115:$C$6504,C1863,Lanç!$F$115:$F$6504)</f>
        <v>0</v>
      </c>
      <c r="G1863" s="161">
        <f>SUMIF(Lanç!$C$115:$C$6504,C1863,Lanç!$G$115:$G$6504)</f>
        <v>0</v>
      </c>
      <c r="H1863" s="162">
        <f t="shared" si="102"/>
        <v>0</v>
      </c>
      <c r="I1863" s="162">
        <f t="shared" si="103"/>
        <v>0</v>
      </c>
      <c r="J1863" s="1"/>
      <c r="K1863" s="1"/>
      <c r="L1863" s="1"/>
      <c r="M1863" s="1"/>
      <c r="N1863" s="1"/>
    </row>
    <row r="1864" spans="1:14" hidden="1">
      <c r="A1864" s="151">
        <f t="shared" si="101"/>
        <v>1</v>
      </c>
      <c r="B1864" s="151" t="s">
        <v>206</v>
      </c>
      <c r="C1864" s="159">
        <v>72234</v>
      </c>
      <c r="D1864" s="160" t="s">
        <v>1293</v>
      </c>
      <c r="E1864" s="161">
        <f>SUMIF(Lanç!$C$3:$C$114,C1864,Lanç!$F$3:$F$114)</f>
        <v>0</v>
      </c>
      <c r="F1864" s="161">
        <f>SUMIF(Lanç!$C$115:$C$6504,C1864,Lanç!$F$115:$F$6504)</f>
        <v>0</v>
      </c>
      <c r="G1864" s="161">
        <f>SUMIF(Lanç!$C$115:$C$6504,C1864,Lanç!$G$115:$G$6504)</f>
        <v>0</v>
      </c>
      <c r="H1864" s="162">
        <f t="shared" si="102"/>
        <v>0</v>
      </c>
      <c r="I1864" s="162">
        <f t="shared" si="103"/>
        <v>0</v>
      </c>
      <c r="J1864" s="1"/>
      <c r="K1864" s="1"/>
      <c r="L1864" s="1"/>
      <c r="M1864" s="1"/>
      <c r="N1864" s="1"/>
    </row>
    <row r="1865" spans="1:14" hidden="1">
      <c r="A1865" s="151">
        <f t="shared" si="101"/>
        <v>1</v>
      </c>
      <c r="B1865" s="155" t="s">
        <v>204</v>
      </c>
      <c r="C1865" s="156">
        <v>723</v>
      </c>
      <c r="D1865" s="157" t="s">
        <v>1238</v>
      </c>
      <c r="E1865" s="158">
        <f>SUM(E1866,E1868)</f>
        <v>0</v>
      </c>
      <c r="F1865" s="158">
        <f>SUM(F1866,F1868)</f>
        <v>0</v>
      </c>
      <c r="G1865" s="158">
        <f>SUM(G1866,G1868)</f>
        <v>0</v>
      </c>
      <c r="H1865" s="154">
        <f t="shared" si="102"/>
        <v>0</v>
      </c>
      <c r="I1865" s="154">
        <f t="shared" si="103"/>
        <v>0</v>
      </c>
    </row>
    <row r="1866" spans="1:14" hidden="1">
      <c r="A1866" s="151">
        <f t="shared" si="101"/>
        <v>1</v>
      </c>
      <c r="B1866" s="155" t="s">
        <v>204</v>
      </c>
      <c r="C1866" s="156">
        <v>7231</v>
      </c>
      <c r="D1866" s="157" t="s">
        <v>1311</v>
      </c>
      <c r="E1866" s="158">
        <f>SUM(E1867)</f>
        <v>0</v>
      </c>
      <c r="F1866" s="158">
        <f>SUM(F1867)</f>
        <v>0</v>
      </c>
      <c r="G1866" s="158">
        <f>SUM(G1867)</f>
        <v>0</v>
      </c>
      <c r="H1866" s="154">
        <f t="shared" si="102"/>
        <v>0</v>
      </c>
      <c r="I1866" s="154">
        <f t="shared" si="103"/>
        <v>0</v>
      </c>
    </row>
    <row r="1867" spans="1:14" hidden="1">
      <c r="A1867" s="151">
        <f t="shared" si="101"/>
        <v>1</v>
      </c>
      <c r="B1867" s="151" t="s">
        <v>206</v>
      </c>
      <c r="C1867" s="159">
        <v>7231</v>
      </c>
      <c r="D1867" s="160" t="s">
        <v>1311</v>
      </c>
      <c r="E1867" s="161">
        <f>SUMIF(Lanç!$C$3:$C$114,C1867,Lanç!$F$3:$F$114)</f>
        <v>0</v>
      </c>
      <c r="F1867" s="161">
        <f>SUMIF(Lanç!$C$115:$C$6504,C1867,Lanç!$F$115:$F$6504)</f>
        <v>0</v>
      </c>
      <c r="G1867" s="161">
        <f>SUMIF(Lanç!$C$115:$C$6504,C1867,Lanç!$G$115:$G$6504)</f>
        <v>0</v>
      </c>
      <c r="H1867" s="162">
        <f t="shared" si="102"/>
        <v>0</v>
      </c>
      <c r="I1867" s="162">
        <f t="shared" si="103"/>
        <v>0</v>
      </c>
      <c r="J1867" s="1"/>
      <c r="K1867" s="1"/>
      <c r="L1867" s="1"/>
      <c r="M1867" s="1"/>
      <c r="N1867" s="1"/>
    </row>
    <row r="1868" spans="1:14" hidden="1">
      <c r="A1868" s="151">
        <f t="shared" si="101"/>
        <v>1</v>
      </c>
      <c r="B1868" s="155" t="s">
        <v>204</v>
      </c>
      <c r="C1868" s="156">
        <v>7232</v>
      </c>
      <c r="D1868" s="157" t="s">
        <v>1312</v>
      </c>
      <c r="E1868" s="158">
        <f>SUM(E1869)</f>
        <v>0</v>
      </c>
      <c r="F1868" s="158">
        <f>SUM(F1869)</f>
        <v>0</v>
      </c>
      <c r="G1868" s="158">
        <f>SUM(G1869)</f>
        <v>0</v>
      </c>
      <c r="H1868" s="154">
        <f t="shared" si="102"/>
        <v>0</v>
      </c>
      <c r="I1868" s="154">
        <f t="shared" si="103"/>
        <v>0</v>
      </c>
    </row>
    <row r="1869" spans="1:14" hidden="1">
      <c r="A1869" s="151">
        <f t="shared" si="101"/>
        <v>1</v>
      </c>
      <c r="B1869" s="151" t="s">
        <v>206</v>
      </c>
      <c r="C1869" s="159">
        <v>72321</v>
      </c>
      <c r="D1869" s="160" t="s">
        <v>1313</v>
      </c>
      <c r="E1869" s="161">
        <f>SUMIF(Lanç!$C$3:$C$114,C1869,Lanç!$F$3:$F$114)</f>
        <v>0</v>
      </c>
      <c r="F1869" s="161">
        <f>SUMIF(Lanç!$C$115:$C$6504,C1869,Lanç!$F$115:$F$6504)</f>
        <v>0</v>
      </c>
      <c r="G1869" s="161">
        <f>SUMIF(Lanç!$C$115:$C$6504,C1869,Lanç!$G$115:$G$6504)</f>
        <v>0</v>
      </c>
      <c r="H1869" s="162">
        <f t="shared" si="102"/>
        <v>0</v>
      </c>
      <c r="I1869" s="162">
        <f t="shared" si="103"/>
        <v>0</v>
      </c>
    </row>
    <row r="1870" spans="1:14" hidden="1">
      <c r="A1870" s="151">
        <f t="shared" si="101"/>
        <v>1</v>
      </c>
      <c r="B1870" s="151" t="s">
        <v>206</v>
      </c>
      <c r="C1870" s="159">
        <v>72322</v>
      </c>
      <c r="D1870" s="160" t="s">
        <v>1314</v>
      </c>
      <c r="E1870" s="161">
        <f>SUMIF(Lanç!$C$3:$C$114,C1870,Lanç!$F$3:$F$114)</f>
        <v>0</v>
      </c>
      <c r="F1870" s="161">
        <f>SUMIF(Lanç!$C$115:$C$6504,C1870,Lanç!$F$115:$F$6504)</f>
        <v>0</v>
      </c>
      <c r="G1870" s="161">
        <f>SUMIF(Lanç!$C$115:$C$6504,C1870,Lanç!$G$115:$G$6504)</f>
        <v>0</v>
      </c>
      <c r="H1870" s="162">
        <f t="shared" si="102"/>
        <v>0</v>
      </c>
      <c r="I1870" s="162">
        <f t="shared" si="103"/>
        <v>0</v>
      </c>
      <c r="J1870" s="1"/>
      <c r="K1870" s="1"/>
      <c r="L1870" s="1"/>
      <c r="M1870" s="1"/>
      <c r="N1870" s="1"/>
    </row>
    <row r="1871" spans="1:14" hidden="1">
      <c r="A1871" s="151">
        <f t="shared" si="101"/>
        <v>1</v>
      </c>
      <c r="B1871" s="155" t="s">
        <v>204</v>
      </c>
      <c r="C1871" s="156">
        <v>724</v>
      </c>
      <c r="D1871" s="157" t="s">
        <v>1315</v>
      </c>
      <c r="E1871" s="158">
        <f>SUM(E1872,E1874)</f>
        <v>0</v>
      </c>
      <c r="F1871" s="158">
        <f>SUM(F1872,F1874)</f>
        <v>0</v>
      </c>
      <c r="G1871" s="158">
        <f>SUM(G1872,G1874)</f>
        <v>0</v>
      </c>
      <c r="H1871" s="154">
        <f t="shared" si="102"/>
        <v>0</v>
      </c>
      <c r="I1871" s="154">
        <f t="shared" si="103"/>
        <v>0</v>
      </c>
    </row>
    <row r="1872" spans="1:14" hidden="1">
      <c r="A1872" s="151">
        <f t="shared" si="101"/>
        <v>1</v>
      </c>
      <c r="B1872" s="155" t="s">
        <v>204</v>
      </c>
      <c r="C1872" s="156">
        <v>7241</v>
      </c>
      <c r="D1872" s="157" t="s">
        <v>1311</v>
      </c>
      <c r="E1872" s="158">
        <f>SUMIF(Lanç!$C$3:$C$114,C1872,Lanç!$F$3:$F$114)</f>
        <v>0</v>
      </c>
      <c r="F1872" s="158">
        <f>SUMIF(Lanç!$C$115:$C$6504,C1872,Lanç!$F$115:$F$6504)</f>
        <v>0</v>
      </c>
      <c r="G1872" s="158">
        <f>SUMIF(Lanç!$C$115:$C$6504,C1872,Lanç!$G$115:$G$6504)</f>
        <v>0</v>
      </c>
      <c r="H1872" s="154">
        <f t="shared" si="102"/>
        <v>0</v>
      </c>
      <c r="I1872" s="154">
        <f t="shared" si="103"/>
        <v>0</v>
      </c>
    </row>
    <row r="1873" spans="1:14" hidden="1">
      <c r="A1873" s="151">
        <f t="shared" si="101"/>
        <v>1</v>
      </c>
      <c r="B1873" s="151" t="s">
        <v>206</v>
      </c>
      <c r="C1873" s="159">
        <v>7241</v>
      </c>
      <c r="D1873" s="160" t="s">
        <v>1311</v>
      </c>
      <c r="E1873" s="161">
        <f>SUMIF(Lanç!$C$3:$C$114,C1873,Lanç!$F$3:$F$114)</f>
        <v>0</v>
      </c>
      <c r="F1873" s="161">
        <f>SUMIF(Lanç!$C$115:$C$6504,C1873,Lanç!$F$115:$F$6504)</f>
        <v>0</v>
      </c>
      <c r="G1873" s="161">
        <f>SUMIF(Lanç!$C$115:$C$6504,C1873,Lanç!$G$115:$G$6504)</f>
        <v>0</v>
      </c>
      <c r="H1873" s="162">
        <f t="shared" si="102"/>
        <v>0</v>
      </c>
      <c r="I1873" s="162">
        <f t="shared" si="103"/>
        <v>0</v>
      </c>
      <c r="J1873" s="1"/>
      <c r="K1873" s="1"/>
      <c r="L1873" s="1"/>
      <c r="M1873" s="1"/>
      <c r="N1873" s="1"/>
    </row>
    <row r="1874" spans="1:14" hidden="1">
      <c r="A1874" s="151">
        <f t="shared" si="101"/>
        <v>1</v>
      </c>
      <c r="B1874" s="155" t="s">
        <v>204</v>
      </c>
      <c r="C1874" s="156">
        <v>7242</v>
      </c>
      <c r="D1874" s="157" t="s">
        <v>1312</v>
      </c>
      <c r="E1874" s="158">
        <f>SUM(E1875:E1876)</f>
        <v>0</v>
      </c>
      <c r="F1874" s="158">
        <f>SUM(F1875:F1876)</f>
        <v>0</v>
      </c>
      <c r="G1874" s="158">
        <f>SUM(G1875:G1876)</f>
        <v>0</v>
      </c>
      <c r="H1874" s="154">
        <f t="shared" si="102"/>
        <v>0</v>
      </c>
      <c r="I1874" s="154">
        <f t="shared" si="103"/>
        <v>0</v>
      </c>
    </row>
    <row r="1875" spans="1:14" hidden="1">
      <c r="A1875" s="151">
        <f t="shared" si="101"/>
        <v>1</v>
      </c>
      <c r="B1875" s="151" t="s">
        <v>206</v>
      </c>
      <c r="C1875" s="159">
        <v>72421</v>
      </c>
      <c r="D1875" s="160" t="s">
        <v>1313</v>
      </c>
      <c r="E1875" s="161">
        <f>SUMIF(Lanç!$C$3:$C$114,C1875,Lanç!$F$3:$F$114)</f>
        <v>0</v>
      </c>
      <c r="F1875" s="161">
        <f>SUMIF(Lanç!$C$115:$C$6504,C1875,Lanç!$F$115:$F$6504)</f>
        <v>0</v>
      </c>
      <c r="G1875" s="161">
        <f>SUMIF(Lanç!$C$115:$C$6504,C1875,Lanç!$G$115:$G$6504)</f>
        <v>0</v>
      </c>
      <c r="H1875" s="162">
        <f t="shared" si="102"/>
        <v>0</v>
      </c>
      <c r="I1875" s="162">
        <f t="shared" si="103"/>
        <v>0</v>
      </c>
    </row>
    <row r="1876" spans="1:14" hidden="1">
      <c r="A1876" s="151">
        <f t="shared" si="101"/>
        <v>1</v>
      </c>
      <c r="B1876" s="151" t="s">
        <v>206</v>
      </c>
      <c r="C1876" s="159">
        <v>72422</v>
      </c>
      <c r="D1876" s="160" t="s">
        <v>1314</v>
      </c>
      <c r="E1876" s="161">
        <f>SUMIF(Lanç!$C$3:$C$114,C1876,Lanç!$F$3:$F$114)</f>
        <v>0</v>
      </c>
      <c r="F1876" s="161">
        <f>SUMIF(Lanç!$C$115:$C$6504,C1876,Lanç!$F$115:$F$6504)</f>
        <v>0</v>
      </c>
      <c r="G1876" s="161">
        <f>SUMIF(Lanç!$C$115:$C$6504,C1876,Lanç!$G$115:$G$6504)</f>
        <v>0</v>
      </c>
      <c r="H1876" s="162">
        <f t="shared" si="102"/>
        <v>0</v>
      </c>
      <c r="I1876" s="162">
        <f t="shared" si="103"/>
        <v>0</v>
      </c>
      <c r="J1876" s="1"/>
      <c r="K1876" s="1"/>
      <c r="L1876" s="1"/>
      <c r="M1876" s="1"/>
      <c r="N1876" s="1"/>
    </row>
    <row r="1877" spans="1:14">
      <c r="A1877" s="151">
        <f t="shared" si="101"/>
        <v>0</v>
      </c>
      <c r="B1877" s="155" t="s">
        <v>204</v>
      </c>
      <c r="C1877" s="156">
        <v>725</v>
      </c>
      <c r="D1877" s="157" t="s">
        <v>1316</v>
      </c>
      <c r="E1877" s="158">
        <f>SUM(E1878,E1879)</f>
        <v>0</v>
      </c>
      <c r="F1877" s="158">
        <f>SUM(F1878,F1879)</f>
        <v>2127525.06</v>
      </c>
      <c r="G1877" s="158">
        <f>SUM(G1878,G1879)</f>
        <v>0</v>
      </c>
      <c r="H1877" s="154">
        <f t="shared" si="102"/>
        <v>2127525.06</v>
      </c>
      <c r="I1877" s="154">
        <f t="shared" si="103"/>
        <v>2127525.06</v>
      </c>
    </row>
    <row r="1878" spans="1:14" hidden="1">
      <c r="A1878" s="151">
        <f t="shared" si="101"/>
        <v>1</v>
      </c>
      <c r="B1878" s="151" t="s">
        <v>206</v>
      </c>
      <c r="C1878" s="159">
        <v>7251</v>
      </c>
      <c r="D1878" s="160" t="s">
        <v>1311</v>
      </c>
      <c r="E1878" s="161">
        <f>SUMIF(Lanç!$C$3:$C$114,C1878,Lanç!$F$3:$F$114)</f>
        <v>0</v>
      </c>
      <c r="F1878" s="161">
        <f>SUMIF(Lanç!$C$115:$C$6504,C1878,Lanç!$F$115:$F$6504)</f>
        <v>0</v>
      </c>
      <c r="G1878" s="161">
        <f>SUMIF(Lanç!$C$115:$C$6504,C1878,Lanç!$G$115:$G$6504)</f>
        <v>0</v>
      </c>
      <c r="H1878" s="162">
        <f t="shared" si="102"/>
        <v>0</v>
      </c>
      <c r="I1878" s="162">
        <f t="shared" si="103"/>
        <v>0</v>
      </c>
      <c r="J1878" s="1"/>
      <c r="K1878" s="1"/>
      <c r="L1878" s="1"/>
      <c r="M1878" s="1"/>
      <c r="N1878" s="1"/>
    </row>
    <row r="1879" spans="1:14">
      <c r="A1879" s="151">
        <f t="shared" si="101"/>
        <v>0</v>
      </c>
      <c r="B1879" s="155" t="s">
        <v>204</v>
      </c>
      <c r="C1879" s="156">
        <v>7252</v>
      </c>
      <c r="D1879" s="157" t="s">
        <v>1312</v>
      </c>
      <c r="E1879" s="158">
        <f>SUM(E1880:E1882)</f>
        <v>0</v>
      </c>
      <c r="F1879" s="158">
        <f>SUM(F1880:F1882)</f>
        <v>2127525.06</v>
      </c>
      <c r="G1879" s="158">
        <f>SUM(G1880:G1882)</f>
        <v>0</v>
      </c>
      <c r="H1879" s="154">
        <f t="shared" si="102"/>
        <v>2127525.06</v>
      </c>
      <c r="I1879" s="154">
        <f t="shared" si="103"/>
        <v>2127525.06</v>
      </c>
    </row>
    <row r="1880" spans="1:14" hidden="1">
      <c r="A1880" s="151">
        <f t="shared" si="101"/>
        <v>1</v>
      </c>
      <c r="B1880" s="151" t="s">
        <v>206</v>
      </c>
      <c r="C1880" s="159">
        <v>72521</v>
      </c>
      <c r="D1880" s="160" t="s">
        <v>1313</v>
      </c>
      <c r="E1880" s="161">
        <f>SUMIF(Lanç!$C$3:$C$114,C1880,Lanç!$F$3:$F$114)</f>
        <v>0</v>
      </c>
      <c r="F1880" s="161">
        <f>SUMIF(Lanç!$C$115:$C$6504,C1880,Lanç!$F$115:$F$6504)</f>
        <v>0</v>
      </c>
      <c r="G1880" s="161">
        <f>SUMIF(Lanç!$C$115:$C$6504,C1880,Lanç!$G$115:$G$6504)</f>
        <v>0</v>
      </c>
      <c r="H1880" s="162">
        <f t="shared" si="102"/>
        <v>0</v>
      </c>
      <c r="I1880" s="162">
        <f t="shared" si="103"/>
        <v>0</v>
      </c>
    </row>
    <row r="1881" spans="1:14">
      <c r="A1881" s="151">
        <f t="shared" si="101"/>
        <v>0</v>
      </c>
      <c r="B1881" s="151" t="s">
        <v>206</v>
      </c>
      <c r="C1881" s="159">
        <v>72522</v>
      </c>
      <c r="D1881" s="160" t="s">
        <v>1785</v>
      </c>
      <c r="E1881" s="161">
        <f>SUMIF(Lanç!$C$3:$C$114,C1881,Lanç!$F$3:$F$114)</f>
        <v>0</v>
      </c>
      <c r="F1881" s="161">
        <f>SUMIF(Lanç!$C$115:$C$6504,C1881,Lanç!$F$115:$F$6504)</f>
        <v>1659191.06</v>
      </c>
      <c r="G1881" s="161">
        <f>SUMIF(Lanç!$C$115:$C$6504,C1881,Lanç!$G$115:$G$6504)</f>
        <v>0</v>
      </c>
      <c r="H1881" s="162">
        <f t="shared" si="102"/>
        <v>1659191.06</v>
      </c>
      <c r="I1881" s="162">
        <f t="shared" si="103"/>
        <v>1659191.06</v>
      </c>
      <c r="J1881" s="1"/>
      <c r="K1881" s="1"/>
      <c r="L1881" s="1"/>
      <c r="M1881" s="1"/>
      <c r="N1881" s="1"/>
    </row>
    <row r="1882" spans="1:14">
      <c r="A1882" s="151">
        <f>IF(E1882+F1882+G1882+H1882+I1882=0,1,0)</f>
        <v>0</v>
      </c>
      <c r="B1882" s="151" t="s">
        <v>206</v>
      </c>
      <c r="C1882" s="159">
        <v>72523</v>
      </c>
      <c r="D1882" s="160" t="s">
        <v>1786</v>
      </c>
      <c r="E1882" s="161">
        <f>SUMIF(Lanç!$C$3:$C$114,C1882,Lanç!$F$3:$F$114)</f>
        <v>0</v>
      </c>
      <c r="F1882" s="161">
        <f>SUMIF(Lanç!$C$115:$C$6504,C1882,Lanç!$F$115:$F$6504)</f>
        <v>468334</v>
      </c>
      <c r="G1882" s="161">
        <f>SUMIF(Lanç!$C$115:$C$6504,C1882,Lanç!$G$115:$G$6504)</f>
        <v>0</v>
      </c>
      <c r="H1882" s="162">
        <f>(F1882)-(G1882)</f>
        <v>468334</v>
      </c>
      <c r="I1882" s="162">
        <f>(E1882)+(H1882)</f>
        <v>468334</v>
      </c>
      <c r="J1882" s="1"/>
      <c r="K1882" s="1"/>
      <c r="L1882" s="1"/>
      <c r="M1882" s="1"/>
      <c r="N1882" s="1"/>
    </row>
    <row r="1883" spans="1:14" hidden="1">
      <c r="A1883" s="151">
        <f t="shared" si="101"/>
        <v>1</v>
      </c>
      <c r="B1883" s="155" t="s">
        <v>204</v>
      </c>
      <c r="C1883" s="156">
        <v>726</v>
      </c>
      <c r="D1883" s="157" t="s">
        <v>1317</v>
      </c>
      <c r="E1883" s="158">
        <f>SUM(E1884,E1885)</f>
        <v>0</v>
      </c>
      <c r="F1883" s="158">
        <f>SUM(F1884,F1885)</f>
        <v>0</v>
      </c>
      <c r="G1883" s="158">
        <f>SUM(G1884,G1885)</f>
        <v>0</v>
      </c>
      <c r="H1883" s="154">
        <f t="shared" si="102"/>
        <v>0</v>
      </c>
      <c r="I1883" s="154">
        <f t="shared" si="103"/>
        <v>0</v>
      </c>
    </row>
    <row r="1884" spans="1:14" hidden="1">
      <c r="A1884" s="151">
        <f t="shared" si="101"/>
        <v>1</v>
      </c>
      <c r="B1884" s="151" t="s">
        <v>206</v>
      </c>
      <c r="C1884" s="159">
        <v>7261</v>
      </c>
      <c r="D1884" s="160" t="s">
        <v>1311</v>
      </c>
      <c r="E1884" s="161">
        <f>SUMIF(Lanç!$C$3:$C$114,C1884,Lanç!$F$3:$F$114)</f>
        <v>0</v>
      </c>
      <c r="F1884" s="161">
        <f>SUMIF(Lanç!$C$115:$C$6504,C1884,Lanç!$F$115:$F$6504)</f>
        <v>0</v>
      </c>
      <c r="G1884" s="161">
        <f>SUMIF(Lanç!$C$115:$C$6504,C1884,Lanç!$G$115:$G$6504)</f>
        <v>0</v>
      </c>
      <c r="H1884" s="162">
        <f t="shared" si="102"/>
        <v>0</v>
      </c>
      <c r="I1884" s="162">
        <f t="shared" si="103"/>
        <v>0</v>
      </c>
      <c r="J1884" s="1"/>
      <c r="K1884" s="1"/>
      <c r="L1884" s="1"/>
      <c r="M1884" s="1"/>
      <c r="N1884" s="1"/>
    </row>
    <row r="1885" spans="1:14" hidden="1">
      <c r="A1885" s="151">
        <f t="shared" si="101"/>
        <v>1</v>
      </c>
      <c r="B1885" s="155" t="s">
        <v>204</v>
      </c>
      <c r="C1885" s="156">
        <v>7262</v>
      </c>
      <c r="D1885" s="157" t="s">
        <v>1312</v>
      </c>
      <c r="E1885" s="158">
        <f>SUM(E1886:E1887)</f>
        <v>0</v>
      </c>
      <c r="F1885" s="158">
        <f>SUM(F1886:F1887)</f>
        <v>0</v>
      </c>
      <c r="G1885" s="158">
        <f>SUM(G1886:G1887)</f>
        <v>0</v>
      </c>
      <c r="H1885" s="154">
        <f t="shared" si="102"/>
        <v>0</v>
      </c>
      <c r="I1885" s="154">
        <f t="shared" si="103"/>
        <v>0</v>
      </c>
    </row>
    <row r="1886" spans="1:14" hidden="1">
      <c r="A1886" s="151">
        <f t="shared" si="101"/>
        <v>1</v>
      </c>
      <c r="B1886" s="151" t="s">
        <v>206</v>
      </c>
      <c r="C1886" s="159">
        <v>72621</v>
      </c>
      <c r="D1886" s="160" t="s">
        <v>1313</v>
      </c>
      <c r="E1886" s="161">
        <f>SUMIF(Lanç!$C$3:$C$114,C1886,Lanç!$F$3:$F$114)</f>
        <v>0</v>
      </c>
      <c r="F1886" s="161">
        <f>SUMIF(Lanç!$C$115:$C$6504,C1886,Lanç!$F$115:$F$6504)</f>
        <v>0</v>
      </c>
      <c r="G1886" s="161">
        <f>SUMIF(Lanç!$C$115:$C$6504,C1886,Lanç!$G$115:$G$6504)</f>
        <v>0</v>
      </c>
      <c r="H1886" s="162">
        <f t="shared" si="102"/>
        <v>0</v>
      </c>
      <c r="I1886" s="162">
        <f t="shared" si="103"/>
        <v>0</v>
      </c>
    </row>
    <row r="1887" spans="1:14" hidden="1">
      <c r="A1887" s="151">
        <f t="shared" si="101"/>
        <v>1</v>
      </c>
      <c r="B1887" s="151" t="s">
        <v>206</v>
      </c>
      <c r="C1887" s="159">
        <v>72622</v>
      </c>
      <c r="D1887" s="160" t="s">
        <v>1314</v>
      </c>
      <c r="E1887" s="161">
        <f>SUMIF(Lanç!$C$3:$C$114,C1887,Lanç!$F$3:$F$114)</f>
        <v>0</v>
      </c>
      <c r="F1887" s="161">
        <f>SUMIF(Lanç!$C$115:$C$6504,C1887,Lanç!$F$115:$F$6504)</f>
        <v>0</v>
      </c>
      <c r="G1887" s="161">
        <f>SUMIF(Lanç!$C$115:$C$6504,C1887,Lanç!$G$115:$G$6504)</f>
        <v>0</v>
      </c>
      <c r="H1887" s="162">
        <f t="shared" si="102"/>
        <v>0</v>
      </c>
      <c r="I1887" s="162">
        <f t="shared" si="103"/>
        <v>0</v>
      </c>
      <c r="J1887" s="1"/>
      <c r="K1887" s="1"/>
      <c r="L1887" s="1"/>
      <c r="M1887" s="1"/>
      <c r="N1887" s="1"/>
    </row>
    <row r="1888" spans="1:14" hidden="1">
      <c r="A1888" s="151">
        <f t="shared" si="101"/>
        <v>1</v>
      </c>
      <c r="B1888" s="155" t="s">
        <v>204</v>
      </c>
      <c r="C1888" s="156">
        <v>727</v>
      </c>
      <c r="D1888" s="157" t="s">
        <v>1318</v>
      </c>
      <c r="E1888" s="158">
        <f>SUM(E1889,E1890)</f>
        <v>0</v>
      </c>
      <c r="F1888" s="158">
        <f>SUM(F1889,F1890)</f>
        <v>0</v>
      </c>
      <c r="G1888" s="158">
        <f>SUM(G1889,G1890)</f>
        <v>0</v>
      </c>
      <c r="H1888" s="154">
        <f t="shared" si="102"/>
        <v>0</v>
      </c>
      <c r="I1888" s="154">
        <f t="shared" si="103"/>
        <v>0</v>
      </c>
    </row>
    <row r="1889" spans="1:14" hidden="1">
      <c r="A1889" s="151">
        <f t="shared" si="101"/>
        <v>1</v>
      </c>
      <c r="B1889" s="151" t="s">
        <v>206</v>
      </c>
      <c r="C1889" s="159">
        <v>7271</v>
      </c>
      <c r="D1889" s="160" t="s">
        <v>1311</v>
      </c>
      <c r="E1889" s="161">
        <f>SUMIF(Lanç!$C$3:$C$114,C1889,Lanç!$F$3:$F$114)</f>
        <v>0</v>
      </c>
      <c r="F1889" s="161">
        <f>SUMIF(Lanç!$C$115:$C$6504,C1889,Lanç!$F$115:$F$6504)</f>
        <v>0</v>
      </c>
      <c r="G1889" s="161">
        <f>SUMIF(Lanç!$C$115:$C$6504,C1889,Lanç!$G$115:$G$6504)</f>
        <v>0</v>
      </c>
      <c r="H1889" s="162">
        <f t="shared" si="102"/>
        <v>0</v>
      </c>
      <c r="I1889" s="162">
        <f t="shared" si="103"/>
        <v>0</v>
      </c>
      <c r="J1889" s="1"/>
      <c r="K1889" s="1"/>
      <c r="L1889" s="1"/>
      <c r="M1889" s="1"/>
      <c r="N1889" s="1"/>
    </row>
    <row r="1890" spans="1:14" hidden="1">
      <c r="A1890" s="151">
        <f t="shared" ref="A1890:A1958" si="104">IF(E1890+F1890+G1890+H1890+I1890=0,1,0)</f>
        <v>1</v>
      </c>
      <c r="B1890" s="155" t="s">
        <v>204</v>
      </c>
      <c r="C1890" s="156">
        <v>7272</v>
      </c>
      <c r="D1890" s="157" t="s">
        <v>1312</v>
      </c>
      <c r="E1890" s="158">
        <f>SUM(E1891:E1892)</f>
        <v>0</v>
      </c>
      <c r="F1890" s="158">
        <f>SUM(F1891:F1892)</f>
        <v>0</v>
      </c>
      <c r="G1890" s="158">
        <f>SUM(G1891:G1892)</f>
        <v>0</v>
      </c>
      <c r="H1890" s="154">
        <f t="shared" ref="H1890:H1951" si="105">(F1890)-(G1890)</f>
        <v>0</v>
      </c>
      <c r="I1890" s="154">
        <f t="shared" ref="I1890:I1951" si="106">(E1890)+(H1890)</f>
        <v>0</v>
      </c>
    </row>
    <row r="1891" spans="1:14" hidden="1">
      <c r="A1891" s="151">
        <f t="shared" si="104"/>
        <v>1</v>
      </c>
      <c r="B1891" s="151" t="s">
        <v>206</v>
      </c>
      <c r="C1891" s="159">
        <v>72721</v>
      </c>
      <c r="D1891" s="160" t="s">
        <v>1313</v>
      </c>
      <c r="E1891" s="161">
        <f>SUMIF(Lanç!$C$3:$C$114,C1891,Lanç!$F$3:$F$114)</f>
        <v>0</v>
      </c>
      <c r="F1891" s="161">
        <f>SUMIF(Lanç!$C$115:$C$6504,C1891,Lanç!$F$115:$F$6504)</f>
        <v>0</v>
      </c>
      <c r="G1891" s="161">
        <f>SUMIF(Lanç!$C$115:$C$6504,C1891,Lanç!$G$115:$G$6504)</f>
        <v>0</v>
      </c>
      <c r="H1891" s="162">
        <f t="shared" si="105"/>
        <v>0</v>
      </c>
      <c r="I1891" s="162">
        <f t="shared" si="106"/>
        <v>0</v>
      </c>
    </row>
    <row r="1892" spans="1:14" hidden="1">
      <c r="A1892" s="151">
        <f t="shared" si="104"/>
        <v>1</v>
      </c>
      <c r="B1892" s="151" t="s">
        <v>206</v>
      </c>
      <c r="C1892" s="159">
        <v>72722</v>
      </c>
      <c r="D1892" s="160" t="s">
        <v>1314</v>
      </c>
      <c r="E1892" s="161">
        <f>SUMIF(Lanç!$C$3:$C$114,C1892,Lanç!$F$3:$F$114)</f>
        <v>0</v>
      </c>
      <c r="F1892" s="161">
        <f>SUMIF(Lanç!$C$115:$C$6504,C1892,Lanç!$F$115:$F$6504)</f>
        <v>0</v>
      </c>
      <c r="G1892" s="161">
        <f>SUMIF(Lanç!$C$115:$C$6504,C1892,Lanç!$G$115:$G$6504)</f>
        <v>0</v>
      </c>
      <c r="H1892" s="162">
        <f t="shared" si="105"/>
        <v>0</v>
      </c>
      <c r="I1892" s="162">
        <f t="shared" si="106"/>
        <v>0</v>
      </c>
      <c r="J1892" s="1"/>
      <c r="K1892" s="1"/>
      <c r="L1892" s="1"/>
      <c r="M1892" s="1"/>
      <c r="N1892" s="1"/>
    </row>
    <row r="1893" spans="1:14">
      <c r="A1893" s="151">
        <f t="shared" si="104"/>
        <v>0</v>
      </c>
      <c r="B1893" s="155" t="s">
        <v>204</v>
      </c>
      <c r="C1893" s="156">
        <v>728</v>
      </c>
      <c r="D1893" s="157" t="s">
        <v>1319</v>
      </c>
      <c r="E1893" s="158">
        <f>SUM(E1894,E1897,E1912)</f>
        <v>0</v>
      </c>
      <c r="F1893" s="158">
        <f>SUM(F1894,F1897,F1912)</f>
        <v>5003962.49</v>
      </c>
      <c r="G1893" s="158">
        <f>SUM(G1894,G1897,G1912)</f>
        <v>0</v>
      </c>
      <c r="H1893" s="154">
        <f t="shared" si="105"/>
        <v>5003962.49</v>
      </c>
      <c r="I1893" s="154">
        <f t="shared" si="106"/>
        <v>5003962.49</v>
      </c>
    </row>
    <row r="1894" spans="1:14" hidden="1">
      <c r="A1894" s="151">
        <f t="shared" si="104"/>
        <v>1</v>
      </c>
      <c r="B1894" s="155" t="s">
        <v>204</v>
      </c>
      <c r="C1894" s="156">
        <v>7281</v>
      </c>
      <c r="D1894" s="157" t="s">
        <v>1311</v>
      </c>
      <c r="E1894" s="158">
        <f>SUM(E1895:E1896)</f>
        <v>0</v>
      </c>
      <c r="F1894" s="158">
        <f>SUM(F1895:F1896)</f>
        <v>0</v>
      </c>
      <c r="G1894" s="158">
        <f>SUM(G1895:G1896)</f>
        <v>0</v>
      </c>
      <c r="H1894" s="154">
        <f t="shared" si="105"/>
        <v>0</v>
      </c>
      <c r="I1894" s="154">
        <f t="shared" si="106"/>
        <v>0</v>
      </c>
    </row>
    <row r="1895" spans="1:14" hidden="1">
      <c r="A1895" s="151">
        <f t="shared" si="104"/>
        <v>1</v>
      </c>
      <c r="B1895" s="151" t="s">
        <v>206</v>
      </c>
      <c r="C1895" s="159">
        <v>72812</v>
      </c>
      <c r="D1895" s="160" t="s">
        <v>1320</v>
      </c>
      <c r="E1895" s="161">
        <f>SUMIF(Lanç!$C$3:$C$114,C1895,Lanç!$F$3:$F$114)</f>
        <v>0</v>
      </c>
      <c r="F1895" s="161">
        <f>SUMIF(Lanç!$C$115:$C$6504,C1895,Lanç!$F$115:$F$6504)</f>
        <v>0</v>
      </c>
      <c r="G1895" s="161">
        <f>SUMIF(Lanç!$C$115:$C$6504,C1895,Lanç!$G$115:$G$6504)</f>
        <v>0</v>
      </c>
      <c r="H1895" s="162">
        <f t="shared" si="105"/>
        <v>0</v>
      </c>
      <c r="I1895" s="162">
        <f t="shared" si="106"/>
        <v>0</v>
      </c>
    </row>
    <row r="1896" spans="1:14" hidden="1">
      <c r="A1896" s="151">
        <f t="shared" si="104"/>
        <v>1</v>
      </c>
      <c r="B1896" s="151" t="s">
        <v>206</v>
      </c>
      <c r="C1896" s="159">
        <v>72819</v>
      </c>
      <c r="D1896" s="160" t="s">
        <v>1321</v>
      </c>
      <c r="E1896" s="161">
        <f>SUMIF(Lanç!$C$3:$C$114,C1896,Lanç!$F$3:$F$114)</f>
        <v>0</v>
      </c>
      <c r="F1896" s="161">
        <f>SUMIF(Lanç!$C$115:$C$6504,C1896,Lanç!$F$115:$F$6504)</f>
        <v>0</v>
      </c>
      <c r="G1896" s="161">
        <f>SUMIF(Lanç!$C$115:$C$6504,C1896,Lanç!$G$115:$G$6504)</f>
        <v>0</v>
      </c>
      <c r="H1896" s="162">
        <f t="shared" si="105"/>
        <v>0</v>
      </c>
      <c r="I1896" s="162">
        <f t="shared" si="106"/>
        <v>0</v>
      </c>
      <c r="J1896" s="1"/>
      <c r="K1896" s="1"/>
      <c r="L1896" s="1"/>
      <c r="M1896" s="1"/>
      <c r="N1896" s="1"/>
    </row>
    <row r="1897" spans="1:14">
      <c r="A1897" s="151">
        <f t="shared" si="104"/>
        <v>0</v>
      </c>
      <c r="B1897" s="155" t="s">
        <v>204</v>
      </c>
      <c r="C1897" s="156">
        <v>7282</v>
      </c>
      <c r="D1897" s="157" t="s">
        <v>1312</v>
      </c>
      <c r="E1897" s="158">
        <f>SUM(E1898,E1905)</f>
        <v>0</v>
      </c>
      <c r="F1897" s="158">
        <f>SUM(F1898,F1905)</f>
        <v>5003962.49</v>
      </c>
      <c r="G1897" s="158">
        <f>SUM(G1898,G1905)</f>
        <v>0</v>
      </c>
      <c r="H1897" s="154">
        <f t="shared" si="105"/>
        <v>5003962.49</v>
      </c>
      <c r="I1897" s="154">
        <f t="shared" si="106"/>
        <v>5003962.49</v>
      </c>
    </row>
    <row r="1898" spans="1:14">
      <c r="A1898" s="151">
        <f t="shared" si="104"/>
        <v>0</v>
      </c>
      <c r="B1898" s="155" t="s">
        <v>204</v>
      </c>
      <c r="C1898" s="156">
        <v>72821</v>
      </c>
      <c r="D1898" s="157" t="s">
        <v>1313</v>
      </c>
      <c r="E1898" s="158">
        <f>SUM(E1899:E1904)</f>
        <v>0</v>
      </c>
      <c r="F1898" s="158">
        <f>SUM(F1899:F1904)</f>
        <v>112726</v>
      </c>
      <c r="G1898" s="158">
        <f>SUM(G1899:G1904)</f>
        <v>0</v>
      </c>
      <c r="H1898" s="154">
        <f t="shared" si="105"/>
        <v>112726</v>
      </c>
      <c r="I1898" s="154">
        <f t="shared" si="106"/>
        <v>112726</v>
      </c>
    </row>
    <row r="1899" spans="1:14" hidden="1">
      <c r="A1899" s="151">
        <f t="shared" si="104"/>
        <v>1</v>
      </c>
      <c r="B1899" s="151" t="s">
        <v>206</v>
      </c>
      <c r="C1899" s="159">
        <v>728211</v>
      </c>
      <c r="D1899" s="160" t="s">
        <v>2074</v>
      </c>
      <c r="E1899" s="161">
        <f>SUMIF(Lanç!$C$3:$C$114,C1899,Lanç!$F$3:$F$114)</f>
        <v>0</v>
      </c>
      <c r="F1899" s="161">
        <f>SUMIF(Lanç!$C$115:$C$6504,C1899,Lanç!$F$115:$F$6504)</f>
        <v>0</v>
      </c>
      <c r="G1899" s="161">
        <f>SUMIF(Lanç!$C$115:$C$6504,C1899,Lanç!$G$115:$G$6504)</f>
        <v>0</v>
      </c>
      <c r="H1899" s="162">
        <f t="shared" si="105"/>
        <v>0</v>
      </c>
      <c r="I1899" s="162">
        <f t="shared" si="106"/>
        <v>0</v>
      </c>
    </row>
    <row r="1900" spans="1:14" hidden="1">
      <c r="A1900" s="151">
        <f t="shared" si="104"/>
        <v>1</v>
      </c>
      <c r="B1900" s="151" t="s">
        <v>206</v>
      </c>
      <c r="C1900" s="159">
        <v>728212</v>
      </c>
      <c r="D1900" s="160" t="s">
        <v>1322</v>
      </c>
      <c r="E1900" s="161">
        <f>SUMIF(Lanç!$C$3:$C$114,C1900,Lanç!$F$3:$F$114)</f>
        <v>0</v>
      </c>
      <c r="F1900" s="161">
        <f>SUMIF(Lanç!$C$115:$C$6504,C1900,Lanç!$F$115:$F$6504)</f>
        <v>0</v>
      </c>
      <c r="G1900" s="161">
        <f>SUMIF(Lanç!$C$115:$C$6504,C1900,Lanç!$G$115:$G$6504)</f>
        <v>0</v>
      </c>
      <c r="H1900" s="162">
        <f t="shared" si="105"/>
        <v>0</v>
      </c>
      <c r="I1900" s="162">
        <f t="shared" si="106"/>
        <v>0</v>
      </c>
    </row>
    <row r="1901" spans="1:14" hidden="1">
      <c r="A1901" s="151">
        <f t="shared" si="104"/>
        <v>1</v>
      </c>
      <c r="B1901" s="151" t="s">
        <v>206</v>
      </c>
      <c r="C1901" s="159">
        <v>728213</v>
      </c>
      <c r="D1901" s="160" t="s">
        <v>1323</v>
      </c>
      <c r="E1901" s="161">
        <f>SUMIF(Lanç!$C$3:$C$114,C1901,Lanç!$F$3:$F$114)</f>
        <v>0</v>
      </c>
      <c r="F1901" s="161">
        <f>SUMIF(Lanç!$C$115:$C$6504,C1901,Lanç!$F$115:$F$6504)</f>
        <v>0</v>
      </c>
      <c r="G1901" s="161">
        <f>SUMIF(Lanç!$C$115:$C$6504,C1901,Lanç!$G$115:$G$6504)</f>
        <v>0</v>
      </c>
      <c r="H1901" s="162">
        <f t="shared" si="105"/>
        <v>0</v>
      </c>
      <c r="I1901" s="162">
        <f t="shared" si="106"/>
        <v>0</v>
      </c>
    </row>
    <row r="1902" spans="1:14">
      <c r="A1902" s="151">
        <f t="shared" si="104"/>
        <v>0</v>
      </c>
      <c r="B1902" s="151" t="s">
        <v>206</v>
      </c>
      <c r="C1902" s="159">
        <v>728214</v>
      </c>
      <c r="D1902" s="160" t="s">
        <v>1324</v>
      </c>
      <c r="E1902" s="161">
        <f>SUMIF(Lanç!$C$3:$C$114,C1902,Lanç!$F$3:$F$114)</f>
        <v>0</v>
      </c>
      <c r="F1902" s="161">
        <f>SUMIF(Lanç!$C$115:$C$6504,C1902,Lanç!$F$115:$F$6504)</f>
        <v>112726</v>
      </c>
      <c r="G1902" s="161">
        <f>SUMIF(Lanç!$C$115:$C$6504,C1902,Lanç!$G$115:$G$6504)</f>
        <v>0</v>
      </c>
      <c r="H1902" s="162">
        <f t="shared" si="105"/>
        <v>112726</v>
      </c>
      <c r="I1902" s="162">
        <f t="shared" si="106"/>
        <v>112726</v>
      </c>
    </row>
    <row r="1903" spans="1:14" hidden="1">
      <c r="A1903" s="151">
        <f t="shared" si="104"/>
        <v>1</v>
      </c>
      <c r="B1903" s="151" t="s">
        <v>206</v>
      </c>
      <c r="C1903" s="159">
        <v>728218</v>
      </c>
      <c r="D1903" s="160" t="s">
        <v>1325</v>
      </c>
      <c r="E1903" s="161">
        <f>SUMIF(Lanç!$C$3:$C$114,C1903,Lanç!$F$3:$F$114)</f>
        <v>0</v>
      </c>
      <c r="F1903" s="161">
        <f>SUMIF(Lanç!$C$115:$C$6504,C1903,Lanç!$F$115:$F$6504)</f>
        <v>0</v>
      </c>
      <c r="G1903" s="161">
        <f>SUMIF(Lanç!$C$115:$C$6504,C1903,Lanç!$G$115:$G$6504)</f>
        <v>0</v>
      </c>
      <c r="H1903" s="162">
        <f t="shared" si="105"/>
        <v>0</v>
      </c>
      <c r="I1903" s="162">
        <f t="shared" si="106"/>
        <v>0</v>
      </c>
    </row>
    <row r="1904" spans="1:14" hidden="1">
      <c r="A1904" s="151">
        <f t="shared" si="104"/>
        <v>1</v>
      </c>
      <c r="B1904" s="151" t="s">
        <v>206</v>
      </c>
      <c r="C1904" s="159">
        <v>728219</v>
      </c>
      <c r="D1904" s="160" t="s">
        <v>1321</v>
      </c>
      <c r="E1904" s="161">
        <f>SUMIF(Lanç!$C$3:$C$114,C1904,Lanç!$F$3:$F$114)</f>
        <v>0</v>
      </c>
      <c r="F1904" s="161">
        <f>SUMIF(Lanç!$C$115:$C$6504,C1904,Lanç!$F$115:$F$6504)</f>
        <v>0</v>
      </c>
      <c r="G1904" s="161">
        <f>SUMIF(Lanç!$C$115:$C$6504,C1904,Lanç!$G$115:$G$6504)</f>
        <v>0</v>
      </c>
      <c r="H1904" s="162">
        <f t="shared" si="105"/>
        <v>0</v>
      </c>
      <c r="I1904" s="162">
        <f t="shared" si="106"/>
        <v>0</v>
      </c>
      <c r="J1904" s="1"/>
      <c r="K1904" s="1"/>
      <c r="L1904" s="1"/>
      <c r="M1904" s="1"/>
      <c r="N1904" s="1"/>
    </row>
    <row r="1905" spans="1:14">
      <c r="A1905" s="151">
        <f t="shared" si="104"/>
        <v>0</v>
      </c>
      <c r="B1905" s="155" t="s">
        <v>204</v>
      </c>
      <c r="C1905" s="156">
        <v>72822</v>
      </c>
      <c r="D1905" s="157" t="s">
        <v>1314</v>
      </c>
      <c r="E1905" s="158">
        <f>SUM(E1906:E1911)</f>
        <v>0</v>
      </c>
      <c r="F1905" s="158">
        <f>SUM(F1906:F1911)</f>
        <v>4891236.49</v>
      </c>
      <c r="G1905" s="158">
        <f>SUM(G1906:G1911)</f>
        <v>0</v>
      </c>
      <c r="H1905" s="154">
        <f t="shared" si="105"/>
        <v>4891236.49</v>
      </c>
      <c r="I1905" s="154">
        <f t="shared" si="106"/>
        <v>4891236.49</v>
      </c>
    </row>
    <row r="1906" spans="1:14">
      <c r="A1906" s="151">
        <f t="shared" si="104"/>
        <v>0</v>
      </c>
      <c r="B1906" s="151" t="s">
        <v>206</v>
      </c>
      <c r="C1906" s="159">
        <v>728220</v>
      </c>
      <c r="D1906" s="160" t="s">
        <v>1326</v>
      </c>
      <c r="E1906" s="161">
        <f>SUMIF(Lanç!$C$3:$C$114,C1906,Lanç!$F$3:$F$114)</f>
        <v>0</v>
      </c>
      <c r="F1906" s="161">
        <f>SUMIF(Lanç!$C$115:$C$6504,C1906,Lanç!$F$115:$F$6504)</f>
        <v>4891236.49</v>
      </c>
      <c r="G1906" s="161">
        <f>SUMIF(Lanç!$C$115:$C$6504,C1906,Lanç!$G$115:$G$6504)</f>
        <v>0</v>
      </c>
      <c r="H1906" s="162">
        <f t="shared" si="105"/>
        <v>4891236.49</v>
      </c>
      <c r="I1906" s="162">
        <f t="shared" si="106"/>
        <v>4891236.49</v>
      </c>
    </row>
    <row r="1907" spans="1:14" hidden="1">
      <c r="A1907" s="151">
        <f t="shared" si="104"/>
        <v>1</v>
      </c>
      <c r="B1907" s="151" t="s">
        <v>206</v>
      </c>
      <c r="C1907" s="159">
        <v>728221</v>
      </c>
      <c r="D1907" s="160" t="s">
        <v>2074</v>
      </c>
      <c r="E1907" s="161">
        <f>SUMIF(Lanç!$C$3:$C$114,C1907,Lanç!$F$3:$F$114)</f>
        <v>0</v>
      </c>
      <c r="F1907" s="161">
        <f>SUMIF(Lanç!$C$115:$C$6504,C1907,Lanç!$F$115:$F$6504)</f>
        <v>0</v>
      </c>
      <c r="G1907" s="161">
        <f>SUMIF(Lanç!$C$115:$C$6504,C1907,Lanç!$G$115:$G$6504)</f>
        <v>0</v>
      </c>
      <c r="H1907" s="162">
        <f t="shared" si="105"/>
        <v>0</v>
      </c>
      <c r="I1907" s="162">
        <f t="shared" si="106"/>
        <v>0</v>
      </c>
    </row>
    <row r="1908" spans="1:14" hidden="1">
      <c r="A1908" s="151">
        <f t="shared" si="104"/>
        <v>1</v>
      </c>
      <c r="B1908" s="151" t="s">
        <v>206</v>
      </c>
      <c r="C1908" s="159">
        <v>728222</v>
      </c>
      <c r="D1908" s="160" t="s">
        <v>1322</v>
      </c>
      <c r="E1908" s="161">
        <f>SUMIF(Lanç!$C$3:$C$114,C1908,Lanç!$F$3:$F$114)</f>
        <v>0</v>
      </c>
      <c r="F1908" s="161">
        <f>SUMIF(Lanç!$C$115:$C$6504,C1908,Lanç!$F$115:$F$6504)</f>
        <v>0</v>
      </c>
      <c r="G1908" s="161">
        <f>SUMIF(Lanç!$C$115:$C$6504,C1908,Lanç!$G$115:$G$6504)</f>
        <v>0</v>
      </c>
      <c r="H1908" s="162">
        <f t="shared" si="105"/>
        <v>0</v>
      </c>
      <c r="I1908" s="162">
        <f t="shared" si="106"/>
        <v>0</v>
      </c>
    </row>
    <row r="1909" spans="1:14" hidden="1">
      <c r="A1909" s="151">
        <f t="shared" si="104"/>
        <v>1</v>
      </c>
      <c r="B1909" s="151" t="s">
        <v>206</v>
      </c>
      <c r="C1909" s="159">
        <v>728223</v>
      </c>
      <c r="D1909" s="160" t="s">
        <v>1327</v>
      </c>
      <c r="E1909" s="161">
        <f>SUMIF(Lanç!$C$3:$C$114,C1909,Lanç!$F$3:$F$114)</f>
        <v>0</v>
      </c>
      <c r="F1909" s="161">
        <f>SUMIF(Lanç!$C$115:$C$6504,C1909,Lanç!$F$115:$F$6504)</f>
        <v>0</v>
      </c>
      <c r="G1909" s="161">
        <f>SUMIF(Lanç!$C$115:$C$6504,C1909,Lanç!$G$115:$G$6504)</f>
        <v>0</v>
      </c>
      <c r="H1909" s="162">
        <f t="shared" si="105"/>
        <v>0</v>
      </c>
      <c r="I1909" s="162">
        <f t="shared" si="106"/>
        <v>0</v>
      </c>
    </row>
    <row r="1910" spans="1:14" hidden="1">
      <c r="A1910" s="151">
        <f>IF(E1910+F1910+G1910+H1910+I1910=0,1,0)</f>
        <v>1</v>
      </c>
      <c r="B1910" s="151" t="s">
        <v>206</v>
      </c>
      <c r="C1910" s="159">
        <v>728224</v>
      </c>
      <c r="D1910" s="160" t="s">
        <v>1818</v>
      </c>
      <c r="E1910" s="161">
        <f>SUMIF(Lanç!$C$3:$C$114,C1910,Lanç!$F$3:$F$114)</f>
        <v>0</v>
      </c>
      <c r="F1910" s="161">
        <f>SUMIF(Lanç!$C$115:$C$6504,C1910,Lanç!$F$115:$F$6504)</f>
        <v>0</v>
      </c>
      <c r="G1910" s="161">
        <f>SUMIF(Lanç!$C$115:$C$6504,C1910,Lanç!$G$115:$G$6504)</f>
        <v>0</v>
      </c>
      <c r="H1910" s="162">
        <f>(F1910)-(G1910)</f>
        <v>0</v>
      </c>
      <c r="I1910" s="162">
        <f>(E1910)+(H1910)</f>
        <v>0</v>
      </c>
    </row>
    <row r="1911" spans="1:14" hidden="1">
      <c r="A1911" s="151">
        <f t="shared" si="104"/>
        <v>1</v>
      </c>
      <c r="B1911" s="151" t="s">
        <v>206</v>
      </c>
      <c r="C1911" s="159">
        <v>728229</v>
      </c>
      <c r="D1911" s="160" t="s">
        <v>1321</v>
      </c>
      <c r="E1911" s="161">
        <f>SUMIF(Lanç!$C$3:$C$114,C1911,Lanç!$F$3:$F$114)</f>
        <v>0</v>
      </c>
      <c r="F1911" s="161">
        <f>SUMIF(Lanç!$C$115:$C$6504,C1911,Lanç!$F$115:$F$6504)</f>
        <v>0</v>
      </c>
      <c r="G1911" s="161">
        <f>SUMIF(Lanç!$C$115:$C$6504,C1911,Lanç!$G$115:$G$6504)</f>
        <v>0</v>
      </c>
      <c r="H1911" s="162">
        <f t="shared" si="105"/>
        <v>0</v>
      </c>
      <c r="I1911" s="162">
        <f t="shared" si="106"/>
        <v>0</v>
      </c>
      <c r="J1911" s="1"/>
      <c r="K1911" s="1"/>
      <c r="L1911" s="1"/>
      <c r="M1911" s="1"/>
      <c r="N1911" s="1"/>
    </row>
    <row r="1912" spans="1:14" s="57" customFormat="1" hidden="1">
      <c r="A1912" s="155">
        <f t="shared" si="104"/>
        <v>1</v>
      </c>
      <c r="B1912" s="155" t="s">
        <v>204</v>
      </c>
      <c r="C1912" s="156">
        <v>7289</v>
      </c>
      <c r="D1912" s="157" t="s">
        <v>1328</v>
      </c>
      <c r="E1912" s="158">
        <f>SUM(E1913:E1916)</f>
        <v>0</v>
      </c>
      <c r="F1912" s="158">
        <f>SUM(F1913:F1916)</f>
        <v>0</v>
      </c>
      <c r="G1912" s="158">
        <f>SUM(G1913:G1916)</f>
        <v>0</v>
      </c>
      <c r="H1912" s="163">
        <f t="shared" si="105"/>
        <v>0</v>
      </c>
      <c r="I1912" s="163">
        <f t="shared" si="106"/>
        <v>0</v>
      </c>
      <c r="J1912" s="1"/>
      <c r="K1912" s="1"/>
      <c r="L1912" s="1"/>
      <c r="M1912" s="1"/>
      <c r="N1912" s="1"/>
    </row>
    <row r="1913" spans="1:14" hidden="1">
      <c r="A1913" s="151">
        <f t="shared" si="104"/>
        <v>1</v>
      </c>
      <c r="B1913" s="151" t="s">
        <v>206</v>
      </c>
      <c r="C1913" s="159">
        <v>72891</v>
      </c>
      <c r="D1913" s="160" t="s">
        <v>1329</v>
      </c>
      <c r="E1913" s="161">
        <f>SUMIF(Lanç!$C$3:$C$114,C1913,Lanç!$F$3:$F$114)</f>
        <v>0</v>
      </c>
      <c r="F1913" s="161">
        <f>SUMIF(Lanç!$C$115:$C$6504,C1913,Lanç!$F$115:$F$6504)</f>
        <v>0</v>
      </c>
      <c r="G1913" s="161">
        <f>SUMIF(Lanç!$C$115:$C$6504,C1913,Lanç!$G$115:$G$6504)</f>
        <v>0</v>
      </c>
      <c r="H1913" s="162">
        <f t="shared" si="105"/>
        <v>0</v>
      </c>
      <c r="I1913" s="162">
        <f t="shared" si="106"/>
        <v>0</v>
      </c>
      <c r="J1913" s="1"/>
      <c r="K1913" s="1"/>
      <c r="L1913" s="1"/>
      <c r="M1913" s="1"/>
      <c r="N1913" s="1"/>
    </row>
    <row r="1914" spans="1:14" hidden="1">
      <c r="A1914" s="151">
        <f t="shared" si="104"/>
        <v>1</v>
      </c>
      <c r="B1914" s="151" t="s">
        <v>206</v>
      </c>
      <c r="C1914" s="159">
        <v>72892</v>
      </c>
      <c r="D1914" s="160" t="s">
        <v>1330</v>
      </c>
      <c r="E1914" s="161">
        <f>SUMIF(Lanç!$C$3:$C$114,C1914,Lanç!$F$3:$F$114)</f>
        <v>0</v>
      </c>
      <c r="F1914" s="161">
        <f>SUMIF(Lanç!$C$115:$C$6504,C1914,Lanç!$F$115:$F$6504)</f>
        <v>0</v>
      </c>
      <c r="G1914" s="161">
        <f>SUMIF(Lanç!$C$115:$C$6504,C1914,Lanç!$G$115:$G$6504)</f>
        <v>0</v>
      </c>
      <c r="H1914" s="162">
        <f t="shared" si="105"/>
        <v>0</v>
      </c>
      <c r="I1914" s="162">
        <f t="shared" si="106"/>
        <v>0</v>
      </c>
      <c r="J1914" s="1"/>
      <c r="K1914" s="1"/>
      <c r="L1914" s="1"/>
      <c r="M1914" s="1"/>
      <c r="N1914" s="1"/>
    </row>
    <row r="1915" spans="1:14" hidden="1">
      <c r="A1915" s="151">
        <f t="shared" si="104"/>
        <v>1</v>
      </c>
      <c r="B1915" s="151" t="s">
        <v>206</v>
      </c>
      <c r="C1915" s="159">
        <v>72893</v>
      </c>
      <c r="D1915" s="160" t="s">
        <v>1314</v>
      </c>
      <c r="E1915" s="161">
        <f>SUMIF(Lanç!$C$3:$C$114,C1915,Lanç!$F$3:$F$114)</f>
        <v>0</v>
      </c>
      <c r="F1915" s="161">
        <f>SUMIF(Lanç!$C$115:$C$6504,C1915,Lanç!$F$115:$F$6504)</f>
        <v>0</v>
      </c>
      <c r="G1915" s="161">
        <f>SUMIF(Lanç!$C$115:$C$6504,C1915,Lanç!$G$115:$G$6504)</f>
        <v>0</v>
      </c>
      <c r="H1915" s="162">
        <f t="shared" si="105"/>
        <v>0</v>
      </c>
      <c r="I1915" s="162">
        <f t="shared" si="106"/>
        <v>0</v>
      </c>
      <c r="J1915" s="1"/>
      <c r="K1915" s="1"/>
      <c r="L1915" s="1"/>
      <c r="M1915" s="1"/>
      <c r="N1915" s="1"/>
    </row>
    <row r="1916" spans="1:14" hidden="1">
      <c r="A1916" s="151">
        <f t="shared" si="104"/>
        <v>1</v>
      </c>
      <c r="B1916" s="151" t="s">
        <v>206</v>
      </c>
      <c r="C1916" s="159">
        <v>72894</v>
      </c>
      <c r="D1916" s="160" t="s">
        <v>1331</v>
      </c>
      <c r="E1916" s="161">
        <f>SUMIF(Lanç!$C$3:$C$114,C1916,Lanç!$F$3:$F$114)</f>
        <v>0</v>
      </c>
      <c r="F1916" s="161">
        <f>SUMIF(Lanç!$C$115:$C$6504,C1916,Lanç!$F$115:$F$6504)</f>
        <v>0</v>
      </c>
      <c r="G1916" s="161">
        <f>SUMIF(Lanç!$C$115:$C$6504,C1916,Lanç!$G$115:$G$6504)</f>
        <v>0</v>
      </c>
      <c r="H1916" s="162">
        <f t="shared" si="105"/>
        <v>0</v>
      </c>
      <c r="I1916" s="162">
        <f t="shared" si="106"/>
        <v>0</v>
      </c>
      <c r="J1916" s="1"/>
      <c r="K1916" s="1"/>
      <c r="L1916" s="1"/>
      <c r="M1916" s="1"/>
      <c r="N1916" s="1"/>
    </row>
    <row r="1917" spans="1:14">
      <c r="A1917" s="151">
        <f t="shared" si="104"/>
        <v>0</v>
      </c>
      <c r="B1917" s="155" t="s">
        <v>1166</v>
      </c>
      <c r="C1917" s="156">
        <v>729</v>
      </c>
      <c r="D1917" s="157" t="s">
        <v>1167</v>
      </c>
      <c r="E1917" s="158">
        <f>SUMIF(Lanç!$C$3:$C$114,C1917,Lanç!$F$3:$F$114)</f>
        <v>0</v>
      </c>
      <c r="F1917" s="158">
        <f>SUMIF(Lanç!$C$115:$C$6504,C1917,Lanç!$F$115:$F$6504)</f>
        <v>0</v>
      </c>
      <c r="G1917" s="158">
        <f>F1820</f>
        <v>33038302.689999998</v>
      </c>
      <c r="H1917" s="154">
        <f t="shared" si="105"/>
        <v>-33038302.689999998</v>
      </c>
      <c r="I1917" s="154">
        <f t="shared" si="106"/>
        <v>-33038302.689999998</v>
      </c>
    </row>
    <row r="1918" spans="1:14" hidden="1">
      <c r="A1918" s="151">
        <f t="shared" si="104"/>
        <v>1</v>
      </c>
      <c r="B1918" s="155" t="s">
        <v>202</v>
      </c>
      <c r="C1918" s="156">
        <v>73</v>
      </c>
      <c r="D1918" s="157" t="s">
        <v>1332</v>
      </c>
      <c r="E1918" s="158">
        <f>SUM(E1919,E1926,E1932)</f>
        <v>0</v>
      </c>
      <c r="F1918" s="158">
        <f>SUM(F1919,F1926,F1932)</f>
        <v>0</v>
      </c>
      <c r="G1918" s="158">
        <f>SUM(G1919,G1926,G1932)</f>
        <v>0</v>
      </c>
      <c r="H1918" s="154">
        <f t="shared" si="105"/>
        <v>0</v>
      </c>
      <c r="I1918" s="154">
        <f t="shared" si="106"/>
        <v>0</v>
      </c>
    </row>
    <row r="1919" spans="1:14" hidden="1">
      <c r="A1919" s="151">
        <f t="shared" si="104"/>
        <v>1</v>
      </c>
      <c r="B1919" s="155" t="s">
        <v>204</v>
      </c>
      <c r="C1919" s="156">
        <v>731</v>
      </c>
      <c r="D1919" s="157" t="s">
        <v>1333</v>
      </c>
      <c r="E1919" s="158">
        <f>SUM(E1920:E1925)</f>
        <v>0</v>
      </c>
      <c r="F1919" s="158">
        <f>SUM(F1920:F1925)</f>
        <v>0</v>
      </c>
      <c r="G1919" s="158">
        <f>SUM(G1920:G1925)</f>
        <v>0</v>
      </c>
      <c r="H1919" s="154">
        <f t="shared" si="105"/>
        <v>0</v>
      </c>
      <c r="I1919" s="154">
        <f t="shared" si="106"/>
        <v>0</v>
      </c>
    </row>
    <row r="1920" spans="1:14" hidden="1">
      <c r="A1920" s="151">
        <f t="shared" si="104"/>
        <v>1</v>
      </c>
      <c r="B1920" s="151" t="s">
        <v>206</v>
      </c>
      <c r="C1920" s="159">
        <v>7312</v>
      </c>
      <c r="D1920" s="160" t="s">
        <v>1334</v>
      </c>
      <c r="E1920" s="161">
        <f>SUMIF(Lanç!$C$3:$C$114,C1920,Lanç!$F$3:$F$114)</f>
        <v>0</v>
      </c>
      <c r="F1920" s="161">
        <f>SUMIF(Lanç!$C$115:$C$6504,C1920,Lanç!$F$115:$F$6504)</f>
        <v>0</v>
      </c>
      <c r="G1920" s="161">
        <f>SUMIF(Lanç!$C$115:$C$6504,C1920,Lanç!$G$115:$G$6504)</f>
        <v>0</v>
      </c>
      <c r="H1920" s="162">
        <f t="shared" si="105"/>
        <v>0</v>
      </c>
      <c r="I1920" s="162">
        <f t="shared" si="106"/>
        <v>0</v>
      </c>
    </row>
    <row r="1921" spans="1:14" hidden="1">
      <c r="A1921" s="151">
        <f t="shared" si="104"/>
        <v>1</v>
      </c>
      <c r="B1921" s="151" t="s">
        <v>206</v>
      </c>
      <c r="C1921" s="159">
        <v>7313</v>
      </c>
      <c r="D1921" s="160" t="s">
        <v>222</v>
      </c>
      <c r="E1921" s="161">
        <f>SUMIF(Lanç!$C$3:$C$114,C1921,Lanç!$F$3:$F$114)</f>
        <v>0</v>
      </c>
      <c r="F1921" s="161">
        <f>SUMIF(Lanç!$C$115:$C$6504,C1921,Lanç!$F$115:$F$6504)</f>
        <v>0</v>
      </c>
      <c r="G1921" s="161">
        <f>SUMIF(Lanç!$C$115:$C$6504,C1921,Lanç!$G$115:$G$6504)</f>
        <v>0</v>
      </c>
      <c r="H1921" s="162">
        <f t="shared" si="105"/>
        <v>0</v>
      </c>
      <c r="I1921" s="162">
        <f t="shared" si="106"/>
        <v>0</v>
      </c>
    </row>
    <row r="1922" spans="1:14" hidden="1">
      <c r="A1922" s="151">
        <f t="shared" si="104"/>
        <v>1</v>
      </c>
      <c r="B1922" s="151" t="s">
        <v>206</v>
      </c>
      <c r="C1922" s="159">
        <v>7314</v>
      </c>
      <c r="D1922" s="160" t="s">
        <v>228</v>
      </c>
      <c r="E1922" s="161">
        <f>SUMIF(Lanç!$C$3:$C$114,C1922,Lanç!$F$3:$F$114)</f>
        <v>0</v>
      </c>
      <c r="F1922" s="161">
        <f>SUMIF(Lanç!$C$115:$C$6504,C1922,Lanç!$F$115:$F$6504)</f>
        <v>0</v>
      </c>
      <c r="G1922" s="161">
        <f>SUMIF(Lanç!$C$115:$C$6504,C1922,Lanç!$G$115:$G$6504)</f>
        <v>0</v>
      </c>
      <c r="H1922" s="162">
        <f t="shared" si="105"/>
        <v>0</v>
      </c>
      <c r="I1922" s="162">
        <f t="shared" si="106"/>
        <v>0</v>
      </c>
    </row>
    <row r="1923" spans="1:14" hidden="1">
      <c r="A1923" s="151">
        <f t="shared" si="104"/>
        <v>1</v>
      </c>
      <c r="B1923" s="151" t="s">
        <v>206</v>
      </c>
      <c r="C1923" s="159">
        <v>7315</v>
      </c>
      <c r="D1923" s="160" t="s">
        <v>239</v>
      </c>
      <c r="E1923" s="161">
        <f>SUMIF(Lanç!$C$3:$C$114,C1923,Lanç!$F$3:$F$114)</f>
        <v>0</v>
      </c>
      <c r="F1923" s="161">
        <f>SUMIF(Lanç!$C$115:$C$6504,C1923,Lanç!$F$115:$F$6504)</f>
        <v>0</v>
      </c>
      <c r="G1923" s="161">
        <f>SUMIF(Lanç!$C$115:$C$6504,C1923,Lanç!$G$115:$G$6504)</f>
        <v>0</v>
      </c>
      <c r="H1923" s="162">
        <f t="shared" si="105"/>
        <v>0</v>
      </c>
      <c r="I1923" s="162">
        <f t="shared" si="106"/>
        <v>0</v>
      </c>
    </row>
    <row r="1924" spans="1:14" hidden="1">
      <c r="A1924" s="151">
        <f t="shared" si="104"/>
        <v>1</v>
      </c>
      <c r="B1924" s="151" t="s">
        <v>206</v>
      </c>
      <c r="C1924" s="159">
        <v>7316</v>
      </c>
      <c r="D1924" s="160" t="s">
        <v>247</v>
      </c>
      <c r="E1924" s="161">
        <f>SUMIF(Lanç!$C$3:$C$114,C1924,Lanç!$F$3:$F$114)</f>
        <v>0</v>
      </c>
      <c r="F1924" s="161">
        <f>SUMIF(Lanç!$C$115:$C$6504,C1924,Lanç!$F$115:$F$6504)</f>
        <v>0</v>
      </c>
      <c r="G1924" s="161">
        <f>SUMIF(Lanç!$C$115:$C$6504,C1924,Lanç!$G$115:$G$6504)</f>
        <v>0</v>
      </c>
      <c r="H1924" s="162">
        <f t="shared" si="105"/>
        <v>0</v>
      </c>
      <c r="I1924" s="162">
        <f t="shared" si="106"/>
        <v>0</v>
      </c>
    </row>
    <row r="1925" spans="1:14" hidden="1">
      <c r="A1925" s="151">
        <f t="shared" si="104"/>
        <v>1</v>
      </c>
      <c r="B1925" s="151" t="s">
        <v>206</v>
      </c>
      <c r="C1925" s="159">
        <v>7319</v>
      </c>
      <c r="D1925" s="160" t="s">
        <v>1335</v>
      </c>
      <c r="E1925" s="161">
        <f>SUMIF(Lanç!$C$3:$C$114,C1925,Lanç!$F$3:$F$114)</f>
        <v>0</v>
      </c>
      <c r="F1925" s="161">
        <f>SUMIF(Lanç!$C$115:$C$6504,C1925,Lanç!$F$115:$F$6504)</f>
        <v>0</v>
      </c>
      <c r="G1925" s="161">
        <f>SUMIF(Lanç!$C$115:$C$6504,C1925,Lanç!$G$115:$G$6504)</f>
        <v>0</v>
      </c>
      <c r="H1925" s="162">
        <f t="shared" si="105"/>
        <v>0</v>
      </c>
      <c r="I1925" s="162">
        <f t="shared" si="106"/>
        <v>0</v>
      </c>
      <c r="J1925" s="1"/>
      <c r="K1925" s="1"/>
      <c r="L1925" s="1"/>
      <c r="M1925" s="1"/>
      <c r="N1925" s="1"/>
    </row>
    <row r="1926" spans="1:14" hidden="1">
      <c r="A1926" s="151">
        <f t="shared" si="104"/>
        <v>1</v>
      </c>
      <c r="B1926" s="155" t="s">
        <v>204</v>
      </c>
      <c r="C1926" s="156">
        <v>732</v>
      </c>
      <c r="D1926" s="157" t="s">
        <v>1336</v>
      </c>
      <c r="E1926" s="158">
        <f>SUM(E1927:E1931)</f>
        <v>0</v>
      </c>
      <c r="F1926" s="158">
        <f>SUM(F1927:F1931)</f>
        <v>0</v>
      </c>
      <c r="G1926" s="158">
        <f>SUM(G1927:G1931)</f>
        <v>0</v>
      </c>
      <c r="H1926" s="154">
        <f t="shared" si="105"/>
        <v>0</v>
      </c>
      <c r="I1926" s="154">
        <f t="shared" si="106"/>
        <v>0</v>
      </c>
    </row>
    <row r="1927" spans="1:14" hidden="1">
      <c r="A1927" s="151">
        <f t="shared" si="104"/>
        <v>1</v>
      </c>
      <c r="B1927" s="151" t="s">
        <v>206</v>
      </c>
      <c r="C1927" s="159">
        <v>7321</v>
      </c>
      <c r="D1927" s="160" t="s">
        <v>1337</v>
      </c>
      <c r="E1927" s="161">
        <f>SUMIF(Lanç!$C$3:$C$114,C1927,Lanç!$F$3:$F$114)</f>
        <v>0</v>
      </c>
      <c r="F1927" s="161">
        <f>SUMIF(Lanç!$C$115:$C$6504,C1927,Lanç!$F$115:$F$6504)</f>
        <v>0</v>
      </c>
      <c r="G1927" s="161">
        <f>SUMIF(Lanç!$C$115:$C$6504,C1927,Lanç!$G$115:$G$6504)</f>
        <v>0</v>
      </c>
      <c r="H1927" s="162">
        <f t="shared" si="105"/>
        <v>0</v>
      </c>
      <c r="I1927" s="162">
        <f t="shared" si="106"/>
        <v>0</v>
      </c>
    </row>
    <row r="1928" spans="1:14" hidden="1">
      <c r="A1928" s="151">
        <f t="shared" si="104"/>
        <v>1</v>
      </c>
      <c r="B1928" s="151" t="s">
        <v>206</v>
      </c>
      <c r="C1928" s="159">
        <v>7322</v>
      </c>
      <c r="D1928" s="160" t="s">
        <v>1338</v>
      </c>
      <c r="E1928" s="161">
        <f>SUMIF(Lanç!$C$3:$C$114,C1928,Lanç!$F$3:$F$114)</f>
        <v>0</v>
      </c>
      <c r="F1928" s="161">
        <f>SUMIF(Lanç!$C$115:$C$6504,C1928,Lanç!$F$115:$F$6504)</f>
        <v>0</v>
      </c>
      <c r="G1928" s="161">
        <f>SUMIF(Lanç!$C$115:$C$6504,C1928,Lanç!$G$115:$G$6504)</f>
        <v>0</v>
      </c>
      <c r="H1928" s="162">
        <f t="shared" si="105"/>
        <v>0</v>
      </c>
      <c r="I1928" s="162">
        <f t="shared" si="106"/>
        <v>0</v>
      </c>
    </row>
    <row r="1929" spans="1:14" hidden="1">
      <c r="A1929" s="151">
        <f t="shared" si="104"/>
        <v>1</v>
      </c>
      <c r="B1929" s="151" t="s">
        <v>206</v>
      </c>
      <c r="C1929" s="159">
        <v>7323</v>
      </c>
      <c r="D1929" s="160" t="s">
        <v>1339</v>
      </c>
      <c r="E1929" s="161">
        <f>SUMIF(Lanç!$C$3:$C$114,C1929,Lanç!$F$3:$F$114)</f>
        <v>0</v>
      </c>
      <c r="F1929" s="161">
        <f>SUMIF(Lanç!$C$115:$C$6504,C1929,Lanç!$F$115:$F$6504)</f>
        <v>0</v>
      </c>
      <c r="G1929" s="161">
        <f>SUMIF(Lanç!$C$115:$C$6504,C1929,Lanç!$G$115:$G$6504)</f>
        <v>0</v>
      </c>
      <c r="H1929" s="162">
        <f t="shared" si="105"/>
        <v>0</v>
      </c>
      <c r="I1929" s="162">
        <f t="shared" si="106"/>
        <v>0</v>
      </c>
    </row>
    <row r="1930" spans="1:14" hidden="1">
      <c r="A1930" s="151">
        <f t="shared" si="104"/>
        <v>1</v>
      </c>
      <c r="B1930" s="151" t="s">
        <v>206</v>
      </c>
      <c r="C1930" s="159">
        <v>7324</v>
      </c>
      <c r="D1930" s="160" t="s">
        <v>259</v>
      </c>
      <c r="E1930" s="161">
        <f>SUMIF(Lanç!$C$3:$C$114,C1930,Lanç!$F$3:$F$114)</f>
        <v>0</v>
      </c>
      <c r="F1930" s="161">
        <f>SUMIF(Lanç!$C$115:$C$6504,C1930,Lanç!$F$115:$F$6504)</f>
        <v>0</v>
      </c>
      <c r="G1930" s="161">
        <f>SUMIF(Lanç!$C$115:$C$6504,C1930,Lanç!$G$115:$G$6504)</f>
        <v>0</v>
      </c>
      <c r="H1930" s="162">
        <f t="shared" si="105"/>
        <v>0</v>
      </c>
      <c r="I1930" s="162">
        <f t="shared" si="106"/>
        <v>0</v>
      </c>
    </row>
    <row r="1931" spans="1:14" hidden="1">
      <c r="A1931" s="151">
        <f t="shared" si="104"/>
        <v>1</v>
      </c>
      <c r="B1931" s="151" t="s">
        <v>206</v>
      </c>
      <c r="C1931" s="159">
        <v>7329</v>
      </c>
      <c r="D1931" s="160" t="s">
        <v>260</v>
      </c>
      <c r="E1931" s="161">
        <f>SUMIF(Lanç!$C$3:$C$114,C1931,Lanç!$F$3:$F$114)</f>
        <v>0</v>
      </c>
      <c r="F1931" s="161">
        <f>SUMIF(Lanç!$C$115:$C$6504,C1931,Lanç!$F$115:$F$6504)</f>
        <v>0</v>
      </c>
      <c r="G1931" s="161">
        <f>SUMIF(Lanç!$C$115:$C$6504,C1931,Lanç!$G$115:$G$6504)</f>
        <v>0</v>
      </c>
      <c r="H1931" s="162">
        <f t="shared" si="105"/>
        <v>0</v>
      </c>
      <c r="I1931" s="162">
        <f t="shared" si="106"/>
        <v>0</v>
      </c>
      <c r="J1931" s="1"/>
      <c r="K1931" s="1"/>
      <c r="L1931" s="1"/>
      <c r="M1931" s="1"/>
      <c r="N1931" s="1"/>
    </row>
    <row r="1932" spans="1:14" hidden="1">
      <c r="A1932" s="151">
        <f t="shared" si="104"/>
        <v>1</v>
      </c>
      <c r="B1932" s="155" t="s">
        <v>1166</v>
      </c>
      <c r="C1932" s="156">
        <v>739</v>
      </c>
      <c r="D1932" s="157" t="s">
        <v>1167</v>
      </c>
      <c r="E1932" s="158">
        <f>SUMIF(Lanç!$C$3:$C$114,C1932,Lanç!$F$3:$F$114)</f>
        <v>0</v>
      </c>
      <c r="F1932" s="158">
        <f>SUMIF(Lanç!$C$115:$C$6504,C1932,Lanç!$F$115:$F$6504)</f>
        <v>0</v>
      </c>
      <c r="G1932" s="158">
        <f>F1918</f>
        <v>0</v>
      </c>
      <c r="H1932" s="154">
        <f t="shared" si="105"/>
        <v>0</v>
      </c>
      <c r="I1932" s="154">
        <f t="shared" si="106"/>
        <v>0</v>
      </c>
    </row>
    <row r="1933" spans="1:14">
      <c r="A1933" s="151">
        <f t="shared" si="104"/>
        <v>0</v>
      </c>
      <c r="B1933" s="155" t="s">
        <v>202</v>
      </c>
      <c r="C1933" s="156">
        <v>75</v>
      </c>
      <c r="D1933" s="157" t="s">
        <v>1340</v>
      </c>
      <c r="E1933" s="158">
        <f>SUM(E1934,E1945,E2040,E2058,E2059,E2060,E2061,E2065)</f>
        <v>0</v>
      </c>
      <c r="F1933" s="158">
        <f>SUM(F1934,F1945,F2040,F2058,F2059,F2060,F2061,F2065)</f>
        <v>219852715.24000001</v>
      </c>
      <c r="G1933" s="158">
        <f>SUM(G1934,G1945,G2040,G2058,G2059,G2060,G2061,G2065)</f>
        <v>219852715.24000001</v>
      </c>
      <c r="H1933" s="154">
        <f t="shared" si="105"/>
        <v>0</v>
      </c>
      <c r="I1933" s="154">
        <f t="shared" si="106"/>
        <v>0</v>
      </c>
    </row>
    <row r="1934" spans="1:14">
      <c r="A1934" s="151">
        <f t="shared" si="104"/>
        <v>0</v>
      </c>
      <c r="B1934" s="155" t="s">
        <v>204</v>
      </c>
      <c r="C1934" s="156">
        <v>751</v>
      </c>
      <c r="D1934" s="157" t="s">
        <v>1341</v>
      </c>
      <c r="E1934" s="158">
        <f>SUM(E1935,E1942)</f>
        <v>0</v>
      </c>
      <c r="F1934" s="158">
        <f>SUM(F1935,F1942)</f>
        <v>51542269.740000002</v>
      </c>
      <c r="G1934" s="158">
        <f>SUM(G1935,G1942)</f>
        <v>0</v>
      </c>
      <c r="H1934" s="154">
        <f t="shared" si="105"/>
        <v>51542269.740000002</v>
      </c>
      <c r="I1934" s="154">
        <f t="shared" si="106"/>
        <v>51542269.740000002</v>
      </c>
    </row>
    <row r="1935" spans="1:14" s="57" customFormat="1">
      <c r="A1935" s="155">
        <f t="shared" si="104"/>
        <v>0</v>
      </c>
      <c r="B1935" s="155" t="s">
        <v>204</v>
      </c>
      <c r="C1935" s="156">
        <v>7511</v>
      </c>
      <c r="D1935" s="157" t="s">
        <v>1342</v>
      </c>
      <c r="E1935" s="158">
        <f>SUM(E1936:E1941)</f>
        <v>0</v>
      </c>
      <c r="F1935" s="158">
        <f>SUM(F1936:F1941)</f>
        <v>51542269.740000002</v>
      </c>
      <c r="G1935" s="158">
        <f>SUM(G1936:G1941)</f>
        <v>0</v>
      </c>
      <c r="H1935" s="163">
        <f t="shared" si="105"/>
        <v>51542269.740000002</v>
      </c>
      <c r="I1935" s="163">
        <f t="shared" si="106"/>
        <v>51542269.740000002</v>
      </c>
      <c r="J1935" s="1"/>
      <c r="K1935" s="1"/>
      <c r="L1935" s="1"/>
      <c r="M1935" s="1"/>
      <c r="N1935" s="1"/>
    </row>
    <row r="1936" spans="1:14" hidden="1">
      <c r="A1936" s="151">
        <f t="shared" si="104"/>
        <v>1</v>
      </c>
      <c r="B1936" s="151" t="s">
        <v>206</v>
      </c>
      <c r="C1936" s="159">
        <v>75111</v>
      </c>
      <c r="D1936" s="160" t="s">
        <v>1343</v>
      </c>
      <c r="E1936" s="161">
        <f>SUMIF(Lanç!$C$3:$C$114,C1936,Lanç!$F$3:$F$114)</f>
        <v>0</v>
      </c>
      <c r="F1936" s="161">
        <f>SUMIF(Lanç!$C$115:$C$6504,C1936,Lanç!$F$115:$F$6504)</f>
        <v>0</v>
      </c>
      <c r="G1936" s="161">
        <f>SUMIF(Lanç!$C$115:$C$6504,C1936,Lanç!$G$115:$G$6504)</f>
        <v>0</v>
      </c>
      <c r="H1936" s="162">
        <f t="shared" si="105"/>
        <v>0</v>
      </c>
      <c r="I1936" s="162">
        <f t="shared" si="106"/>
        <v>0</v>
      </c>
      <c r="J1936" s="1"/>
      <c r="K1936" s="1"/>
      <c r="L1936" s="1"/>
      <c r="M1936" s="1"/>
      <c r="N1936" s="1"/>
    </row>
    <row r="1937" spans="1:14">
      <c r="A1937" s="151">
        <f t="shared" si="104"/>
        <v>0</v>
      </c>
      <c r="B1937" s="151" t="s">
        <v>206</v>
      </c>
      <c r="C1937" s="159">
        <v>75112</v>
      </c>
      <c r="D1937" s="160" t="s">
        <v>2016</v>
      </c>
      <c r="E1937" s="161">
        <f>SUMIF(Lanç!$C$3:$C$114,C1937,Lanç!$F$3:$F$114)</f>
        <v>0</v>
      </c>
      <c r="F1937" s="161">
        <f>SUMIF(Lanç!$C$115:$C$6504,C1937,Lanç!$F$115:$F$6504)</f>
        <v>3500000</v>
      </c>
      <c r="G1937" s="161">
        <f>SUMIF(Lanç!$C$115:$C$6504,C1937,Lanç!$G$115:$G$6504)</f>
        <v>0</v>
      </c>
      <c r="H1937" s="162">
        <f t="shared" si="105"/>
        <v>3500000</v>
      </c>
      <c r="I1937" s="162">
        <f t="shared" si="106"/>
        <v>3500000</v>
      </c>
      <c r="J1937" s="1"/>
      <c r="K1937" s="1"/>
      <c r="L1937" s="1"/>
      <c r="M1937" s="1"/>
      <c r="N1937" s="1"/>
    </row>
    <row r="1938" spans="1:14">
      <c r="A1938" s="151">
        <f t="shared" ref="A1938" si="107">IF(E1938+F1938+G1938+H1938+I1938=0,1,0)</f>
        <v>0</v>
      </c>
      <c r="B1938" s="151" t="s">
        <v>206</v>
      </c>
      <c r="C1938" s="159">
        <v>75113</v>
      </c>
      <c r="D1938" s="160" t="s">
        <v>1992</v>
      </c>
      <c r="E1938" s="161">
        <f>SUMIF(Lanç!$C$3:$C$114,C1938,Lanç!$F$3:$F$114)</f>
        <v>0</v>
      </c>
      <c r="F1938" s="161">
        <f>SUMIF(Lanç!$C$115:$C$6504,C1938,Lanç!$F$115:$F$6504)</f>
        <v>45346191.120000005</v>
      </c>
      <c r="G1938" s="161">
        <f>SUMIF(Lanç!$C$115:$C$6504,C1938,Lanç!$G$115:$G$6504)</f>
        <v>0</v>
      </c>
      <c r="H1938" s="162">
        <f t="shared" ref="H1938" si="108">(F1938)-(G1938)</f>
        <v>45346191.120000005</v>
      </c>
      <c r="I1938" s="162">
        <f t="shared" ref="I1938" si="109">(E1938)+(H1938)</f>
        <v>45346191.120000005</v>
      </c>
      <c r="J1938" s="1"/>
      <c r="K1938" s="1"/>
      <c r="L1938" s="1"/>
      <c r="M1938" s="1"/>
      <c r="N1938" s="1"/>
    </row>
    <row r="1939" spans="1:14">
      <c r="A1939" s="151">
        <f>IF(E1939+F1939+G1939+H1939+I1939=0,1,0)</f>
        <v>0</v>
      </c>
      <c r="B1939" s="151" t="s">
        <v>206</v>
      </c>
      <c r="C1939" s="159">
        <v>75114</v>
      </c>
      <c r="D1939" s="160" t="s">
        <v>2017</v>
      </c>
      <c r="E1939" s="161">
        <f>SUMIF(Lanç!$C$3:$C$114,C1939,Lanç!$F$3:$F$114)</f>
        <v>0</v>
      </c>
      <c r="F1939" s="161">
        <f>SUMIF(Lanç!$C$115:$C$6504,C1939,Lanç!$F$115:$F$6504)</f>
        <v>1083000</v>
      </c>
      <c r="G1939" s="161">
        <f>SUMIF(Lanç!$C$115:$C$6504,C1939,Lanç!$G$115:$G$6504)</f>
        <v>0</v>
      </c>
      <c r="H1939" s="162">
        <f>(F1939)-(G1939)</f>
        <v>1083000</v>
      </c>
      <c r="I1939" s="162">
        <f>(E1939)+(H1939)</f>
        <v>1083000</v>
      </c>
      <c r="J1939" s="1"/>
      <c r="K1939" s="1"/>
      <c r="L1939" s="1"/>
      <c r="M1939" s="1"/>
      <c r="N1939" s="1"/>
    </row>
    <row r="1940" spans="1:14">
      <c r="A1940" s="151">
        <f>IF(E1940+F1940+G1940+H1940+I1940=0,1,0)</f>
        <v>0</v>
      </c>
      <c r="B1940" s="151" t="s">
        <v>206</v>
      </c>
      <c r="C1940" s="159">
        <v>75115</v>
      </c>
      <c r="D1940" s="160" t="s">
        <v>1877</v>
      </c>
      <c r="E1940" s="161">
        <f>SUMIF(Lanç!$C$3:$C$114,C1940,Lanç!$F$3:$F$114)</f>
        <v>0</v>
      </c>
      <c r="F1940" s="161">
        <f>SUMIF(Lanç!$C$115:$C$6504,C1940,Lanç!$F$115:$F$6504)</f>
        <v>1153078.6200000001</v>
      </c>
      <c r="G1940" s="161">
        <f>SUMIF(Lanç!$C$115:$C$6504,C1940,Lanç!$G$115:$G$6504)</f>
        <v>0</v>
      </c>
      <c r="H1940" s="162">
        <f>(F1940)-(G1940)</f>
        <v>1153078.6200000001</v>
      </c>
      <c r="I1940" s="162">
        <f>(E1940)+(H1940)</f>
        <v>1153078.6200000001</v>
      </c>
      <c r="J1940" s="1"/>
      <c r="K1940" s="1"/>
      <c r="L1940" s="1"/>
      <c r="M1940" s="1"/>
      <c r="N1940" s="1"/>
    </row>
    <row r="1941" spans="1:14">
      <c r="A1941" s="151">
        <f>IF(E1941+F1941+G1941+H1941+I1941=0,1,0)</f>
        <v>0</v>
      </c>
      <c r="B1941" s="151" t="s">
        <v>206</v>
      </c>
      <c r="C1941" s="159">
        <v>75116</v>
      </c>
      <c r="D1941" s="160" t="s">
        <v>2063</v>
      </c>
      <c r="E1941" s="161">
        <f>SUMIF(Lanç!$C$3:$C$114,C1941,Lanç!$F$3:$F$114)</f>
        <v>0</v>
      </c>
      <c r="F1941" s="161">
        <f>SUMIF(Lanç!$C$115:$C$6504,C1941,Lanç!$F$115:$F$6504)</f>
        <v>460000</v>
      </c>
      <c r="G1941" s="161">
        <f>SUMIF(Lanç!$C$115:$C$6504,C1941,Lanç!$G$115:$G$6504)</f>
        <v>0</v>
      </c>
      <c r="H1941" s="162">
        <f>(F1941)-(G1941)</f>
        <v>460000</v>
      </c>
      <c r="I1941" s="162">
        <f>(E1941)+(H1941)</f>
        <v>460000</v>
      </c>
      <c r="J1941" s="1"/>
      <c r="K1941" s="1"/>
      <c r="L1941" s="1"/>
      <c r="M1941" s="1"/>
      <c r="N1941" s="1"/>
    </row>
    <row r="1942" spans="1:14" hidden="1">
      <c r="A1942" s="151">
        <f t="shared" si="104"/>
        <v>1</v>
      </c>
      <c r="B1942" s="155" t="s">
        <v>204</v>
      </c>
      <c r="C1942" s="156">
        <v>7512</v>
      </c>
      <c r="D1942" s="157" t="s">
        <v>1344</v>
      </c>
      <c r="E1942" s="158">
        <f>SUM(E1943:E1944)</f>
        <v>0</v>
      </c>
      <c r="F1942" s="158">
        <f>SUM(F1943:F1944)</f>
        <v>0</v>
      </c>
      <c r="G1942" s="158">
        <f>SUM(G1943:G1944)</f>
        <v>0</v>
      </c>
      <c r="H1942" s="154">
        <f t="shared" si="105"/>
        <v>0</v>
      </c>
      <c r="I1942" s="154">
        <f t="shared" si="106"/>
        <v>0</v>
      </c>
    </row>
    <row r="1943" spans="1:14" hidden="1">
      <c r="A1943" s="151">
        <f t="shared" si="104"/>
        <v>1</v>
      </c>
      <c r="B1943" s="151" t="s">
        <v>206</v>
      </c>
      <c r="C1943" s="159">
        <v>75121</v>
      </c>
      <c r="D1943" s="160" t="s">
        <v>1345</v>
      </c>
      <c r="E1943" s="161">
        <f>SUMIF(Lanç!$C$3:$C$114,C1943,Lanç!$F$3:$F$114)</f>
        <v>0</v>
      </c>
      <c r="F1943" s="161">
        <f>SUMIF(Lanç!$C$115:$C$6504,C1943,Lanç!$F$115:$F$6504)</f>
        <v>0</v>
      </c>
      <c r="G1943" s="161">
        <f>SUMIF(Lanç!$C$115:$C$6504,C1943,Lanç!$G$115:$G$6504)</f>
        <v>0</v>
      </c>
      <c r="H1943" s="162">
        <f t="shared" si="105"/>
        <v>0</v>
      </c>
      <c r="I1943" s="162">
        <f t="shared" si="106"/>
        <v>0</v>
      </c>
    </row>
    <row r="1944" spans="1:14" hidden="1">
      <c r="A1944" s="151">
        <f t="shared" si="104"/>
        <v>1</v>
      </c>
      <c r="B1944" s="151" t="s">
        <v>206</v>
      </c>
      <c r="C1944" s="159">
        <v>75122</v>
      </c>
      <c r="D1944" s="160" t="s">
        <v>1346</v>
      </c>
      <c r="E1944" s="161">
        <f>SUMIF(Lanç!$C$3:$C$114,C1944,Lanç!$F$3:$F$114)</f>
        <v>0</v>
      </c>
      <c r="F1944" s="161">
        <f>SUMIF(Lanç!$C$115:$C$6504,C1944,Lanç!$F$115:$F$6504)</f>
        <v>0</v>
      </c>
      <c r="G1944" s="161">
        <f>SUMIF(Lanç!$C$115:$C$6504,C1944,Lanç!$G$115:$G$6504)</f>
        <v>0</v>
      </c>
      <c r="H1944" s="162">
        <f t="shared" si="105"/>
        <v>0</v>
      </c>
      <c r="I1944" s="162">
        <f t="shared" si="106"/>
        <v>0</v>
      </c>
      <c r="J1944" s="1"/>
      <c r="K1944" s="1"/>
      <c r="L1944" s="1"/>
      <c r="M1944" s="1"/>
      <c r="N1944" s="1"/>
    </row>
    <row r="1945" spans="1:14">
      <c r="A1945" s="151">
        <f t="shared" si="104"/>
        <v>0</v>
      </c>
      <c r="B1945" s="155" t="s">
        <v>204</v>
      </c>
      <c r="C1945" s="156">
        <v>752</v>
      </c>
      <c r="D1945" s="157" t="s">
        <v>1347</v>
      </c>
      <c r="E1945" s="158">
        <f>SUM(E1946,E1955,E1966,E1969,E1974,E1979,E1982,E1987,E1995,E2006,E2008,E2011,E2013,E2016,E2026,E2031,E2033,E2038)</f>
        <v>0</v>
      </c>
      <c r="F1945" s="158">
        <f>SUM(F1946,F1955,F1966,F1969,F1974,F1979,F1982,F1987,F1995,F2006,F2008,F2011,F2013,F2016,F2026,F2031,F2033,F2038)</f>
        <v>166558105.5</v>
      </c>
      <c r="G1945" s="158">
        <f>SUM(G1946,G1955,G1966,G1969,G1974,G1979,G1982,G1987,G1995,G2006,G2008,G2011,G2013,G2016,G2026,G2031,G2033,G2038)</f>
        <v>0</v>
      </c>
      <c r="H1945" s="154">
        <f t="shared" si="105"/>
        <v>166558105.5</v>
      </c>
      <c r="I1945" s="154">
        <f t="shared" si="106"/>
        <v>166558105.5</v>
      </c>
    </row>
    <row r="1946" spans="1:14">
      <c r="A1946" s="151">
        <f t="shared" si="104"/>
        <v>0</v>
      </c>
      <c r="B1946" s="155" t="s">
        <v>204</v>
      </c>
      <c r="C1946" s="156">
        <v>7521</v>
      </c>
      <c r="D1946" s="157" t="s">
        <v>1347</v>
      </c>
      <c r="E1946" s="158">
        <f>SUM(E1947:E1949)</f>
        <v>0</v>
      </c>
      <c r="F1946" s="158">
        <f>SUM(F1947:F1949)</f>
        <v>2072681.2599999998</v>
      </c>
      <c r="G1946" s="158">
        <f>SUM(G1947:G1949)</f>
        <v>0</v>
      </c>
      <c r="H1946" s="154">
        <f t="shared" si="105"/>
        <v>2072681.2599999998</v>
      </c>
      <c r="I1946" s="154">
        <f t="shared" si="106"/>
        <v>2072681.2599999998</v>
      </c>
    </row>
    <row r="1947" spans="1:14">
      <c r="A1947" s="151">
        <f t="shared" si="104"/>
        <v>0</v>
      </c>
      <c r="B1947" s="151" t="s">
        <v>206</v>
      </c>
      <c r="C1947" s="159">
        <v>75211</v>
      </c>
      <c r="D1947" s="160" t="s">
        <v>30</v>
      </c>
      <c r="E1947" s="161">
        <f>SUMIF(Lanç!$C$3:$C$114,C1947,Lanç!$F$3:$F$114)</f>
        <v>0</v>
      </c>
      <c r="F1947" s="161">
        <f>SUMIF(Lanç!$C$115:$C$6504,C1947,Lanç!$F$115:$F$6504)</f>
        <v>144000</v>
      </c>
      <c r="G1947" s="161">
        <f>SUMIF(Lanç!$C$115:$C$6504,C1947,Lanç!$G$115:$G$6504)</f>
        <v>0</v>
      </c>
      <c r="H1947" s="162">
        <f t="shared" si="105"/>
        <v>144000</v>
      </c>
      <c r="I1947" s="162">
        <f t="shared" si="106"/>
        <v>144000</v>
      </c>
    </row>
    <row r="1948" spans="1:14" hidden="1">
      <c r="A1948" s="151">
        <f t="shared" si="104"/>
        <v>1</v>
      </c>
      <c r="B1948" s="151" t="s">
        <v>206</v>
      </c>
      <c r="C1948" s="159">
        <v>75212</v>
      </c>
      <c r="D1948" s="160" t="s">
        <v>1348</v>
      </c>
      <c r="E1948" s="161">
        <f>SUMIF(Lanç!$C$3:$C$114,C1948,Lanç!$F$3:$F$114)</f>
        <v>0</v>
      </c>
      <c r="F1948" s="161">
        <f>SUMIF(Lanç!$C$115:$C$6504,C1948,Lanç!$F$115:$F$6504)</f>
        <v>0</v>
      </c>
      <c r="G1948" s="161">
        <f>SUMIF(Lanç!$C$115:$C$6504,C1948,Lanç!$G$115:$G$6504)</f>
        <v>0</v>
      </c>
      <c r="H1948" s="162">
        <f t="shared" si="105"/>
        <v>0</v>
      </c>
      <c r="I1948" s="162">
        <f t="shared" si="106"/>
        <v>0</v>
      </c>
      <c r="J1948" s="1"/>
      <c r="K1948" s="1"/>
      <c r="L1948" s="1"/>
      <c r="M1948" s="1"/>
      <c r="N1948" s="1"/>
    </row>
    <row r="1949" spans="1:14">
      <c r="A1949" s="151">
        <f t="shared" si="104"/>
        <v>0</v>
      </c>
      <c r="B1949" s="155" t="s">
        <v>204</v>
      </c>
      <c r="C1949" s="156">
        <v>75213</v>
      </c>
      <c r="D1949" s="157" t="s">
        <v>1349</v>
      </c>
      <c r="E1949" s="158">
        <f>SUM(E1950:E1954)</f>
        <v>0</v>
      </c>
      <c r="F1949" s="158">
        <f>SUM(F1950:F1954)</f>
        <v>1928681.2599999998</v>
      </c>
      <c r="G1949" s="158">
        <f>SUM(G1950:G1954)</f>
        <v>0</v>
      </c>
      <c r="H1949" s="154">
        <f t="shared" si="105"/>
        <v>1928681.2599999998</v>
      </c>
      <c r="I1949" s="154">
        <f t="shared" si="106"/>
        <v>1928681.2599999998</v>
      </c>
    </row>
    <row r="1950" spans="1:14">
      <c r="A1950" s="151">
        <f t="shared" si="104"/>
        <v>0</v>
      </c>
      <c r="B1950" s="151" t="s">
        <v>206</v>
      </c>
      <c r="C1950" s="159">
        <v>752131</v>
      </c>
      <c r="D1950" s="160" t="s">
        <v>44</v>
      </c>
      <c r="E1950" s="161">
        <f>SUMIF(Lanç!$C$3:$C$114,C1950,Lanç!$F$3:$F$114)</f>
        <v>0</v>
      </c>
      <c r="F1950" s="161">
        <f>SUMIF(Lanç!$C$115:$C$6504,C1950,Lanç!$F$115:$F$6504)</f>
        <v>1657492.8599999999</v>
      </c>
      <c r="G1950" s="161">
        <f>SUMIF(Lanç!$C$115:$C$6504,C1950,Lanç!$G$115:$G$6504)</f>
        <v>0</v>
      </c>
      <c r="H1950" s="162">
        <f t="shared" si="105"/>
        <v>1657492.8599999999</v>
      </c>
      <c r="I1950" s="162">
        <f t="shared" si="106"/>
        <v>1657492.8599999999</v>
      </c>
    </row>
    <row r="1951" spans="1:14">
      <c r="A1951" s="151">
        <f t="shared" si="104"/>
        <v>0</v>
      </c>
      <c r="B1951" s="151" t="s">
        <v>206</v>
      </c>
      <c r="C1951" s="159">
        <v>752132</v>
      </c>
      <c r="D1951" s="160" t="s">
        <v>28</v>
      </c>
      <c r="E1951" s="161">
        <f>SUMIF(Lanç!$C$3:$C$114,C1951,Lanç!$F$3:$F$114)</f>
        <v>0</v>
      </c>
      <c r="F1951" s="161">
        <f>SUMIF(Lanç!$C$115:$C$6504,C1951,Lanç!$F$115:$F$6504)</f>
        <v>223688.40000000002</v>
      </c>
      <c r="G1951" s="161">
        <f>SUMIF(Lanç!$C$115:$C$6504,C1951,Lanç!$G$115:$G$6504)</f>
        <v>0</v>
      </c>
      <c r="H1951" s="162">
        <f t="shared" si="105"/>
        <v>223688.40000000002</v>
      </c>
      <c r="I1951" s="162">
        <f t="shared" si="106"/>
        <v>223688.40000000002</v>
      </c>
    </row>
    <row r="1952" spans="1:14">
      <c r="A1952" s="151">
        <f t="shared" si="104"/>
        <v>0</v>
      </c>
      <c r="B1952" s="151" t="s">
        <v>206</v>
      </c>
      <c r="C1952" s="159">
        <v>752133</v>
      </c>
      <c r="D1952" s="160" t="s">
        <v>29</v>
      </c>
      <c r="E1952" s="161">
        <f>SUMIF(Lanç!$C$3:$C$114,C1952,Lanç!$F$3:$F$114)</f>
        <v>0</v>
      </c>
      <c r="F1952" s="161">
        <f>SUMIF(Lanç!$C$115:$C$6504,C1952,Lanç!$F$115:$F$6504)</f>
        <v>47500</v>
      </c>
      <c r="G1952" s="161">
        <f>SUMIF(Lanç!$C$115:$C$6504,C1952,Lanç!$G$115:$G$6504)</f>
        <v>0</v>
      </c>
      <c r="H1952" s="162">
        <f>(F1952)-(G1952)</f>
        <v>47500</v>
      </c>
      <c r="I1952" s="162">
        <f>(E1952)+(H1952)</f>
        <v>47500</v>
      </c>
    </row>
    <row r="1953" spans="1:14" hidden="1">
      <c r="A1953" s="151">
        <f t="shared" si="104"/>
        <v>1</v>
      </c>
      <c r="B1953" s="151" t="s">
        <v>206</v>
      </c>
      <c r="C1953" s="159">
        <v>752134</v>
      </c>
      <c r="D1953" s="160" t="s">
        <v>1350</v>
      </c>
      <c r="E1953" s="161">
        <f>SUMIF(Lanç!$C$3:$C$114,C1953,Lanç!$F$3:$F$114)</f>
        <v>0</v>
      </c>
      <c r="F1953" s="161">
        <f>SUMIF(Lanç!$C$115:$C$6504,C1953,Lanç!$F$115:$F$6504)</f>
        <v>0</v>
      </c>
      <c r="G1953" s="161">
        <f>SUMIF(Lanç!$C$115:$C$6504,C1953,Lanç!$G$115:$G$6504)</f>
        <v>0</v>
      </c>
      <c r="H1953" s="162">
        <f t="shared" ref="H1953:H2021" si="110">(F1953)-(G1953)</f>
        <v>0</v>
      </c>
      <c r="I1953" s="162">
        <f t="shared" ref="I1953:I2021" si="111">(E1953)+(H1953)</f>
        <v>0</v>
      </c>
      <c r="J1953" s="1"/>
      <c r="K1953" s="1"/>
      <c r="L1953" s="1"/>
      <c r="M1953" s="1"/>
      <c r="N1953" s="1"/>
    </row>
    <row r="1954" spans="1:14" hidden="1">
      <c r="A1954" s="151">
        <f>IF(E1954+F1954+G1954+H1954+I1954=0,1,0)</f>
        <v>1</v>
      </c>
      <c r="B1954" s="151" t="s">
        <v>206</v>
      </c>
      <c r="C1954" s="159">
        <v>752135</v>
      </c>
      <c r="D1954" s="160" t="s">
        <v>1819</v>
      </c>
      <c r="E1954" s="161">
        <f>SUMIF(Lanç!$C$3:$C$114,C1954,Lanç!$F$3:$F$114)</f>
        <v>0</v>
      </c>
      <c r="F1954" s="161">
        <f>SUMIF(Lanç!$C$115:$C$6504,C1954,Lanç!$F$115:$F$6504)</f>
        <v>0</v>
      </c>
      <c r="G1954" s="161">
        <f>SUMIF(Lanç!$C$115:$C$6504,C1954,Lanç!$G$115:$G$6504)</f>
        <v>0</v>
      </c>
      <c r="H1954" s="162">
        <f>(F1954)-(G1954)</f>
        <v>0</v>
      </c>
      <c r="I1954" s="162">
        <f>(E1954)+(H1954)</f>
        <v>0</v>
      </c>
      <c r="J1954" s="1"/>
      <c r="K1954" s="1"/>
      <c r="L1954" s="1"/>
      <c r="M1954" s="1"/>
      <c r="N1954" s="1"/>
    </row>
    <row r="1955" spans="1:14">
      <c r="A1955" s="151">
        <f t="shared" si="104"/>
        <v>0</v>
      </c>
      <c r="B1955" s="155" t="s">
        <v>204</v>
      </c>
      <c r="C1955" s="156">
        <v>75214</v>
      </c>
      <c r="D1955" s="157" t="s">
        <v>1351</v>
      </c>
      <c r="E1955" s="158">
        <f>SUM(E1956:E1965)</f>
        <v>0</v>
      </c>
      <c r="F1955" s="158">
        <f>SUM(F1956:F1965)</f>
        <v>31149114.300000004</v>
      </c>
      <c r="G1955" s="158">
        <f>SUM(G1956:G1965)</f>
        <v>0</v>
      </c>
      <c r="H1955" s="154">
        <f t="shared" si="110"/>
        <v>31149114.300000004</v>
      </c>
      <c r="I1955" s="154">
        <f t="shared" si="111"/>
        <v>31149114.300000004</v>
      </c>
    </row>
    <row r="1956" spans="1:14">
      <c r="A1956" s="151">
        <f t="shared" si="104"/>
        <v>0</v>
      </c>
      <c r="B1956" s="151" t="s">
        <v>206</v>
      </c>
      <c r="C1956" s="159">
        <v>752142</v>
      </c>
      <c r="D1956" s="160" t="s">
        <v>1334</v>
      </c>
      <c r="E1956" s="161">
        <f>SUMIF(Lanç!$C$3:$C$114,C1956,Lanç!$F$3:$F$114)</f>
        <v>0</v>
      </c>
      <c r="F1956" s="161">
        <f>SUMIF(Lanç!$C$115:$C$6504,C1956,Lanç!$F$115:$F$6504)</f>
        <v>35500</v>
      </c>
      <c r="G1956" s="161">
        <f>SUMIF(Lanç!$C$115:$C$6504,C1956,Lanç!$G$115:$G$6504)</f>
        <v>0</v>
      </c>
      <c r="H1956" s="162">
        <f t="shared" si="110"/>
        <v>35500</v>
      </c>
      <c r="I1956" s="162">
        <f t="shared" si="111"/>
        <v>35500</v>
      </c>
    </row>
    <row r="1957" spans="1:14">
      <c r="A1957" s="151">
        <f t="shared" si="104"/>
        <v>0</v>
      </c>
      <c r="B1957" s="151" t="s">
        <v>206</v>
      </c>
      <c r="C1957" s="159">
        <v>752143</v>
      </c>
      <c r="D1957" s="160" t="s">
        <v>222</v>
      </c>
      <c r="E1957" s="161">
        <f>SUMIF(Lanç!$C$3:$C$114,C1957,Lanç!$F$3:$F$114)</f>
        <v>0</v>
      </c>
      <c r="F1957" s="161">
        <f>SUMIF(Lanç!$C$115:$C$6504,C1957,Lanç!$F$115:$F$6504)</f>
        <v>1879170.22</v>
      </c>
      <c r="G1957" s="161">
        <f>SUMIF(Lanç!$C$115:$C$6504,C1957,Lanç!$G$115:$G$6504)</f>
        <v>0</v>
      </c>
      <c r="H1957" s="162">
        <f t="shared" si="110"/>
        <v>1879170.22</v>
      </c>
      <c r="I1957" s="162">
        <f t="shared" si="111"/>
        <v>1879170.22</v>
      </c>
    </row>
    <row r="1958" spans="1:14">
      <c r="A1958" s="151">
        <f t="shared" si="104"/>
        <v>0</v>
      </c>
      <c r="B1958" s="151" t="s">
        <v>206</v>
      </c>
      <c r="C1958" s="159">
        <v>752144</v>
      </c>
      <c r="D1958" s="160" t="s">
        <v>228</v>
      </c>
      <c r="E1958" s="161">
        <f>SUMIF(Lanç!$C$3:$C$114,C1958,Lanç!$F$3:$F$114)</f>
        <v>0</v>
      </c>
      <c r="F1958" s="161">
        <f>SUMIF(Lanç!$C$115:$C$6504,C1958,Lanç!$F$115:$F$6504)</f>
        <v>26451810.93</v>
      </c>
      <c r="G1958" s="161">
        <f>SUMIF(Lanç!$C$115:$C$6504,C1958,Lanç!$G$115:$G$6504)</f>
        <v>0</v>
      </c>
      <c r="H1958" s="162">
        <f t="shared" si="110"/>
        <v>26451810.93</v>
      </c>
      <c r="I1958" s="162">
        <f t="shared" si="111"/>
        <v>26451810.93</v>
      </c>
    </row>
    <row r="1959" spans="1:14" hidden="1">
      <c r="A1959" s="151">
        <f t="shared" ref="A1959:A2026" si="112">IF(E1959+F1959+G1959+H1959+I1959=0,1,0)</f>
        <v>1</v>
      </c>
      <c r="B1959" s="151" t="s">
        <v>206</v>
      </c>
      <c r="C1959" s="159">
        <v>752145</v>
      </c>
      <c r="D1959" s="160" t="s">
        <v>239</v>
      </c>
      <c r="E1959" s="161">
        <f>SUMIF(Lanç!$C$3:$C$114,C1959,Lanç!$F$3:$F$114)</f>
        <v>0</v>
      </c>
      <c r="F1959" s="161">
        <f>SUMIF(Lanç!$C$115:$C$6504,C1959,Lanç!$F$115:$F$6504)</f>
        <v>0</v>
      </c>
      <c r="G1959" s="161">
        <f>SUMIF(Lanç!$C$115:$C$6504,C1959,Lanç!$G$115:$G$6504)</f>
        <v>0</v>
      </c>
      <c r="H1959" s="162">
        <f t="shared" si="110"/>
        <v>0</v>
      </c>
      <c r="I1959" s="162">
        <f t="shared" si="111"/>
        <v>0</v>
      </c>
    </row>
    <row r="1960" spans="1:14">
      <c r="A1960" s="151">
        <f t="shared" ref="A1960" si="113">IF(E1960+F1960+G1960+H1960+I1960=0,1,0)</f>
        <v>0</v>
      </c>
      <c r="B1960" s="151" t="s">
        <v>206</v>
      </c>
      <c r="C1960" s="159">
        <v>752146</v>
      </c>
      <c r="D1960" s="160" t="s">
        <v>242</v>
      </c>
      <c r="E1960" s="161">
        <f>SUMIF(Lanç!$C$3:$C$114,C1960,Lanç!$F$3:$F$114)</f>
        <v>0</v>
      </c>
      <c r="F1960" s="161">
        <f>SUMIF(Lanç!$C$115:$C$6504,C1960,Lanç!$F$115:$F$6504)</f>
        <v>208840.12</v>
      </c>
      <c r="G1960" s="161">
        <f>SUMIF(Lanç!$C$115:$C$6504,C1960,Lanç!$G$115:$G$6504)</f>
        <v>0</v>
      </c>
      <c r="H1960" s="162">
        <f t="shared" ref="H1960" si="114">(F1960)-(G1960)</f>
        <v>208840.12</v>
      </c>
      <c r="I1960" s="162">
        <f t="shared" ref="I1960" si="115">(E1960)+(H1960)</f>
        <v>208840.12</v>
      </c>
    </row>
    <row r="1961" spans="1:14" hidden="1">
      <c r="A1961" s="151">
        <f t="shared" si="112"/>
        <v>1</v>
      </c>
      <c r="B1961" s="151" t="s">
        <v>206</v>
      </c>
      <c r="C1961" s="159">
        <v>752149</v>
      </c>
      <c r="D1961" s="160" t="s">
        <v>1352</v>
      </c>
      <c r="E1961" s="161">
        <f>SUMIF(Lanç!$C$3:$C$114,C1961,Lanç!$F$3:$F$114)</f>
        <v>0</v>
      </c>
      <c r="F1961" s="161">
        <f>SUMIF(Lanç!$C$115:$C$6504,C1961,Lanç!$F$115:$F$6504)</f>
        <v>0</v>
      </c>
      <c r="G1961" s="161">
        <f>SUMIF(Lanç!$C$115:$C$6504,C1961,Lanç!$G$115:$G$6504)</f>
        <v>0</v>
      </c>
      <c r="H1961" s="162">
        <f t="shared" si="110"/>
        <v>0</v>
      </c>
      <c r="I1961" s="162">
        <f t="shared" si="111"/>
        <v>0</v>
      </c>
    </row>
    <row r="1962" spans="1:14">
      <c r="A1962" s="151">
        <f t="shared" si="112"/>
        <v>0</v>
      </c>
      <c r="B1962" s="151" t="s">
        <v>206</v>
      </c>
      <c r="C1962" s="159">
        <v>75215</v>
      </c>
      <c r="D1962" s="160" t="s">
        <v>1353</v>
      </c>
      <c r="E1962" s="161">
        <f>SUMIF(Lanç!$C$3:$C$114,C1962,Lanç!$F$3:$F$114)</f>
        <v>0</v>
      </c>
      <c r="F1962" s="161">
        <f>SUMIF(Lanç!$C$115:$C$6504,C1962,Lanç!$F$115:$F$6504)</f>
        <v>918106.69</v>
      </c>
      <c r="G1962" s="161">
        <f>SUMIF(Lanç!$C$115:$C$6504,C1962,Lanç!$G$115:$G$6504)</f>
        <v>0</v>
      </c>
      <c r="H1962" s="162">
        <f t="shared" si="110"/>
        <v>918106.69</v>
      </c>
      <c r="I1962" s="162">
        <f t="shared" si="111"/>
        <v>918106.69</v>
      </c>
    </row>
    <row r="1963" spans="1:14">
      <c r="A1963" s="151">
        <f t="shared" si="112"/>
        <v>0</v>
      </c>
      <c r="B1963" s="151" t="s">
        <v>206</v>
      </c>
      <c r="C1963" s="159">
        <v>75216</v>
      </c>
      <c r="D1963" s="160" t="s">
        <v>1354</v>
      </c>
      <c r="E1963" s="161">
        <f>SUMIF(Lanç!$C$3:$C$114,C1963,Lanç!$F$3:$F$114)</f>
        <v>0</v>
      </c>
      <c r="F1963" s="161">
        <f>SUMIF(Lanç!$C$115:$C$6504,C1963,Lanç!$F$115:$F$6504)</f>
        <v>1306627.17</v>
      </c>
      <c r="G1963" s="161">
        <f>SUMIF(Lanç!$C$115:$C$6504,C1963,Lanç!$G$115:$G$6504)</f>
        <v>0</v>
      </c>
      <c r="H1963" s="162">
        <f t="shared" si="110"/>
        <v>1306627.17</v>
      </c>
      <c r="I1963" s="162">
        <f t="shared" si="111"/>
        <v>1306627.17</v>
      </c>
    </row>
    <row r="1964" spans="1:14">
      <c r="A1964" s="151">
        <f t="shared" si="112"/>
        <v>0</v>
      </c>
      <c r="B1964" s="151" t="s">
        <v>206</v>
      </c>
      <c r="C1964" s="159">
        <v>75217</v>
      </c>
      <c r="D1964" s="160" t="s">
        <v>1355</v>
      </c>
      <c r="E1964" s="161">
        <f>SUMIF(Lanç!$C$3:$C$114,C1964,Lanç!$F$3:$F$114)</f>
        <v>0</v>
      </c>
      <c r="F1964" s="161">
        <f>SUMIF(Lanç!$C$115:$C$6504,C1964,Lanç!$F$115:$F$6504)</f>
        <v>349059.17</v>
      </c>
      <c r="G1964" s="161">
        <f>SUMIF(Lanç!$C$115:$C$6504,C1964,Lanç!$G$115:$G$6504)</f>
        <v>0</v>
      </c>
      <c r="H1964" s="162">
        <f t="shared" si="110"/>
        <v>349059.17</v>
      </c>
      <c r="I1964" s="162">
        <f t="shared" si="111"/>
        <v>349059.17</v>
      </c>
    </row>
    <row r="1965" spans="1:14" hidden="1">
      <c r="A1965" s="151">
        <f t="shared" si="112"/>
        <v>1</v>
      </c>
      <c r="B1965" s="151" t="s">
        <v>206</v>
      </c>
      <c r="C1965" s="159">
        <v>75218</v>
      </c>
      <c r="D1965" s="160" t="s">
        <v>1356</v>
      </c>
      <c r="E1965" s="161">
        <f>SUMIF(Lanç!$C$3:$C$114,C1965,Lanç!$F$3:$F$114)</f>
        <v>0</v>
      </c>
      <c r="F1965" s="161">
        <f>SUMIF(Lanç!$C$115:$C$6504,C1965,Lanç!$F$115:$F$6504)</f>
        <v>0</v>
      </c>
      <c r="G1965" s="161">
        <f>SUMIF(Lanç!$C$115:$C$6504,C1965,Lanç!$G$115:$G$6504)</f>
        <v>0</v>
      </c>
      <c r="H1965" s="162">
        <f t="shared" si="110"/>
        <v>0</v>
      </c>
      <c r="I1965" s="162">
        <f t="shared" si="111"/>
        <v>0</v>
      </c>
    </row>
    <row r="1966" spans="1:14" s="57" customFormat="1" hidden="1">
      <c r="A1966" s="155">
        <f t="shared" si="112"/>
        <v>1</v>
      </c>
      <c r="B1966" s="155" t="s">
        <v>204</v>
      </c>
      <c r="C1966" s="156">
        <v>75219</v>
      </c>
      <c r="D1966" s="157" t="s">
        <v>1357</v>
      </c>
      <c r="E1966" s="158">
        <f>SUM(E1967:E1968)</f>
        <v>0</v>
      </c>
      <c r="F1966" s="158">
        <f>SUM(F1967:F1968)</f>
        <v>0</v>
      </c>
      <c r="G1966" s="158">
        <f>SUM(G1967:G1968)</f>
        <v>0</v>
      </c>
      <c r="H1966" s="163">
        <f t="shared" si="110"/>
        <v>0</v>
      </c>
      <c r="I1966" s="163">
        <f t="shared" si="111"/>
        <v>0</v>
      </c>
    </row>
    <row r="1967" spans="1:14" hidden="1">
      <c r="A1967" s="151">
        <f t="shared" si="112"/>
        <v>1</v>
      </c>
      <c r="B1967" s="151" t="s">
        <v>206</v>
      </c>
      <c r="C1967" s="159">
        <v>752191</v>
      </c>
      <c r="D1967" s="160" t="s">
        <v>1358</v>
      </c>
      <c r="E1967" s="161">
        <f>SUMIF(Lanç!$C$3:$C$114,C1967,Lanç!$F$3:$F$114)</f>
        <v>0</v>
      </c>
      <c r="F1967" s="161">
        <f>SUMIF(Lanç!$C$115:$C$6504,C1967,Lanç!$F$115:$F$6504)</f>
        <v>0</v>
      </c>
      <c r="G1967" s="161">
        <f>SUMIF(Lanç!$C$115:$C$6504,C1967,Lanç!$G$115:$G$6504)</f>
        <v>0</v>
      </c>
      <c r="H1967" s="162">
        <f t="shared" si="110"/>
        <v>0</v>
      </c>
      <c r="I1967" s="162">
        <f t="shared" si="111"/>
        <v>0</v>
      </c>
    </row>
    <row r="1968" spans="1:14" hidden="1">
      <c r="A1968" s="151">
        <f t="shared" si="112"/>
        <v>1</v>
      </c>
      <c r="B1968" s="151" t="s">
        <v>206</v>
      </c>
      <c r="C1968" s="159">
        <v>752192</v>
      </c>
      <c r="D1968" s="160" t="s">
        <v>1359</v>
      </c>
      <c r="E1968" s="161">
        <f>SUMIF(Lanç!$C$3:$C$114,C1968,Lanç!$F$3:$F$114)</f>
        <v>0</v>
      </c>
      <c r="F1968" s="161">
        <f>SUMIF(Lanç!$C$115:$C$6504,C1968,Lanç!$F$115:$F$6504)</f>
        <v>0</v>
      </c>
      <c r="G1968" s="161">
        <f>SUMIF(Lanç!$C$115:$C$6504,C1968,Lanç!$G$115:$G$6504)</f>
        <v>0</v>
      </c>
      <c r="H1968" s="162">
        <f t="shared" si="110"/>
        <v>0</v>
      </c>
      <c r="I1968" s="162">
        <f t="shared" si="111"/>
        <v>0</v>
      </c>
    </row>
    <row r="1969" spans="1:14" s="57" customFormat="1">
      <c r="A1969" s="155">
        <f t="shared" si="112"/>
        <v>0</v>
      </c>
      <c r="B1969" s="155" t="s">
        <v>204</v>
      </c>
      <c r="C1969" s="156">
        <v>75220</v>
      </c>
      <c r="D1969" s="157" t="s">
        <v>1360</v>
      </c>
      <c r="E1969" s="158">
        <f>SUM(E1970:E1973)</f>
        <v>0</v>
      </c>
      <c r="F1969" s="158">
        <f>SUM(F1970:F1973)</f>
        <v>1459803.5100000002</v>
      </c>
      <c r="G1969" s="158">
        <f>SUM(G1970:G1973)</f>
        <v>0</v>
      </c>
      <c r="H1969" s="163">
        <f t="shared" si="110"/>
        <v>1459803.5100000002</v>
      </c>
      <c r="I1969" s="163">
        <f t="shared" si="111"/>
        <v>1459803.5100000002</v>
      </c>
      <c r="J1969" s="1"/>
      <c r="K1969" s="1"/>
      <c r="L1969" s="1"/>
      <c r="M1969" s="1"/>
      <c r="N1969" s="1"/>
    </row>
    <row r="1970" spans="1:14" hidden="1">
      <c r="A1970" s="151">
        <f t="shared" si="112"/>
        <v>1</v>
      </c>
      <c r="B1970" s="151" t="s">
        <v>206</v>
      </c>
      <c r="C1970" s="159">
        <v>752201</v>
      </c>
      <c r="D1970" s="160" t="s">
        <v>1361</v>
      </c>
      <c r="E1970" s="161">
        <f>SUMIF(Lanç!$C$3:$C$114,C1970,Lanç!$F$3:$F$114)</f>
        <v>0</v>
      </c>
      <c r="F1970" s="161">
        <f>SUMIF(Lanç!$C$115:$C$6504,C1970,Lanç!$F$115:$F$6504)</f>
        <v>0</v>
      </c>
      <c r="G1970" s="161">
        <f>SUMIF(Lanç!$C$115:$C$6504,C1970,Lanç!$G$115:$G$6504)</f>
        <v>0</v>
      </c>
      <c r="H1970" s="162">
        <f t="shared" si="110"/>
        <v>0</v>
      </c>
      <c r="I1970" s="162">
        <f t="shared" si="111"/>
        <v>0</v>
      </c>
      <c r="J1970" s="1"/>
      <c r="K1970" s="1"/>
      <c r="L1970" s="1"/>
      <c r="M1970" s="1"/>
      <c r="N1970" s="1"/>
    </row>
    <row r="1971" spans="1:14">
      <c r="A1971" s="151">
        <f t="shared" si="112"/>
        <v>0</v>
      </c>
      <c r="B1971" s="151" t="s">
        <v>206</v>
      </c>
      <c r="C1971" s="159">
        <v>752202</v>
      </c>
      <c r="D1971" s="160" t="s">
        <v>1910</v>
      </c>
      <c r="E1971" s="161">
        <f>SUMIF(Lanç!$C$3:$C$114,C1971,Lanç!$F$3:$F$114)</f>
        <v>0</v>
      </c>
      <c r="F1971" s="161">
        <f>SUMIF(Lanç!$C$115:$C$6504,C1971,Lanç!$F$115:$F$6504)</f>
        <v>1376709.5100000002</v>
      </c>
      <c r="G1971" s="161">
        <f>SUMIF(Lanç!$C$115:$C$6504,C1971,Lanç!$G$115:$G$6504)</f>
        <v>0</v>
      </c>
      <c r="H1971" s="162">
        <f t="shared" si="110"/>
        <v>1376709.5100000002</v>
      </c>
      <c r="I1971" s="162">
        <f t="shared" si="111"/>
        <v>1376709.5100000002</v>
      </c>
      <c r="J1971" s="1"/>
      <c r="K1971" s="1"/>
      <c r="L1971" s="1"/>
      <c r="M1971" s="1"/>
      <c r="N1971" s="1"/>
    </row>
    <row r="1972" spans="1:14" hidden="1">
      <c r="A1972" s="151">
        <f t="shared" si="112"/>
        <v>1</v>
      </c>
      <c r="B1972" s="151" t="s">
        <v>206</v>
      </c>
      <c r="C1972" s="159">
        <v>752203</v>
      </c>
      <c r="D1972" s="160" t="s">
        <v>1363</v>
      </c>
      <c r="E1972" s="161">
        <f>SUMIF(Lanç!$C$3:$C$114,C1972,Lanç!$F$3:$F$114)</f>
        <v>0</v>
      </c>
      <c r="F1972" s="161">
        <f>SUMIF(Lanç!$C$115:$C$6504,C1972,Lanç!$F$115:$F$6504)</f>
        <v>0</v>
      </c>
      <c r="G1972" s="161">
        <f>SUMIF(Lanç!$C$115:$C$6504,C1972,Lanç!$G$115:$G$6504)</f>
        <v>0</v>
      </c>
      <c r="H1972" s="162">
        <f t="shared" si="110"/>
        <v>0</v>
      </c>
      <c r="I1972" s="162">
        <f t="shared" si="111"/>
        <v>0</v>
      </c>
      <c r="J1972" s="1"/>
      <c r="K1972" s="1"/>
      <c r="L1972" s="1"/>
      <c r="M1972" s="1"/>
      <c r="N1972" s="1"/>
    </row>
    <row r="1973" spans="1:14">
      <c r="A1973" s="151">
        <f t="shared" si="112"/>
        <v>0</v>
      </c>
      <c r="B1973" s="151" t="s">
        <v>206</v>
      </c>
      <c r="C1973" s="159">
        <v>752204</v>
      </c>
      <c r="D1973" s="160" t="s">
        <v>1362</v>
      </c>
      <c r="E1973" s="161">
        <f>SUMIF(Lanç!$C$3:$C$114,C1973,Lanç!$F$3:$F$114)</f>
        <v>0</v>
      </c>
      <c r="F1973" s="161">
        <f>SUMIF(Lanç!$C$115:$C$6504,C1973,Lanç!$F$115:$F$6504)</f>
        <v>83094</v>
      </c>
      <c r="G1973" s="161">
        <f>SUMIF(Lanç!$C$115:$C$6504,C1973,Lanç!$G$115:$G$6504)</f>
        <v>0</v>
      </c>
      <c r="H1973" s="162">
        <f t="shared" si="110"/>
        <v>83094</v>
      </c>
      <c r="I1973" s="162">
        <f t="shared" si="111"/>
        <v>83094</v>
      </c>
      <c r="J1973" s="1"/>
      <c r="K1973" s="1"/>
      <c r="L1973" s="1"/>
      <c r="M1973" s="1"/>
      <c r="N1973" s="1"/>
    </row>
    <row r="1974" spans="1:14">
      <c r="A1974" s="151">
        <f t="shared" si="112"/>
        <v>0</v>
      </c>
      <c r="B1974" s="155" t="s">
        <v>204</v>
      </c>
      <c r="C1974" s="156">
        <v>75221</v>
      </c>
      <c r="D1974" s="157" t="s">
        <v>1364</v>
      </c>
      <c r="E1974" s="158">
        <f>SUM(E1975:E1978)</f>
        <v>0</v>
      </c>
      <c r="F1974" s="158">
        <f>SUM(F1975:F1978)</f>
        <v>14179507.6</v>
      </c>
      <c r="G1974" s="158">
        <f>SUM(G1975:G1978)</f>
        <v>0</v>
      </c>
      <c r="H1974" s="154">
        <f t="shared" si="110"/>
        <v>14179507.6</v>
      </c>
      <c r="I1974" s="154">
        <f t="shared" si="111"/>
        <v>14179507.6</v>
      </c>
    </row>
    <row r="1975" spans="1:14">
      <c r="A1975" s="151">
        <f>IF(E1975+F1975+G1975+H1975+I1975=0,1,0)</f>
        <v>0</v>
      </c>
      <c r="B1975" s="151" t="s">
        <v>206</v>
      </c>
      <c r="C1975" s="159">
        <v>752211</v>
      </c>
      <c r="D1975" s="160" t="s">
        <v>1783</v>
      </c>
      <c r="E1975" s="161">
        <f>SUMIF(Lanç!$C$3:$C$114,C1975,Lanç!$F$3:$F$114)</f>
        <v>0</v>
      </c>
      <c r="F1975" s="161">
        <f>SUMIF(Lanç!$C$115:$C$6504,C1975,Lanç!$F$115:$F$6504)</f>
        <v>3313059.6</v>
      </c>
      <c r="G1975" s="161">
        <f>SUMIF(Lanç!$C$115:$C$6504,C1975,Lanç!$G$115:$G$6504)</f>
        <v>0</v>
      </c>
      <c r="H1975" s="162">
        <f>(F1975)-(G1975)</f>
        <v>3313059.6</v>
      </c>
      <c r="I1975" s="162">
        <f>(E1975)+(H1975)</f>
        <v>3313059.6</v>
      </c>
    </row>
    <row r="1976" spans="1:14">
      <c r="A1976" s="151">
        <f t="shared" si="112"/>
        <v>0</v>
      </c>
      <c r="B1976" s="151" t="s">
        <v>206</v>
      </c>
      <c r="C1976" s="159">
        <v>752212</v>
      </c>
      <c r="D1976" s="160" t="s">
        <v>1874</v>
      </c>
      <c r="E1976" s="161">
        <f>SUMIF(Lanç!$C$3:$C$114,C1976,Lanç!$F$3:$F$114)</f>
        <v>0</v>
      </c>
      <c r="F1976" s="161">
        <f>SUMIF(Lanç!$C$115:$C$6504,C1976,Lanç!$F$115:$F$6504)</f>
        <v>2816000</v>
      </c>
      <c r="G1976" s="161">
        <f>SUMIF(Lanç!$C$115:$C$6504,C1976,Lanç!$G$115:$G$6504)</f>
        <v>0</v>
      </c>
      <c r="H1976" s="162">
        <f t="shared" si="110"/>
        <v>2816000</v>
      </c>
      <c r="I1976" s="162">
        <f t="shared" si="111"/>
        <v>2816000</v>
      </c>
    </row>
    <row r="1977" spans="1:14">
      <c r="A1977" s="151">
        <f>IF(E1977+F1977+G1977+H1977+I1977=0,1,0)</f>
        <v>0</v>
      </c>
      <c r="B1977" s="151" t="s">
        <v>206</v>
      </c>
      <c r="C1977" s="159">
        <v>752213</v>
      </c>
      <c r="D1977" s="160" t="s">
        <v>1875</v>
      </c>
      <c r="E1977" s="161">
        <f>SUMIF(Lanç!$C$3:$C$114,C1977,Lanç!$F$3:$F$114)</f>
        <v>0</v>
      </c>
      <c r="F1977" s="161">
        <f>SUMIF(Lanç!$C$115:$C$6504,C1977,Lanç!$F$115:$F$6504)</f>
        <v>4606400</v>
      </c>
      <c r="G1977" s="161">
        <f>SUMIF(Lanç!$C$115:$C$6504,C1977,Lanç!$G$115:$G$6504)</f>
        <v>0</v>
      </c>
      <c r="H1977" s="162">
        <f>(F1977)-(G1977)</f>
        <v>4606400</v>
      </c>
      <c r="I1977" s="162">
        <f>(E1977)+(H1977)</f>
        <v>4606400</v>
      </c>
    </row>
    <row r="1978" spans="1:14">
      <c r="A1978" s="151">
        <f>IF(E1978+F1978+G1978+H1978+I1978=0,1,0)</f>
        <v>0</v>
      </c>
      <c r="B1978" s="151" t="s">
        <v>206</v>
      </c>
      <c r="C1978" s="159">
        <v>752214</v>
      </c>
      <c r="D1978" s="160" t="s">
        <v>1177</v>
      </c>
      <c r="E1978" s="161">
        <f>SUMIF(Lanç!$C$3:$C$114,C1978,Lanç!$F$3:$F$114)</f>
        <v>0</v>
      </c>
      <c r="F1978" s="161">
        <f>SUMIF(Lanç!$C$115:$C$6504,C1978,Lanç!$F$115:$F$6504)</f>
        <v>3444048</v>
      </c>
      <c r="G1978" s="161">
        <f>SUMIF(Lanç!$C$115:$C$6504,C1978,Lanç!$G$115:$G$6504)</f>
        <v>0</v>
      </c>
      <c r="H1978" s="162">
        <f>(F1978)-(G1978)</f>
        <v>3444048</v>
      </c>
      <c r="I1978" s="162">
        <f>(E1978)+(H1978)</f>
        <v>3444048</v>
      </c>
    </row>
    <row r="1979" spans="1:14" s="57" customFormat="1">
      <c r="A1979" s="155">
        <f t="shared" si="112"/>
        <v>0</v>
      </c>
      <c r="B1979" s="155" t="s">
        <v>204</v>
      </c>
      <c r="C1979" s="156">
        <v>752212</v>
      </c>
      <c r="D1979" s="157" t="s">
        <v>1365</v>
      </c>
      <c r="E1979" s="158">
        <f>SUM(E1980:E1981)</f>
        <v>0</v>
      </c>
      <c r="F1979" s="158">
        <f>SUM(F1980:F1981)</f>
        <v>4111433.2399999993</v>
      </c>
      <c r="G1979" s="158">
        <f>SUM(G1980:G1981)</f>
        <v>0</v>
      </c>
      <c r="H1979" s="163">
        <f t="shared" si="110"/>
        <v>4111433.2399999993</v>
      </c>
      <c r="I1979" s="163">
        <f t="shared" si="111"/>
        <v>4111433.2399999993</v>
      </c>
      <c r="J1979" s="1"/>
      <c r="K1979" s="1"/>
      <c r="L1979" s="1"/>
      <c r="M1979" s="1"/>
      <c r="N1979" s="1"/>
    </row>
    <row r="1980" spans="1:14" hidden="1">
      <c r="A1980" s="151">
        <f t="shared" si="112"/>
        <v>1</v>
      </c>
      <c r="B1980" s="151" t="s">
        <v>206</v>
      </c>
      <c r="C1980" s="159">
        <v>7522121</v>
      </c>
      <c r="D1980" s="160" t="s">
        <v>1366</v>
      </c>
      <c r="E1980" s="161">
        <f>SUMIF(Lanç!$C$3:$C$114,C1980,Lanç!$F$3:$F$114)</f>
        <v>0</v>
      </c>
      <c r="F1980" s="161">
        <f>SUMIF(Lanç!$C$115:$C$6504,C1980,Lanç!$F$115:$F$6504)</f>
        <v>0</v>
      </c>
      <c r="G1980" s="161">
        <f>SUMIF(Lanç!$C$115:$C$6504,C1980,Lanç!$G$115:$G$6504)</f>
        <v>0</v>
      </c>
      <c r="H1980" s="162">
        <f t="shared" si="110"/>
        <v>0</v>
      </c>
      <c r="I1980" s="162">
        <f t="shared" si="111"/>
        <v>0</v>
      </c>
      <c r="J1980" s="1"/>
      <c r="K1980" s="1"/>
      <c r="L1980" s="1"/>
      <c r="M1980" s="1"/>
      <c r="N1980" s="1"/>
    </row>
    <row r="1981" spans="1:14">
      <c r="A1981" s="151">
        <f t="shared" si="112"/>
        <v>0</v>
      </c>
      <c r="B1981" s="151" t="s">
        <v>206</v>
      </c>
      <c r="C1981" s="159">
        <v>7522122</v>
      </c>
      <c r="D1981" s="160" t="s">
        <v>1367</v>
      </c>
      <c r="E1981" s="161">
        <f>SUMIF(Lanç!$C$3:$C$114,C1981,Lanç!$F$3:$F$114)</f>
        <v>0</v>
      </c>
      <c r="F1981" s="161">
        <f>SUMIF(Lanç!$C$115:$C$6504,C1981,Lanç!$F$115:$F$6504)</f>
        <v>4111433.2399999993</v>
      </c>
      <c r="G1981" s="161">
        <f>SUMIF(Lanç!$C$115:$C$6504,C1981,Lanç!$G$115:$G$6504)</f>
        <v>0</v>
      </c>
      <c r="H1981" s="162">
        <f t="shared" si="110"/>
        <v>4111433.2399999993</v>
      </c>
      <c r="I1981" s="162">
        <f t="shared" si="111"/>
        <v>4111433.2399999993</v>
      </c>
      <c r="J1981" s="1"/>
      <c r="K1981" s="1"/>
      <c r="L1981" s="1"/>
      <c r="M1981" s="1"/>
      <c r="N1981" s="1"/>
    </row>
    <row r="1982" spans="1:14">
      <c r="A1982" s="151">
        <f t="shared" si="112"/>
        <v>0</v>
      </c>
      <c r="B1982" s="155" t="s">
        <v>204</v>
      </c>
      <c r="C1982" s="156">
        <v>75222</v>
      </c>
      <c r="D1982" s="157" t="s">
        <v>1368</v>
      </c>
      <c r="E1982" s="158">
        <f>SUM(E1983:E1986)</f>
        <v>0</v>
      </c>
      <c r="F1982" s="158">
        <f>SUM(F1983:F1986)</f>
        <v>972249.05999999994</v>
      </c>
      <c r="G1982" s="158">
        <f>SUM(G1983:G1986)</f>
        <v>0</v>
      </c>
      <c r="H1982" s="154">
        <f t="shared" si="110"/>
        <v>972249.05999999994</v>
      </c>
      <c r="I1982" s="154">
        <f t="shared" si="111"/>
        <v>972249.05999999994</v>
      </c>
    </row>
    <row r="1983" spans="1:14">
      <c r="A1983" s="151">
        <f t="shared" si="112"/>
        <v>0</v>
      </c>
      <c r="B1983" s="151" t="s">
        <v>206</v>
      </c>
      <c r="C1983" s="159">
        <v>752221</v>
      </c>
      <c r="D1983" s="160" t="s">
        <v>1369</v>
      </c>
      <c r="E1983" s="161">
        <f>SUMIF(Lanç!$C$3:$C$114,C1983,Lanç!$F$3:$F$114)</f>
        <v>0</v>
      </c>
      <c r="F1983" s="161">
        <f>SUMIF(Lanç!$C$115:$C$6504,C1983,Lanç!$F$115:$F$6504)</f>
        <v>678471.82</v>
      </c>
      <c r="G1983" s="161">
        <f>SUMIF(Lanç!$C$115:$C$6504,C1983,Lanç!$G$115:$G$6504)</f>
        <v>0</v>
      </c>
      <c r="H1983" s="162">
        <f t="shared" si="110"/>
        <v>678471.82</v>
      </c>
      <c r="I1983" s="162">
        <f t="shared" si="111"/>
        <v>678471.82</v>
      </c>
    </row>
    <row r="1984" spans="1:14" hidden="1">
      <c r="A1984" s="151">
        <f t="shared" si="112"/>
        <v>1</v>
      </c>
      <c r="B1984" s="151" t="s">
        <v>206</v>
      </c>
      <c r="C1984" s="159">
        <v>752222</v>
      </c>
      <c r="D1984" s="160" t="s">
        <v>951</v>
      </c>
      <c r="E1984" s="161">
        <f>SUMIF(Lanç!$C$3:$C$114,C1984,Lanç!$F$3:$F$114)</f>
        <v>0</v>
      </c>
      <c r="F1984" s="161">
        <f>SUMIF(Lanç!$C$115:$C$6504,C1984,Lanç!$F$115:$F$6504)</f>
        <v>0</v>
      </c>
      <c r="G1984" s="161">
        <f>SUMIF(Lanç!$C$115:$C$6504,C1984,Lanç!$G$115:$G$6504)</f>
        <v>0</v>
      </c>
      <c r="H1984" s="162">
        <f t="shared" si="110"/>
        <v>0</v>
      </c>
      <c r="I1984" s="162">
        <f t="shared" si="111"/>
        <v>0</v>
      </c>
    </row>
    <row r="1985" spans="1:14" hidden="1">
      <c r="A1985" s="151">
        <f t="shared" si="112"/>
        <v>1</v>
      </c>
      <c r="B1985" s="151" t="s">
        <v>206</v>
      </c>
      <c r="C1985" s="159">
        <v>752223</v>
      </c>
      <c r="D1985" s="160" t="s">
        <v>1370</v>
      </c>
      <c r="E1985" s="161">
        <f>SUMIF(Lanç!$C$3:$C$114,C1985,Lanç!$F$3:$F$114)</f>
        <v>0</v>
      </c>
      <c r="F1985" s="161">
        <f>SUMIF(Lanç!$C$115:$C$6504,C1985,Lanç!$F$115:$F$6504)</f>
        <v>0</v>
      </c>
      <c r="G1985" s="161">
        <f>SUMIF(Lanç!$C$115:$C$6504,C1985,Lanç!$G$115:$G$6504)</f>
        <v>0</v>
      </c>
      <c r="H1985" s="162">
        <f t="shared" si="110"/>
        <v>0</v>
      </c>
      <c r="I1985" s="162">
        <f t="shared" si="111"/>
        <v>0</v>
      </c>
    </row>
    <row r="1986" spans="1:14">
      <c r="A1986" s="151">
        <f t="shared" si="112"/>
        <v>0</v>
      </c>
      <c r="B1986" s="151" t="s">
        <v>206</v>
      </c>
      <c r="C1986" s="159">
        <v>752224</v>
      </c>
      <c r="D1986" s="160" t="s">
        <v>1371</v>
      </c>
      <c r="E1986" s="161">
        <f>SUMIF(Lanç!$C$3:$C$114,C1986,Lanç!$F$3:$F$114)</f>
        <v>0</v>
      </c>
      <c r="F1986" s="161">
        <f>SUMIF(Lanç!$C$115:$C$6504,C1986,Lanç!$F$115:$F$6504)</f>
        <v>293777.24</v>
      </c>
      <c r="G1986" s="161">
        <f>SUMIF(Lanç!$C$115:$C$6504,C1986,Lanç!$G$115:$G$6504)</f>
        <v>0</v>
      </c>
      <c r="H1986" s="162">
        <f t="shared" si="110"/>
        <v>293777.24</v>
      </c>
      <c r="I1986" s="162">
        <f t="shared" si="111"/>
        <v>293777.24</v>
      </c>
    </row>
    <row r="1987" spans="1:14" s="57" customFormat="1">
      <c r="A1987" s="155">
        <f t="shared" si="112"/>
        <v>0</v>
      </c>
      <c r="B1987" s="155" t="s">
        <v>204</v>
      </c>
      <c r="C1987" s="156">
        <v>75223</v>
      </c>
      <c r="D1987" s="157" t="s">
        <v>1372</v>
      </c>
      <c r="E1987" s="158">
        <f>SUM(E1988:E1994)</f>
        <v>0</v>
      </c>
      <c r="F1987" s="158">
        <f>SUM(F1988:F1994)</f>
        <v>12749394.010000002</v>
      </c>
      <c r="G1987" s="158">
        <f>SUM(G1988:G1994)</f>
        <v>0</v>
      </c>
      <c r="H1987" s="163">
        <f t="shared" si="110"/>
        <v>12749394.010000002</v>
      </c>
      <c r="I1987" s="163">
        <f t="shared" si="111"/>
        <v>12749394.010000002</v>
      </c>
    </row>
    <row r="1988" spans="1:14">
      <c r="A1988" s="151">
        <f t="shared" si="112"/>
        <v>0</v>
      </c>
      <c r="B1988" s="151" t="s">
        <v>206</v>
      </c>
      <c r="C1988" s="159">
        <v>752231</v>
      </c>
      <c r="D1988" s="160" t="s">
        <v>1859</v>
      </c>
      <c r="E1988" s="161">
        <f>SUMIF(Lanç!$C$3:$C$114,C1988,Lanç!$F$3:$F$114)</f>
        <v>0</v>
      </c>
      <c r="F1988" s="161">
        <f>SUMIF(Lanç!$C$115:$C$6504,C1988,Lanç!$F$115:$F$6504)</f>
        <v>9029604.7200000007</v>
      </c>
      <c r="G1988" s="161">
        <f>SUMIF(Lanç!$C$115:$C$6504,C1988,Lanç!$G$115:$G$6504)</f>
        <v>0</v>
      </c>
      <c r="H1988" s="162">
        <f t="shared" si="110"/>
        <v>9029604.7200000007</v>
      </c>
      <c r="I1988" s="162">
        <f t="shared" si="111"/>
        <v>9029604.7200000007</v>
      </c>
    </row>
    <row r="1989" spans="1:14">
      <c r="A1989" s="151">
        <f t="shared" si="112"/>
        <v>0</v>
      </c>
      <c r="B1989" s="151" t="s">
        <v>206</v>
      </c>
      <c r="C1989" s="159">
        <v>752232</v>
      </c>
      <c r="D1989" s="160" t="s">
        <v>1820</v>
      </c>
      <c r="E1989" s="161">
        <f>SUMIF(Lanç!$C$3:$C$114,C1989,Lanç!$F$3:$F$114)</f>
        <v>0</v>
      </c>
      <c r="F1989" s="161">
        <f>SUMIF(Lanç!$C$115:$C$6504,C1989,Lanç!$F$115:$F$6504)</f>
        <v>1376669.08</v>
      </c>
      <c r="G1989" s="161">
        <f>SUMIF(Lanç!$C$115:$C$6504,C1989,Lanç!$G$115:$G$6504)</f>
        <v>0</v>
      </c>
      <c r="H1989" s="162">
        <f t="shared" si="110"/>
        <v>1376669.08</v>
      </c>
      <c r="I1989" s="162">
        <f t="shared" si="111"/>
        <v>1376669.08</v>
      </c>
    </row>
    <row r="1990" spans="1:14">
      <c r="A1990" s="151">
        <f t="shared" si="112"/>
        <v>0</v>
      </c>
      <c r="B1990" s="151" t="s">
        <v>206</v>
      </c>
      <c r="C1990" s="159">
        <v>752233</v>
      </c>
      <c r="D1990" s="160" t="s">
        <v>1372</v>
      </c>
      <c r="E1990" s="161">
        <f>SUMIF(Lanç!$C$3:$C$114,C1990,Lanç!$F$3:$F$114)</f>
        <v>0</v>
      </c>
      <c r="F1990" s="161">
        <f>SUMIF(Lanç!$C$115:$C$6504,C1990,Lanç!$F$115:$F$6504)</f>
        <v>578371.46</v>
      </c>
      <c r="G1990" s="161">
        <f>SUMIF(Lanç!$C$115:$C$6504,C1990,Lanç!$G$115:$G$6504)</f>
        <v>0</v>
      </c>
      <c r="H1990" s="162">
        <f t="shared" si="110"/>
        <v>578371.46</v>
      </c>
      <c r="I1990" s="162">
        <f t="shared" si="111"/>
        <v>578371.46</v>
      </c>
    </row>
    <row r="1991" spans="1:14" hidden="1">
      <c r="A1991" s="151">
        <f t="shared" si="112"/>
        <v>1</v>
      </c>
      <c r="B1991" s="151" t="s">
        <v>206</v>
      </c>
      <c r="C1991" s="159">
        <v>752234</v>
      </c>
      <c r="D1991" s="160" t="s">
        <v>1373</v>
      </c>
      <c r="E1991" s="161">
        <f>SUMIF(Lanç!$C$3:$C$114,C1991,Lanç!$F$3:$F$114)</f>
        <v>0</v>
      </c>
      <c r="F1991" s="161">
        <f>SUMIF(Lanç!$C$115:$C$6504,C1991,Lanç!$F$115:$F$6504)</f>
        <v>0</v>
      </c>
      <c r="G1991" s="161">
        <f>SUMIF(Lanç!$C$115:$C$6504,C1991,Lanç!$G$115:$G$6504)</f>
        <v>0</v>
      </c>
      <c r="H1991" s="162">
        <f t="shared" si="110"/>
        <v>0</v>
      </c>
      <c r="I1991" s="162">
        <f t="shared" si="111"/>
        <v>0</v>
      </c>
    </row>
    <row r="1992" spans="1:14" hidden="1">
      <c r="A1992" s="151">
        <f>IF(E1992+F1992+G1992+H1992+I1992=0,1,0)</f>
        <v>1</v>
      </c>
      <c r="B1992" s="151" t="s">
        <v>206</v>
      </c>
      <c r="C1992" s="159">
        <v>752235</v>
      </c>
      <c r="D1992" s="160" t="s">
        <v>1821</v>
      </c>
      <c r="E1992" s="161">
        <f>SUMIF(Lanç!$C$3:$C$114,C1992,Lanç!$F$3:$F$114)</f>
        <v>0</v>
      </c>
      <c r="F1992" s="161">
        <f>SUMIF(Lanç!$C$115:$C$6504,C1992,Lanç!$F$115:$F$6504)</f>
        <v>0</v>
      </c>
      <c r="G1992" s="161">
        <f>SUMIF(Lanç!$C$115:$C$6504,C1992,Lanç!$G$115:$G$6504)</f>
        <v>0</v>
      </c>
      <c r="H1992" s="162">
        <f>(F1992)-(G1992)</f>
        <v>0</v>
      </c>
      <c r="I1992" s="162">
        <f>(E1992)+(H1992)</f>
        <v>0</v>
      </c>
    </row>
    <row r="1993" spans="1:14">
      <c r="A1993" s="151">
        <f t="shared" si="112"/>
        <v>0</v>
      </c>
      <c r="B1993" s="151" t="s">
        <v>206</v>
      </c>
      <c r="C1993" s="159">
        <v>75224</v>
      </c>
      <c r="D1993" s="160" t="s">
        <v>1374</v>
      </c>
      <c r="E1993" s="161">
        <f>SUMIF(Lanç!$C$3:$C$114,C1993,Lanç!$F$3:$F$114)</f>
        <v>0</v>
      </c>
      <c r="F1993" s="161">
        <f>SUMIF(Lanç!$C$115:$C$6504,C1993,Lanç!$F$115:$F$6504)</f>
        <v>886550</v>
      </c>
      <c r="G1993" s="161">
        <f>SUMIF(Lanç!$C$115:$C$6504,C1993,Lanç!$G$115:$G$6504)</f>
        <v>0</v>
      </c>
      <c r="H1993" s="162">
        <f t="shared" si="110"/>
        <v>886550</v>
      </c>
      <c r="I1993" s="162">
        <f t="shared" si="111"/>
        <v>886550</v>
      </c>
      <c r="J1993" s="1"/>
      <c r="K1993" s="1"/>
      <c r="L1993" s="1"/>
      <c r="M1993" s="1"/>
      <c r="N1993" s="1"/>
    </row>
    <row r="1994" spans="1:14">
      <c r="A1994" s="151">
        <f t="shared" si="112"/>
        <v>0</v>
      </c>
      <c r="B1994" s="151" t="s">
        <v>206</v>
      </c>
      <c r="C1994" s="159">
        <v>75225</v>
      </c>
      <c r="D1994" s="160" t="s">
        <v>1784</v>
      </c>
      <c r="E1994" s="161">
        <f>SUMIF(Lanç!$C$3:$C$114,C1994,Lanç!$F$3:$F$114)</f>
        <v>0</v>
      </c>
      <c r="F1994" s="161">
        <f>SUMIF(Lanç!$C$115:$C$6504,C1994,Lanç!$F$115:$F$6504)</f>
        <v>878198.75</v>
      </c>
      <c r="G1994" s="161">
        <f>SUMIF(Lanç!$C$115:$C$6504,C1994,Lanç!$G$115:$G$6504)</f>
        <v>0</v>
      </c>
      <c r="H1994" s="162">
        <f t="shared" si="110"/>
        <v>878198.75</v>
      </c>
      <c r="I1994" s="162">
        <f t="shared" si="111"/>
        <v>878198.75</v>
      </c>
      <c r="J1994" s="1"/>
      <c r="K1994" s="1"/>
      <c r="L1994" s="1"/>
      <c r="M1994" s="1"/>
      <c r="N1994" s="1"/>
    </row>
    <row r="1995" spans="1:14">
      <c r="A1995" s="151">
        <f t="shared" si="112"/>
        <v>0</v>
      </c>
      <c r="B1995" s="155" t="s">
        <v>204</v>
      </c>
      <c r="C1995" s="156">
        <v>75226</v>
      </c>
      <c r="D1995" s="157" t="s">
        <v>1351</v>
      </c>
      <c r="E1995" s="158">
        <f>SUM(E1996:E2005)</f>
        <v>0</v>
      </c>
      <c r="F1995" s="158">
        <f>SUM(F1996:F2005)</f>
        <v>7580239.0199999996</v>
      </c>
      <c r="G1995" s="158">
        <f>SUM(G1996:G2005)</f>
        <v>0</v>
      </c>
      <c r="H1995" s="154">
        <f t="shared" si="110"/>
        <v>7580239.0199999996</v>
      </c>
      <c r="I1995" s="154">
        <f t="shared" si="111"/>
        <v>7580239.0199999996</v>
      </c>
    </row>
    <row r="1996" spans="1:14" hidden="1">
      <c r="A1996" s="151">
        <f t="shared" si="112"/>
        <v>1</v>
      </c>
      <c r="B1996" s="151" t="s">
        <v>206</v>
      </c>
      <c r="C1996" s="159">
        <v>752262</v>
      </c>
      <c r="D1996" s="160" t="s">
        <v>1334</v>
      </c>
      <c r="E1996" s="161">
        <f>SUMIF(Lanç!$C$3:$C$114,C1996,Lanç!$F$3:$F$114)</f>
        <v>0</v>
      </c>
      <c r="F1996" s="161">
        <f>SUMIF(Lanç!$C$115:$C$6504,C1996,Lanç!$F$115:$F$6504)</f>
        <v>0</v>
      </c>
      <c r="G1996" s="161">
        <f>SUMIF(Lanç!$C$115:$C$6504,C1996,Lanç!$G$115:$G$6504)</f>
        <v>0</v>
      </c>
      <c r="H1996" s="162">
        <f t="shared" si="110"/>
        <v>0</v>
      </c>
      <c r="I1996" s="162">
        <f t="shared" si="111"/>
        <v>0</v>
      </c>
    </row>
    <row r="1997" spans="1:14">
      <c r="A1997" s="151">
        <f t="shared" si="112"/>
        <v>0</v>
      </c>
      <c r="B1997" s="151" t="s">
        <v>206</v>
      </c>
      <c r="C1997" s="159">
        <v>752263</v>
      </c>
      <c r="D1997" s="160" t="s">
        <v>222</v>
      </c>
      <c r="E1997" s="161">
        <f>SUMIF(Lanç!$C$3:$C$114,C1997,Lanç!$F$3:$F$114)</f>
        <v>0</v>
      </c>
      <c r="F1997" s="161">
        <f>SUMIF(Lanç!$C$115:$C$6504,C1997,Lanç!$F$115:$F$6504)</f>
        <v>127500</v>
      </c>
      <c r="G1997" s="161">
        <f>SUMIF(Lanç!$C$115:$C$6504,C1997,Lanç!$G$115:$G$6504)</f>
        <v>0</v>
      </c>
      <c r="H1997" s="162">
        <f t="shared" si="110"/>
        <v>127500</v>
      </c>
      <c r="I1997" s="162">
        <f t="shared" si="111"/>
        <v>127500</v>
      </c>
    </row>
    <row r="1998" spans="1:14">
      <c r="A1998" s="151">
        <f t="shared" si="112"/>
        <v>0</v>
      </c>
      <c r="B1998" s="151" t="s">
        <v>206</v>
      </c>
      <c r="C1998" s="159">
        <v>752264</v>
      </c>
      <c r="D1998" s="160" t="s">
        <v>228</v>
      </c>
      <c r="E1998" s="161">
        <f>SUMIF(Lanç!$C$3:$C$114,C1998,Lanç!$F$3:$F$114)</f>
        <v>0</v>
      </c>
      <c r="F1998" s="161">
        <f>SUMIF(Lanç!$C$115:$C$6504,C1998,Lanç!$F$115:$F$6504)</f>
        <v>1535530</v>
      </c>
      <c r="G1998" s="161">
        <f>SUMIF(Lanç!$C$115:$C$6504,C1998,Lanç!$G$115:$G$6504)</f>
        <v>0</v>
      </c>
      <c r="H1998" s="162">
        <f t="shared" si="110"/>
        <v>1535530</v>
      </c>
      <c r="I1998" s="162">
        <f t="shared" si="111"/>
        <v>1535530</v>
      </c>
    </row>
    <row r="1999" spans="1:14" hidden="1">
      <c r="A1999" s="151">
        <f t="shared" si="112"/>
        <v>1</v>
      </c>
      <c r="B1999" s="151" t="s">
        <v>206</v>
      </c>
      <c r="C1999" s="159">
        <v>752265</v>
      </c>
      <c r="D1999" s="160" t="s">
        <v>239</v>
      </c>
      <c r="E1999" s="161">
        <f>SUMIF(Lanç!$C$3:$C$114,C1999,Lanç!$F$3:$F$114)</f>
        <v>0</v>
      </c>
      <c r="F1999" s="161">
        <f>SUMIF(Lanç!$C$115:$C$6504,C1999,Lanç!$F$115:$F$6504)</f>
        <v>0</v>
      </c>
      <c r="G1999" s="161">
        <f>SUMIF(Lanç!$C$115:$C$6504,C1999,Lanç!$G$115:$G$6504)</f>
        <v>0</v>
      </c>
      <c r="H1999" s="162">
        <f t="shared" si="110"/>
        <v>0</v>
      </c>
      <c r="I1999" s="162">
        <f t="shared" si="111"/>
        <v>0</v>
      </c>
    </row>
    <row r="2000" spans="1:14" hidden="1">
      <c r="A2000" s="151">
        <f t="shared" si="112"/>
        <v>1</v>
      </c>
      <c r="B2000" s="151" t="s">
        <v>206</v>
      </c>
      <c r="C2000" s="159">
        <v>752269</v>
      </c>
      <c r="D2000" s="160" t="s">
        <v>1352</v>
      </c>
      <c r="E2000" s="161">
        <f>SUMIF(Lanç!$C$3:$C$114,C2000,Lanç!$F$3:$F$114)</f>
        <v>0</v>
      </c>
      <c r="F2000" s="161">
        <f>SUMIF(Lanç!$C$115:$C$6504,C2000,Lanç!$F$115:$F$6504)</f>
        <v>0</v>
      </c>
      <c r="G2000" s="161">
        <f>SUMIF(Lanç!$C$115:$C$6504,C2000,Lanç!$G$115:$G$6504)</f>
        <v>0</v>
      </c>
      <c r="H2000" s="162">
        <f t="shared" si="110"/>
        <v>0</v>
      </c>
      <c r="I2000" s="162">
        <f t="shared" si="111"/>
        <v>0</v>
      </c>
    </row>
    <row r="2001" spans="1:14">
      <c r="A2001" s="151">
        <f t="shared" si="112"/>
        <v>0</v>
      </c>
      <c r="B2001" s="151" t="s">
        <v>206</v>
      </c>
      <c r="C2001" s="159">
        <v>75227</v>
      </c>
      <c r="D2001" s="160" t="s">
        <v>1375</v>
      </c>
      <c r="E2001" s="161">
        <f>SUMIF(Lanç!$C$3:$C$114,C2001,Lanç!$F$3:$F$114)</f>
        <v>0</v>
      </c>
      <c r="F2001" s="161">
        <f>SUMIF(Lanç!$C$115:$C$6504,C2001,Lanç!$F$115:$F$6504)</f>
        <v>2776950</v>
      </c>
      <c r="G2001" s="161">
        <f>SUMIF(Lanç!$C$115:$C$6504,C2001,Lanç!$G$115:$G$6504)</f>
        <v>0</v>
      </c>
      <c r="H2001" s="162">
        <f t="shared" si="110"/>
        <v>2776950</v>
      </c>
      <c r="I2001" s="162">
        <f t="shared" si="111"/>
        <v>2776950</v>
      </c>
    </row>
    <row r="2002" spans="1:14">
      <c r="A2002" s="151">
        <f t="shared" si="112"/>
        <v>0</v>
      </c>
      <c r="B2002" s="151" t="s">
        <v>206</v>
      </c>
      <c r="C2002" s="159">
        <v>75228</v>
      </c>
      <c r="D2002" s="160" t="s">
        <v>1376</v>
      </c>
      <c r="E2002" s="161">
        <f>SUMIF(Lanç!$C$3:$C$114,C2002,Lanç!$F$3:$F$114)</f>
        <v>0</v>
      </c>
      <c r="F2002" s="161">
        <f>SUMIF(Lanç!$C$115:$C$6504,C2002,Lanç!$F$115:$F$6504)</f>
        <v>1424939.93</v>
      </c>
      <c r="G2002" s="161">
        <f>SUMIF(Lanç!$C$115:$C$6504,C2002,Lanç!$G$115:$G$6504)</f>
        <v>0</v>
      </c>
      <c r="H2002" s="162">
        <f t="shared" si="110"/>
        <v>1424939.93</v>
      </c>
      <c r="I2002" s="162">
        <f t="shared" si="111"/>
        <v>1424939.93</v>
      </c>
    </row>
    <row r="2003" spans="1:14">
      <c r="A2003" s="151">
        <f t="shared" si="112"/>
        <v>0</v>
      </c>
      <c r="B2003" s="151" t="s">
        <v>206</v>
      </c>
      <c r="C2003" s="159">
        <v>75229</v>
      </c>
      <c r="D2003" s="160" t="s">
        <v>1377</v>
      </c>
      <c r="E2003" s="161">
        <f>SUMIF(Lanç!$C$3:$C$114,C2003,Lanç!$F$3:$F$114)</f>
        <v>0</v>
      </c>
      <c r="F2003" s="161">
        <f>SUMIF(Lanç!$C$115:$C$6504,C2003,Lanç!$F$115:$F$6504)</f>
        <v>128729</v>
      </c>
      <c r="G2003" s="161">
        <f>SUMIF(Lanç!$C$115:$C$6504,C2003,Lanç!$G$115:$G$6504)</f>
        <v>0</v>
      </c>
      <c r="H2003" s="162">
        <f t="shared" si="110"/>
        <v>128729</v>
      </c>
      <c r="I2003" s="162">
        <f t="shared" si="111"/>
        <v>128729</v>
      </c>
    </row>
    <row r="2004" spans="1:14">
      <c r="A2004" s="151">
        <f t="shared" ref="A2004" si="116">IF(E2004+F2004+G2004+H2004+I2004=0,1,0)</f>
        <v>0</v>
      </c>
      <c r="B2004" s="151" t="s">
        <v>206</v>
      </c>
      <c r="C2004" s="159">
        <v>75230</v>
      </c>
      <c r="D2004" s="160" t="s">
        <v>1378</v>
      </c>
      <c r="E2004" s="161">
        <f>SUMIF(Lanç!$C$3:$C$114,C2004,Lanç!$F$3:$F$114)</f>
        <v>0</v>
      </c>
      <c r="F2004" s="161">
        <f>SUMIF(Lanç!$C$115:$C$6504,C2004,Lanç!$F$115:$F$6504)</f>
        <v>286590</v>
      </c>
      <c r="G2004" s="161">
        <f>SUMIF(Lanç!$C$115:$C$6504,C2004,Lanç!$G$115:$G$6504)</f>
        <v>0</v>
      </c>
      <c r="H2004" s="162">
        <f t="shared" ref="H2004" si="117">(F2004)-(G2004)</f>
        <v>286590</v>
      </c>
      <c r="I2004" s="162">
        <f t="shared" ref="I2004" si="118">(E2004)+(H2004)</f>
        <v>286590</v>
      </c>
    </row>
    <row r="2005" spans="1:14">
      <c r="A2005" s="151">
        <f t="shared" si="112"/>
        <v>0</v>
      </c>
      <c r="B2005" s="151" t="s">
        <v>206</v>
      </c>
      <c r="C2005" s="159">
        <v>75231</v>
      </c>
      <c r="D2005" s="160" t="s">
        <v>1420</v>
      </c>
      <c r="E2005" s="161">
        <f>SUMIF(Lanç!$C$3:$C$114,C2005,Lanç!$F$3:$F$114)</f>
        <v>0</v>
      </c>
      <c r="F2005" s="161">
        <f>SUMIF(Lanç!$C$115:$C$6504,C2005,Lanç!$F$115:$F$6504)</f>
        <v>1300000.0899999999</v>
      </c>
      <c r="G2005" s="161">
        <f>SUMIF(Lanç!$C$115:$C$6504,C2005,Lanç!$G$115:$G$6504)</f>
        <v>0</v>
      </c>
      <c r="H2005" s="162">
        <f t="shared" si="110"/>
        <v>1300000.0899999999</v>
      </c>
      <c r="I2005" s="162">
        <f t="shared" si="111"/>
        <v>1300000.0899999999</v>
      </c>
      <c r="J2005" s="1"/>
      <c r="K2005" s="1"/>
      <c r="L2005" s="1"/>
      <c r="M2005" s="1"/>
      <c r="N2005" s="1"/>
    </row>
    <row r="2006" spans="1:14" hidden="1">
      <c r="A2006" s="151">
        <f t="shared" si="112"/>
        <v>1</v>
      </c>
      <c r="B2006" s="155" t="s">
        <v>204</v>
      </c>
      <c r="C2006" s="156">
        <v>75231</v>
      </c>
      <c r="D2006" s="157" t="s">
        <v>1379</v>
      </c>
      <c r="E2006" s="158">
        <f>SUM(E2007)</f>
        <v>0</v>
      </c>
      <c r="F2006" s="158">
        <f>SUM(F2007)</f>
        <v>0</v>
      </c>
      <c r="G2006" s="158">
        <f>SUM(G2007)</f>
        <v>0</v>
      </c>
      <c r="H2006" s="154">
        <f t="shared" si="110"/>
        <v>0</v>
      </c>
      <c r="I2006" s="154">
        <f t="shared" si="111"/>
        <v>0</v>
      </c>
    </row>
    <row r="2007" spans="1:14" hidden="1">
      <c r="A2007" s="151">
        <f t="shared" si="112"/>
        <v>1</v>
      </c>
      <c r="B2007" s="151" t="s">
        <v>206</v>
      </c>
      <c r="C2007" s="159">
        <v>752311</v>
      </c>
      <c r="D2007" s="160" t="s">
        <v>1380</v>
      </c>
      <c r="E2007" s="161">
        <f>SUMIF(Lanç!$C$3:$C$114,C2007,Lanç!$F$3:$F$114)</f>
        <v>0</v>
      </c>
      <c r="F2007" s="161">
        <f>SUMIF(Lanç!$C$115:$C$6504,C2007,Lanç!$F$115:$F$6504)</f>
        <v>0</v>
      </c>
      <c r="G2007" s="161">
        <f>SUMIF(Lanç!$C$115:$C$6504,C2007,Lanç!$G$115:$G$6504)</f>
        <v>0</v>
      </c>
      <c r="H2007" s="162">
        <f t="shared" si="110"/>
        <v>0</v>
      </c>
      <c r="I2007" s="162">
        <f t="shared" si="111"/>
        <v>0</v>
      </c>
      <c r="J2007" s="1"/>
      <c r="K2007" s="1"/>
      <c r="L2007" s="1"/>
      <c r="M2007" s="1"/>
      <c r="N2007" s="1"/>
    </row>
    <row r="2008" spans="1:14" hidden="1">
      <c r="A2008" s="151">
        <f t="shared" si="112"/>
        <v>1</v>
      </c>
      <c r="B2008" s="155" t="s">
        <v>204</v>
      </c>
      <c r="C2008" s="156">
        <v>752312</v>
      </c>
      <c r="D2008" s="157" t="s">
        <v>1381</v>
      </c>
      <c r="E2008" s="158">
        <f>SUM(E2009:E2010)</f>
        <v>0</v>
      </c>
      <c r="F2008" s="158">
        <f>SUM(F2009:F2010)</f>
        <v>0</v>
      </c>
      <c r="G2008" s="158">
        <f>SUM(G2009:G2010)</f>
        <v>0</v>
      </c>
      <c r="H2008" s="154">
        <f t="shared" si="110"/>
        <v>0</v>
      </c>
      <c r="I2008" s="154">
        <f t="shared" si="111"/>
        <v>0</v>
      </c>
    </row>
    <row r="2009" spans="1:14" hidden="1">
      <c r="A2009" s="151">
        <f t="shared" si="112"/>
        <v>1</v>
      </c>
      <c r="B2009" s="151" t="s">
        <v>206</v>
      </c>
      <c r="C2009" s="159">
        <v>7523121</v>
      </c>
      <c r="D2009" s="160" t="s">
        <v>1382</v>
      </c>
      <c r="E2009" s="161">
        <f>SUMIF(Lanç!$C$3:$C$114,C2009,Lanç!$F$3:$F$114)</f>
        <v>0</v>
      </c>
      <c r="F2009" s="161">
        <f>SUMIF(Lanç!$C$115:$C$6504,C2009,Lanç!$F$115:$F$6504)</f>
        <v>0</v>
      </c>
      <c r="G2009" s="161">
        <f>SUMIF(Lanç!$C$115:$C$6504,C2009,Lanç!$G$115:$G$6504)</f>
        <v>0</v>
      </c>
      <c r="H2009" s="162">
        <f t="shared" si="110"/>
        <v>0</v>
      </c>
      <c r="I2009" s="162">
        <f t="shared" si="111"/>
        <v>0</v>
      </c>
    </row>
    <row r="2010" spans="1:14" hidden="1">
      <c r="A2010" s="151">
        <f t="shared" si="112"/>
        <v>1</v>
      </c>
      <c r="B2010" s="151" t="s">
        <v>206</v>
      </c>
      <c r="C2010" s="159">
        <v>7523122</v>
      </c>
      <c r="D2010" s="160" t="s">
        <v>1383</v>
      </c>
      <c r="E2010" s="161">
        <f>SUMIF(Lanç!$C$3:$C$114,C2010,Lanç!$F$3:$F$114)</f>
        <v>0</v>
      </c>
      <c r="F2010" s="161">
        <f>SUMIF(Lanç!$C$115:$C$6504,C2010,Lanç!$F$115:$F$6504)</f>
        <v>0</v>
      </c>
      <c r="G2010" s="161">
        <f>SUMIF(Lanç!$C$115:$C$6504,C2010,Lanç!$G$115:$G$6504)</f>
        <v>0</v>
      </c>
      <c r="H2010" s="162">
        <f t="shared" si="110"/>
        <v>0</v>
      </c>
      <c r="I2010" s="162">
        <f t="shared" si="111"/>
        <v>0</v>
      </c>
      <c r="J2010" s="1"/>
      <c r="K2010" s="1"/>
      <c r="L2010" s="1"/>
      <c r="M2010" s="1"/>
      <c r="N2010" s="1"/>
    </row>
    <row r="2011" spans="1:14" hidden="1">
      <c r="A2011" s="151">
        <f t="shared" si="112"/>
        <v>1</v>
      </c>
      <c r="B2011" s="155" t="s">
        <v>204</v>
      </c>
      <c r="C2011" s="156">
        <v>75232</v>
      </c>
      <c r="D2011" s="157" t="s">
        <v>1384</v>
      </c>
      <c r="E2011" s="158">
        <f>SUM(E2012)</f>
        <v>0</v>
      </c>
      <c r="F2011" s="158">
        <f>SUM(F2012)</f>
        <v>0</v>
      </c>
      <c r="G2011" s="158">
        <f>SUM(G2012)</f>
        <v>0</v>
      </c>
      <c r="H2011" s="154">
        <f t="shared" si="110"/>
        <v>0</v>
      </c>
      <c r="I2011" s="154">
        <f t="shared" si="111"/>
        <v>0</v>
      </c>
    </row>
    <row r="2012" spans="1:14" hidden="1">
      <c r="A2012" s="151">
        <f t="shared" si="112"/>
        <v>1</v>
      </c>
      <c r="B2012" s="151" t="s">
        <v>206</v>
      </c>
      <c r="C2012" s="159">
        <v>752321</v>
      </c>
      <c r="D2012" s="160" t="s">
        <v>1385</v>
      </c>
      <c r="E2012" s="161">
        <f>SUMIF(Lanç!$C$3:$C$114,C2012,Lanç!$F$3:$F$114)</f>
        <v>0</v>
      </c>
      <c r="F2012" s="161">
        <f>SUMIF(Lanç!$C$115:$C$6504,C2012,Lanç!$F$115:$F$6504)</f>
        <v>0</v>
      </c>
      <c r="G2012" s="161">
        <f>SUMIF(Lanç!$C$115:$C$6504,C2012,Lanç!$G$115:$G$6504)</f>
        <v>0</v>
      </c>
      <c r="H2012" s="162">
        <f t="shared" si="110"/>
        <v>0</v>
      </c>
      <c r="I2012" s="162">
        <f t="shared" si="111"/>
        <v>0</v>
      </c>
      <c r="J2012" s="1"/>
      <c r="K2012" s="1"/>
      <c r="L2012" s="1"/>
      <c r="M2012" s="1"/>
      <c r="N2012" s="1"/>
    </row>
    <row r="2013" spans="1:14" hidden="1">
      <c r="A2013" s="151">
        <f t="shared" si="112"/>
        <v>1</v>
      </c>
      <c r="B2013" s="155" t="s">
        <v>204</v>
      </c>
      <c r="C2013" s="156">
        <v>752322</v>
      </c>
      <c r="D2013" s="157" t="s">
        <v>1386</v>
      </c>
      <c r="E2013" s="158">
        <f>SUM(E2014:E2015)</f>
        <v>0</v>
      </c>
      <c r="F2013" s="158">
        <f>SUM(F2014:F2015)</f>
        <v>0</v>
      </c>
      <c r="G2013" s="158">
        <f>SUM(G2014:G2015)</f>
        <v>0</v>
      </c>
      <c r="H2013" s="154">
        <f t="shared" si="110"/>
        <v>0</v>
      </c>
      <c r="I2013" s="154">
        <f t="shared" si="111"/>
        <v>0</v>
      </c>
    </row>
    <row r="2014" spans="1:14" hidden="1">
      <c r="A2014" s="151">
        <f t="shared" si="112"/>
        <v>1</v>
      </c>
      <c r="B2014" s="151" t="s">
        <v>206</v>
      </c>
      <c r="C2014" s="159">
        <v>7523221</v>
      </c>
      <c r="D2014" s="160" t="s">
        <v>1387</v>
      </c>
      <c r="E2014" s="161">
        <f>SUMIF(Lanç!$C$3:$C$114,C2014,Lanç!$F$3:$F$114)</f>
        <v>0</v>
      </c>
      <c r="F2014" s="161">
        <f>SUMIF(Lanç!$C$115:$C$6504,C2014,Lanç!$F$115:$F$6504)</f>
        <v>0</v>
      </c>
      <c r="G2014" s="161">
        <f>SUMIF(Lanç!$C$115:$C$6504,C2014,Lanç!$G$115:$G$6504)</f>
        <v>0</v>
      </c>
      <c r="H2014" s="162">
        <f t="shared" si="110"/>
        <v>0</v>
      </c>
      <c r="I2014" s="162">
        <f t="shared" si="111"/>
        <v>0</v>
      </c>
    </row>
    <row r="2015" spans="1:14" hidden="1">
      <c r="A2015" s="151">
        <f t="shared" si="112"/>
        <v>1</v>
      </c>
      <c r="B2015" s="151" t="s">
        <v>206</v>
      </c>
      <c r="C2015" s="159">
        <v>7523222</v>
      </c>
      <c r="D2015" s="160" t="s">
        <v>1388</v>
      </c>
      <c r="E2015" s="161">
        <f>SUMIF(Lanç!$C$3:$C$114,C2015,Lanç!$F$3:$F$114)</f>
        <v>0</v>
      </c>
      <c r="F2015" s="161">
        <f>SUMIF(Lanç!$C$115:$C$6504,C2015,Lanç!$F$115:$F$6504)</f>
        <v>0</v>
      </c>
      <c r="G2015" s="161">
        <f>SUMIF(Lanç!$C$115:$C$6504,C2015,Lanç!$G$115:$G$6504)</f>
        <v>0</v>
      </c>
      <c r="H2015" s="162">
        <f t="shared" si="110"/>
        <v>0</v>
      </c>
      <c r="I2015" s="162">
        <f t="shared" si="111"/>
        <v>0</v>
      </c>
      <c r="J2015" s="1"/>
      <c r="K2015" s="1"/>
      <c r="L2015" s="1"/>
      <c r="M2015" s="1"/>
      <c r="N2015" s="1"/>
    </row>
    <row r="2016" spans="1:14">
      <c r="A2016" s="151">
        <f t="shared" si="112"/>
        <v>0</v>
      </c>
      <c r="B2016" s="155" t="s">
        <v>204</v>
      </c>
      <c r="C2016" s="156">
        <v>75233</v>
      </c>
      <c r="D2016" s="157" t="s">
        <v>1389</v>
      </c>
      <c r="E2016" s="158">
        <f>SUM(E2017:E2025)</f>
        <v>0</v>
      </c>
      <c r="F2016" s="158">
        <f>SUM(F2017:F2025)</f>
        <v>92283683.5</v>
      </c>
      <c r="G2016" s="158">
        <f>SUM(G2017:G2025)</f>
        <v>0</v>
      </c>
      <c r="H2016" s="154">
        <f t="shared" si="110"/>
        <v>92283683.5</v>
      </c>
      <c r="I2016" s="154">
        <f t="shared" si="111"/>
        <v>92283683.5</v>
      </c>
    </row>
    <row r="2017" spans="1:14" hidden="1">
      <c r="A2017" s="151">
        <f t="shared" si="112"/>
        <v>1</v>
      </c>
      <c r="B2017" s="151" t="s">
        <v>206</v>
      </c>
      <c r="C2017" s="159">
        <v>752331</v>
      </c>
      <c r="D2017" s="160" t="s">
        <v>1390</v>
      </c>
      <c r="E2017" s="161">
        <f>SUMIF(Lanç!$C$3:$C$114,C2017,Lanç!$F$3:$F$114)</f>
        <v>0</v>
      </c>
      <c r="F2017" s="161">
        <f>SUMIF(Lanç!$C$115:$C$6504,C2017,Lanç!$F$115:$F$6504)</f>
        <v>0</v>
      </c>
      <c r="G2017" s="161">
        <f>SUMIF(Lanç!$C$115:$C$6504,C2017,Lanç!$G$115:$G$6504)</f>
        <v>0</v>
      </c>
      <c r="H2017" s="162">
        <f t="shared" si="110"/>
        <v>0</v>
      </c>
      <c r="I2017" s="162">
        <f t="shared" si="111"/>
        <v>0</v>
      </c>
    </row>
    <row r="2018" spans="1:14" hidden="1">
      <c r="A2018" s="151">
        <f t="shared" si="112"/>
        <v>1</v>
      </c>
      <c r="B2018" s="151" t="s">
        <v>206</v>
      </c>
      <c r="C2018" s="159">
        <v>752332</v>
      </c>
      <c r="D2018" s="160" t="s">
        <v>1391</v>
      </c>
      <c r="E2018" s="161">
        <f>SUMIF(Lanç!$C$3:$C$114,C2018,Lanç!$F$3:$F$114)</f>
        <v>0</v>
      </c>
      <c r="F2018" s="161">
        <f>SUMIF(Lanç!$C$115:$C$6504,C2018,Lanç!$F$115:$F$6504)</f>
        <v>0</v>
      </c>
      <c r="G2018" s="161">
        <f>SUMIF(Lanç!$C$115:$C$6504,C2018,Lanç!$G$115:$G$6504)</f>
        <v>0</v>
      </c>
      <c r="H2018" s="162">
        <f t="shared" si="110"/>
        <v>0</v>
      </c>
      <c r="I2018" s="162">
        <f t="shared" si="111"/>
        <v>0</v>
      </c>
    </row>
    <row r="2019" spans="1:14">
      <c r="A2019" s="151">
        <f t="shared" si="112"/>
        <v>0</v>
      </c>
      <c r="B2019" s="151" t="s">
        <v>206</v>
      </c>
      <c r="C2019" s="159">
        <v>752333</v>
      </c>
      <c r="D2019" s="160" t="s">
        <v>1392</v>
      </c>
      <c r="E2019" s="161">
        <f>SUMIF(Lanç!$C$3:$C$114,C2019,Lanç!$F$3:$F$114)</f>
        <v>0</v>
      </c>
      <c r="F2019" s="161">
        <f>SUMIF(Lanç!$C$115:$C$6504,C2019,Lanç!$F$115:$F$6504)</f>
        <v>1000000</v>
      </c>
      <c r="G2019" s="161">
        <f>SUMIF(Lanç!$C$115:$C$6504,C2019,Lanç!$G$115:$G$6504)</f>
        <v>0</v>
      </c>
      <c r="H2019" s="162">
        <f t="shared" si="110"/>
        <v>1000000</v>
      </c>
      <c r="I2019" s="162">
        <f t="shared" si="111"/>
        <v>1000000</v>
      </c>
    </row>
    <row r="2020" spans="1:14" hidden="1">
      <c r="A2020" s="151">
        <f t="shared" si="112"/>
        <v>1</v>
      </c>
      <c r="B2020" s="151" t="s">
        <v>206</v>
      </c>
      <c r="C2020" s="159">
        <v>752334</v>
      </c>
      <c r="D2020" s="160" t="s">
        <v>1393</v>
      </c>
      <c r="E2020" s="161">
        <f>SUMIF(Lanç!$C$3:$C$114,C2020,Lanç!$F$3:$F$114)</f>
        <v>0</v>
      </c>
      <c r="F2020" s="161">
        <f>SUMIF(Lanç!$C$115:$C$6504,C2020,Lanç!$F$115:$F$6504)</f>
        <v>0</v>
      </c>
      <c r="G2020" s="161">
        <f>SUMIF(Lanç!$C$115:$C$6504,C2020,Lanç!$G$115:$G$6504)</f>
        <v>0</v>
      </c>
      <c r="H2020" s="162">
        <f t="shared" si="110"/>
        <v>0</v>
      </c>
      <c r="I2020" s="162">
        <f t="shared" si="111"/>
        <v>0</v>
      </c>
    </row>
    <row r="2021" spans="1:14" hidden="1">
      <c r="A2021" s="151">
        <f t="shared" si="112"/>
        <v>1</v>
      </c>
      <c r="B2021" s="151" t="s">
        <v>206</v>
      </c>
      <c r="C2021" s="159">
        <v>752335</v>
      </c>
      <c r="D2021" s="160" t="s">
        <v>1394</v>
      </c>
      <c r="E2021" s="161">
        <f>SUMIF(Lanç!$C$3:$C$114,C2021,Lanç!$F$3:$F$114)</f>
        <v>0</v>
      </c>
      <c r="F2021" s="161">
        <f>SUMIF(Lanç!$C$115:$C$6504,C2021,Lanç!$F$115:$F$6504)</f>
        <v>0</v>
      </c>
      <c r="G2021" s="161">
        <f>SUMIF(Lanç!$C$115:$C$6504,C2021,Lanç!$G$115:$G$6504)</f>
        <v>0</v>
      </c>
      <c r="H2021" s="162">
        <f t="shared" si="110"/>
        <v>0</v>
      </c>
      <c r="I2021" s="162">
        <f t="shared" si="111"/>
        <v>0</v>
      </c>
    </row>
    <row r="2022" spans="1:14" hidden="1">
      <c r="A2022" s="151">
        <f t="shared" si="112"/>
        <v>1</v>
      </c>
      <c r="B2022" s="151" t="s">
        <v>206</v>
      </c>
      <c r="C2022" s="159">
        <v>752336</v>
      </c>
      <c r="D2022" s="160" t="s">
        <v>1765</v>
      </c>
      <c r="E2022" s="161">
        <f>SUMIF(Lanç!$C$3:$C$114,C2022,Lanç!$F$3:$F$114)</f>
        <v>0</v>
      </c>
      <c r="F2022" s="161">
        <f>SUMIF(Lanç!$C$115:$C$6504,C2022,Lanç!$F$115:$F$6504)</f>
        <v>0</v>
      </c>
      <c r="G2022" s="161">
        <f>SUMIF(Lanç!$C$115:$C$6504,C2022,Lanç!$G$115:$G$6504)</f>
        <v>0</v>
      </c>
      <c r="H2022" s="162">
        <f t="shared" ref="H2022:H2087" si="119">(F2022)-(G2022)</f>
        <v>0</v>
      </c>
      <c r="I2022" s="162">
        <f t="shared" ref="I2022:I2087" si="120">(E2022)+(H2022)</f>
        <v>0</v>
      </c>
    </row>
    <row r="2023" spans="1:14">
      <c r="A2023" s="151">
        <f t="shared" si="112"/>
        <v>0</v>
      </c>
      <c r="B2023" s="151" t="s">
        <v>206</v>
      </c>
      <c r="C2023" s="159">
        <v>752337</v>
      </c>
      <c r="D2023" s="160" t="s">
        <v>1395</v>
      </c>
      <c r="E2023" s="161">
        <f>SUMIF(Lanç!$C$3:$C$114,C2023,Lanç!$F$3:$F$114)</f>
        <v>0</v>
      </c>
      <c r="F2023" s="161">
        <f>SUMIF(Lanç!$C$115:$C$6504,C2023,Lanç!$F$115:$F$6504)</f>
        <v>91283683.5</v>
      </c>
      <c r="G2023" s="161">
        <f>SUMIF(Lanç!$C$115:$C$6504,C2023,Lanç!$G$115:$G$6504)</f>
        <v>0</v>
      </c>
      <c r="H2023" s="162">
        <f t="shared" si="119"/>
        <v>91283683.5</v>
      </c>
      <c r="I2023" s="162">
        <f t="shared" si="120"/>
        <v>91283683.5</v>
      </c>
    </row>
    <row r="2024" spans="1:14" hidden="1">
      <c r="A2024" s="151">
        <f t="shared" si="112"/>
        <v>1</v>
      </c>
      <c r="B2024" s="151" t="s">
        <v>206</v>
      </c>
      <c r="C2024" s="159">
        <v>752338</v>
      </c>
      <c r="D2024" s="160" t="s">
        <v>1396</v>
      </c>
      <c r="E2024" s="161">
        <f>SUMIF(Lanç!$C$3:$C$114,C2024,Lanç!$F$3:$F$114)</f>
        <v>0</v>
      </c>
      <c r="F2024" s="161">
        <f>SUMIF(Lanç!$C$115:$C$6504,C2024,Lanç!$F$115:$F$6504)</f>
        <v>0</v>
      </c>
      <c r="G2024" s="161">
        <f>SUMIF(Lanç!$C$115:$C$6504,C2024,Lanç!$G$115:$G$6504)</f>
        <v>0</v>
      </c>
      <c r="H2024" s="162">
        <f t="shared" si="119"/>
        <v>0</v>
      </c>
      <c r="I2024" s="162">
        <f t="shared" si="120"/>
        <v>0</v>
      </c>
    </row>
    <row r="2025" spans="1:14" hidden="1">
      <c r="A2025" s="151">
        <f t="shared" si="112"/>
        <v>1</v>
      </c>
      <c r="B2025" s="151" t="s">
        <v>206</v>
      </c>
      <c r="C2025" s="159">
        <v>752339</v>
      </c>
      <c r="D2025" s="160" t="s">
        <v>1397</v>
      </c>
      <c r="E2025" s="161">
        <f>SUMIF(Lanç!$C$3:$C$114,C2025,Lanç!$F$3:$F$114)</f>
        <v>0</v>
      </c>
      <c r="F2025" s="161">
        <f>SUMIF(Lanç!$C$115:$C$6504,C2025,Lanç!$F$115:$F$6504)</f>
        <v>0</v>
      </c>
      <c r="G2025" s="161">
        <f>SUMIF(Lanç!$C$115:$C$6504,C2025,Lanç!$G$115:$G$6504)</f>
        <v>0</v>
      </c>
      <c r="H2025" s="162">
        <f t="shared" si="119"/>
        <v>0</v>
      </c>
      <c r="I2025" s="162">
        <f t="shared" si="120"/>
        <v>0</v>
      </c>
      <c r="J2025" s="1"/>
      <c r="K2025" s="1"/>
      <c r="L2025" s="1"/>
      <c r="M2025" s="1"/>
      <c r="N2025" s="1"/>
    </row>
    <row r="2026" spans="1:14" hidden="1">
      <c r="A2026" s="151">
        <f t="shared" si="112"/>
        <v>1</v>
      </c>
      <c r="B2026" s="155" t="s">
        <v>204</v>
      </c>
      <c r="C2026" s="156">
        <v>75234</v>
      </c>
      <c r="D2026" s="157" t="s">
        <v>1398</v>
      </c>
      <c r="E2026" s="158">
        <f>SUM(E2027,E2028)</f>
        <v>0</v>
      </c>
      <c r="F2026" s="158">
        <f>SUM(F2027,F2028)</f>
        <v>0</v>
      </c>
      <c r="G2026" s="158">
        <f>SUM(G2027,G2028)</f>
        <v>0</v>
      </c>
      <c r="H2026" s="154">
        <f t="shared" si="119"/>
        <v>0</v>
      </c>
      <c r="I2026" s="154">
        <f t="shared" si="120"/>
        <v>0</v>
      </c>
    </row>
    <row r="2027" spans="1:14" hidden="1">
      <c r="A2027" s="151">
        <f t="shared" ref="A2027:A2092" si="121">IF(E2027+F2027+G2027+H2027+I2027=0,1,0)</f>
        <v>1</v>
      </c>
      <c r="B2027" s="151" t="s">
        <v>206</v>
      </c>
      <c r="C2027" s="159">
        <v>752341</v>
      </c>
      <c r="D2027" s="160" t="s">
        <v>1399</v>
      </c>
      <c r="E2027" s="161">
        <f>SUMIF(Lanç!$C$3:$C$114,C2027,Lanç!$F$3:$F$114)</f>
        <v>0</v>
      </c>
      <c r="F2027" s="161">
        <f>SUMIF(Lanç!$C$115:$C$6504,C2027,Lanç!$F$115:$F$6504)</f>
        <v>0</v>
      </c>
      <c r="G2027" s="161">
        <f>SUMIF(Lanç!$C$115:$C$6504,C2027,Lanç!$G$115:$G$6504)</f>
        <v>0</v>
      </c>
      <c r="H2027" s="162">
        <f t="shared" si="119"/>
        <v>0</v>
      </c>
      <c r="I2027" s="162">
        <f t="shared" si="120"/>
        <v>0</v>
      </c>
      <c r="J2027" s="1"/>
      <c r="K2027" s="1"/>
      <c r="L2027" s="1"/>
      <c r="M2027" s="1"/>
      <c r="N2027" s="1"/>
    </row>
    <row r="2028" spans="1:14" hidden="1">
      <c r="A2028" s="151">
        <f t="shared" si="121"/>
        <v>1</v>
      </c>
      <c r="B2028" s="155" t="s">
        <v>204</v>
      </c>
      <c r="C2028" s="156">
        <v>752342</v>
      </c>
      <c r="D2028" s="157" t="s">
        <v>1400</v>
      </c>
      <c r="E2028" s="158">
        <f>SUM(E2029:E2030)</f>
        <v>0</v>
      </c>
      <c r="F2028" s="158">
        <f>SUM(F2029:F2030)</f>
        <v>0</v>
      </c>
      <c r="G2028" s="158">
        <f>SUM(G2029:G2030)</f>
        <v>0</v>
      </c>
      <c r="H2028" s="154">
        <f t="shared" si="119"/>
        <v>0</v>
      </c>
      <c r="I2028" s="154">
        <f t="shared" si="120"/>
        <v>0</v>
      </c>
    </row>
    <row r="2029" spans="1:14" hidden="1">
      <c r="A2029" s="151">
        <f t="shared" si="121"/>
        <v>1</v>
      </c>
      <c r="B2029" s="151" t="s">
        <v>206</v>
      </c>
      <c r="C2029" s="159">
        <v>7523421</v>
      </c>
      <c r="D2029" s="160" t="s">
        <v>1401</v>
      </c>
      <c r="E2029" s="161">
        <f>SUMIF(Lanç!$C$3:$C$114,C2029,Lanç!$F$3:$F$114)</f>
        <v>0</v>
      </c>
      <c r="F2029" s="161">
        <f>SUMIF(Lanç!$C$115:$C$6504,C2029,Lanç!$F$115:$F$6504)</f>
        <v>0</v>
      </c>
      <c r="G2029" s="161">
        <f>SUMIF(Lanç!$C$115:$C$6504,C2029,Lanç!$G$115:$G$6504)</f>
        <v>0</v>
      </c>
      <c r="H2029" s="162">
        <f t="shared" si="119"/>
        <v>0</v>
      </c>
      <c r="I2029" s="162">
        <f t="shared" si="120"/>
        <v>0</v>
      </c>
    </row>
    <row r="2030" spans="1:14" hidden="1">
      <c r="A2030" s="151">
        <f t="shared" si="121"/>
        <v>1</v>
      </c>
      <c r="B2030" s="151" t="s">
        <v>206</v>
      </c>
      <c r="C2030" s="159">
        <v>7523422</v>
      </c>
      <c r="D2030" s="160" t="s">
        <v>1402</v>
      </c>
      <c r="E2030" s="161">
        <f>SUMIF(Lanç!$C$3:$C$114,C2030,Lanç!$F$3:$F$114)</f>
        <v>0</v>
      </c>
      <c r="F2030" s="161">
        <f>SUMIF(Lanç!$C$115:$C$6504,C2030,Lanç!$F$115:$F$6504)</f>
        <v>0</v>
      </c>
      <c r="G2030" s="161">
        <f>SUMIF(Lanç!$C$115:$C$6504,C2030,Lanç!$G$115:$G$6504)</f>
        <v>0</v>
      </c>
      <c r="H2030" s="162">
        <f t="shared" si="119"/>
        <v>0</v>
      </c>
      <c r="I2030" s="162">
        <f t="shared" si="120"/>
        <v>0</v>
      </c>
      <c r="J2030" s="1"/>
      <c r="K2030" s="1"/>
      <c r="L2030" s="1"/>
      <c r="M2030" s="1"/>
      <c r="N2030" s="1"/>
    </row>
    <row r="2031" spans="1:14" hidden="1">
      <c r="A2031" s="151">
        <f t="shared" si="121"/>
        <v>1</v>
      </c>
      <c r="B2031" s="155" t="s">
        <v>204</v>
      </c>
      <c r="C2031" s="156">
        <v>75235</v>
      </c>
      <c r="D2031" s="157" t="s">
        <v>1179</v>
      </c>
      <c r="E2031" s="158">
        <f>SUM(E2032)</f>
        <v>0</v>
      </c>
      <c r="F2031" s="158">
        <f>SUM(F2032)</f>
        <v>0</v>
      </c>
      <c r="G2031" s="158">
        <f>SUM(G2032)</f>
        <v>0</v>
      </c>
      <c r="H2031" s="154">
        <f t="shared" si="119"/>
        <v>0</v>
      </c>
      <c r="I2031" s="154">
        <f t="shared" si="120"/>
        <v>0</v>
      </c>
    </row>
    <row r="2032" spans="1:14" hidden="1">
      <c r="A2032" s="151">
        <f t="shared" si="121"/>
        <v>1</v>
      </c>
      <c r="B2032" s="151" t="s">
        <v>206</v>
      </c>
      <c r="C2032" s="159">
        <v>752351</v>
      </c>
      <c r="D2032" s="160" t="s">
        <v>1403</v>
      </c>
      <c r="E2032" s="161">
        <f>SUMIF(Lanç!$C$3:$C$114,C2032,Lanç!$F$3:$F$114)</f>
        <v>0</v>
      </c>
      <c r="F2032" s="161">
        <f>SUMIF(Lanç!$C$115:$C$6504,C2032,Lanç!$F$115:$F$6504)</f>
        <v>0</v>
      </c>
      <c r="G2032" s="161">
        <f>SUMIF(Lanç!$C$115:$C$6504,C2032,Lanç!$G$115:$G$6504)</f>
        <v>0</v>
      </c>
      <c r="H2032" s="162">
        <f t="shared" si="119"/>
        <v>0</v>
      </c>
      <c r="I2032" s="162">
        <f t="shared" si="120"/>
        <v>0</v>
      </c>
      <c r="J2032" s="1"/>
      <c r="K2032" s="1"/>
      <c r="L2032" s="1"/>
      <c r="M2032" s="1"/>
      <c r="N2032" s="1"/>
    </row>
    <row r="2033" spans="1:14" hidden="1">
      <c r="A2033" s="151">
        <f t="shared" si="121"/>
        <v>1</v>
      </c>
      <c r="B2033" s="155" t="s">
        <v>204</v>
      </c>
      <c r="C2033" s="156">
        <v>75235.199999999997</v>
      </c>
      <c r="D2033" s="157" t="s">
        <v>1404</v>
      </c>
      <c r="E2033" s="158">
        <f>SUM(E2034:E2037)</f>
        <v>0</v>
      </c>
      <c r="F2033" s="158">
        <f>SUM(F2034:F2037)</f>
        <v>0</v>
      </c>
      <c r="G2033" s="158">
        <f>SUM(G2034:G2037)</f>
        <v>0</v>
      </c>
      <c r="H2033" s="154">
        <f t="shared" si="119"/>
        <v>0</v>
      </c>
      <c r="I2033" s="154">
        <f t="shared" si="120"/>
        <v>0</v>
      </c>
    </row>
    <row r="2034" spans="1:14" hidden="1">
      <c r="A2034" s="151">
        <f t="shared" si="121"/>
        <v>1</v>
      </c>
      <c r="B2034" s="151" t="s">
        <v>206</v>
      </c>
      <c r="C2034" s="159">
        <v>7523521</v>
      </c>
      <c r="D2034" s="160" t="s">
        <v>1405</v>
      </c>
      <c r="E2034" s="161">
        <f>SUMIF(Lanç!$C$3:$C$114,C2034,Lanç!$F$3:$F$114)</f>
        <v>0</v>
      </c>
      <c r="F2034" s="161">
        <f>SUMIF(Lanç!$C$115:$C$6504,C2034,Lanç!$F$115:$F$6504)</f>
        <v>0</v>
      </c>
      <c r="G2034" s="161">
        <f>SUMIF(Lanç!$C$115:$C$6504,C2034,Lanç!$G$115:$G$6504)</f>
        <v>0</v>
      </c>
      <c r="H2034" s="162">
        <f t="shared" si="119"/>
        <v>0</v>
      </c>
      <c r="I2034" s="162">
        <f t="shared" si="120"/>
        <v>0</v>
      </c>
    </row>
    <row r="2035" spans="1:14" hidden="1">
      <c r="A2035" s="151">
        <f t="shared" si="121"/>
        <v>1</v>
      </c>
      <c r="B2035" s="151" t="s">
        <v>206</v>
      </c>
      <c r="C2035" s="159">
        <v>7523522</v>
      </c>
      <c r="D2035" s="160" t="s">
        <v>1402</v>
      </c>
      <c r="E2035" s="161">
        <f>SUMIF(Lanç!$C$3:$C$114,C2035,Lanç!$F$3:$F$114)</f>
        <v>0</v>
      </c>
      <c r="F2035" s="161">
        <f>SUMIF(Lanç!$C$115:$C$6504,C2035,Lanç!$F$115:$F$6504)</f>
        <v>0</v>
      </c>
      <c r="G2035" s="161">
        <f>SUMIF(Lanç!$C$115:$C$6504,C2035,Lanç!$G$115:$G$6504)</f>
        <v>0</v>
      </c>
      <c r="H2035" s="162">
        <f t="shared" si="119"/>
        <v>0</v>
      </c>
      <c r="I2035" s="162">
        <f t="shared" si="120"/>
        <v>0</v>
      </c>
      <c r="J2035" s="1"/>
      <c r="K2035" s="1"/>
      <c r="L2035" s="1"/>
      <c r="M2035" s="1"/>
      <c r="N2035" s="1"/>
    </row>
    <row r="2036" spans="1:14" hidden="1">
      <c r="A2036" s="151">
        <f t="shared" si="121"/>
        <v>1</v>
      </c>
      <c r="B2036" s="151" t="s">
        <v>206</v>
      </c>
      <c r="C2036" s="159">
        <v>75237</v>
      </c>
      <c r="D2036" s="160" t="s">
        <v>1406</v>
      </c>
      <c r="E2036" s="161">
        <f>SUMIF(Lanç!$C$3:$C$114,C2036,Lanç!$F$3:$F$114)</f>
        <v>0</v>
      </c>
      <c r="F2036" s="161">
        <f>SUMIF(Lanç!$C$115:$C$6504,C2036,Lanç!$F$115:$F$6504)</f>
        <v>0</v>
      </c>
      <c r="G2036" s="161">
        <f>SUMIF(Lanç!$C$115:$C$6504,C2036,Lanç!$G$115:$G$6504)</f>
        <v>0</v>
      </c>
      <c r="H2036" s="162">
        <f t="shared" si="119"/>
        <v>0</v>
      </c>
      <c r="I2036" s="162">
        <f t="shared" si="120"/>
        <v>0</v>
      </c>
    </row>
    <row r="2037" spans="1:14" hidden="1">
      <c r="A2037" s="151">
        <f t="shared" si="121"/>
        <v>1</v>
      </c>
      <c r="B2037" s="151" t="s">
        <v>206</v>
      </c>
      <c r="C2037" s="159">
        <v>75238</v>
      </c>
      <c r="D2037" s="160" t="s">
        <v>1407</v>
      </c>
      <c r="E2037" s="161">
        <f>SUMIF(Lanç!$C$3:$C$114,C2037,Lanç!$F$3:$F$114)</f>
        <v>0</v>
      </c>
      <c r="F2037" s="161">
        <f>SUMIF(Lanç!$C$115:$C$6504,C2037,Lanç!$F$115:$F$6504)</f>
        <v>0</v>
      </c>
      <c r="G2037" s="161">
        <f>SUMIF(Lanç!$C$115:$C$6504,C2037,Lanç!$G$115:$G$6504)</f>
        <v>0</v>
      </c>
      <c r="H2037" s="162">
        <f t="shared" si="119"/>
        <v>0</v>
      </c>
      <c r="I2037" s="162">
        <f t="shared" si="120"/>
        <v>0</v>
      </c>
    </row>
    <row r="2038" spans="1:14" hidden="1">
      <c r="A2038" s="151">
        <f t="shared" si="121"/>
        <v>1</v>
      </c>
      <c r="B2038" s="155" t="s">
        <v>204</v>
      </c>
      <c r="C2038" s="156">
        <v>75239</v>
      </c>
      <c r="D2038" s="157" t="s">
        <v>1408</v>
      </c>
      <c r="E2038" s="158">
        <f>SUM(E2039)</f>
        <v>0</v>
      </c>
      <c r="F2038" s="158">
        <f>SUM(F2039)</f>
        <v>0</v>
      </c>
      <c r="G2038" s="158">
        <f>SUM(G2039)</f>
        <v>0</v>
      </c>
      <c r="H2038" s="163">
        <f t="shared" si="119"/>
        <v>0</v>
      </c>
      <c r="I2038" s="163">
        <f t="shared" si="120"/>
        <v>0</v>
      </c>
    </row>
    <row r="2039" spans="1:14" hidden="1">
      <c r="A2039" s="151">
        <f t="shared" si="121"/>
        <v>1</v>
      </c>
      <c r="B2039" s="151" t="s">
        <v>206</v>
      </c>
      <c r="C2039" s="159">
        <v>752391</v>
      </c>
      <c r="D2039" s="160" t="s">
        <v>1822</v>
      </c>
      <c r="E2039" s="161">
        <f>SUMIF(Lanç!$C$3:$C$114,C2039,Lanç!$F$3:$F$114)</f>
        <v>0</v>
      </c>
      <c r="F2039" s="161">
        <f>SUMIF(Lanç!$C$115:$C$6504,C2039,Lanç!$F$115:$F$6504)</f>
        <v>0</v>
      </c>
      <c r="G2039" s="161">
        <f>SUMIF(Lanç!$C$115:$C$6504,C2039,Lanç!$G$115:$G$6504)</f>
        <v>0</v>
      </c>
      <c r="H2039" s="162">
        <f t="shared" si="119"/>
        <v>0</v>
      </c>
      <c r="I2039" s="162">
        <f t="shared" si="120"/>
        <v>0</v>
      </c>
    </row>
    <row r="2040" spans="1:14">
      <c r="A2040" s="151">
        <f t="shared" si="121"/>
        <v>0</v>
      </c>
      <c r="B2040" s="155" t="s">
        <v>204</v>
      </c>
      <c r="C2040" s="156">
        <v>753</v>
      </c>
      <c r="D2040" s="157" t="s">
        <v>1409</v>
      </c>
      <c r="E2040" s="158">
        <f>SUM(E2041,E2051)</f>
        <v>0</v>
      </c>
      <c r="F2040" s="158">
        <f>SUM(F2041,F2051,F2058,F2059,F2060)</f>
        <v>1752340</v>
      </c>
      <c r="G2040" s="158">
        <f>SUM(G2041,G2051,G2058,G2059,G2060,G2061)</f>
        <v>0</v>
      </c>
      <c r="H2040" s="154">
        <f t="shared" si="119"/>
        <v>1752340</v>
      </c>
      <c r="I2040" s="154">
        <f t="shared" si="120"/>
        <v>1752340</v>
      </c>
    </row>
    <row r="2041" spans="1:14">
      <c r="A2041" s="151">
        <f t="shared" si="121"/>
        <v>0</v>
      </c>
      <c r="B2041" s="155" t="s">
        <v>204</v>
      </c>
      <c r="C2041" s="156">
        <v>7531</v>
      </c>
      <c r="D2041" s="157" t="s">
        <v>1410</v>
      </c>
      <c r="E2041" s="158">
        <f>SUM(E2042:E2050)</f>
        <v>0</v>
      </c>
      <c r="F2041" s="158">
        <f>SUM(F2042:F2050)</f>
        <v>1752340</v>
      </c>
      <c r="G2041" s="158">
        <f>SUM(G2042:G2050)</f>
        <v>0</v>
      </c>
      <c r="H2041" s="154">
        <f t="shared" si="119"/>
        <v>1752340</v>
      </c>
      <c r="I2041" s="154">
        <f t="shared" si="120"/>
        <v>1752340</v>
      </c>
    </row>
    <row r="2042" spans="1:14" hidden="1">
      <c r="A2042" s="151">
        <f t="shared" si="121"/>
        <v>1</v>
      </c>
      <c r="B2042" s="151" t="s">
        <v>206</v>
      </c>
      <c r="C2042" s="159">
        <v>75311</v>
      </c>
      <c r="D2042" s="160" t="s">
        <v>1411</v>
      </c>
      <c r="E2042" s="161">
        <f>SUMIF(Lanç!$C$3:$C$114,C2042,Lanç!$F$3:$F$114)</f>
        <v>0</v>
      </c>
      <c r="F2042" s="161">
        <f>SUMIF(Lanç!$C$115:$C$6504,C2042,Lanç!$F$115:$F$6504)</f>
        <v>0</v>
      </c>
      <c r="G2042" s="161">
        <f>SUMIF(Lanç!$C$115:$C$6504,C2042,Lanç!$G$115:$G$6504)</f>
        <v>0</v>
      </c>
      <c r="H2042" s="162">
        <f t="shared" si="119"/>
        <v>0</v>
      </c>
      <c r="I2042" s="162">
        <f t="shared" si="120"/>
        <v>0</v>
      </c>
    </row>
    <row r="2043" spans="1:14" hidden="1">
      <c r="A2043" s="151">
        <f t="shared" si="121"/>
        <v>1</v>
      </c>
      <c r="B2043" s="151" t="s">
        <v>206</v>
      </c>
      <c r="C2043" s="159">
        <v>75312</v>
      </c>
      <c r="D2043" s="160" t="s">
        <v>187</v>
      </c>
      <c r="E2043" s="161">
        <f>SUMIF(Lanç!$C$3:$C$114,C2043,Lanç!$F$3:$F$114)</f>
        <v>0</v>
      </c>
      <c r="F2043" s="161">
        <f>SUMIF(Lanç!$C$115:$C$6504,C2043,Lanç!$F$115:$F$6504)</f>
        <v>0</v>
      </c>
      <c r="G2043" s="161">
        <f>SUMIF(Lanç!$C$115:$C$6504,C2043,Lanç!$G$115:$G$6504)</f>
        <v>0</v>
      </c>
      <c r="H2043" s="162">
        <f t="shared" si="119"/>
        <v>0</v>
      </c>
      <c r="I2043" s="162">
        <f t="shared" si="120"/>
        <v>0</v>
      </c>
    </row>
    <row r="2044" spans="1:14" hidden="1">
      <c r="A2044" s="151">
        <f t="shared" si="121"/>
        <v>1</v>
      </c>
      <c r="B2044" s="151" t="s">
        <v>206</v>
      </c>
      <c r="C2044" s="159">
        <v>75313</v>
      </c>
      <c r="D2044" s="160" t="s">
        <v>1412</v>
      </c>
      <c r="E2044" s="161">
        <f>SUMIF(Lanç!$C$3:$C$114,C2044,Lanç!$F$3:$F$114)</f>
        <v>0</v>
      </c>
      <c r="F2044" s="161">
        <f>SUMIF(Lanç!$C$115:$C$6504,C2044,Lanç!$F$115:$F$6504)</f>
        <v>0</v>
      </c>
      <c r="G2044" s="161">
        <f>SUMIF(Lanç!$C$115:$C$6504,C2044,Lanç!$G$115:$G$6504)</f>
        <v>0</v>
      </c>
      <c r="H2044" s="162">
        <f t="shared" si="119"/>
        <v>0</v>
      </c>
      <c r="I2044" s="162">
        <f t="shared" si="120"/>
        <v>0</v>
      </c>
      <c r="J2044" s="1"/>
      <c r="K2044" s="1"/>
      <c r="L2044" s="1"/>
      <c r="M2044" s="1"/>
      <c r="N2044" s="1"/>
    </row>
    <row r="2045" spans="1:14">
      <c r="A2045" s="151">
        <f t="shared" si="121"/>
        <v>0</v>
      </c>
      <c r="B2045" s="151" t="s">
        <v>206</v>
      </c>
      <c r="C2045" s="159">
        <v>75314</v>
      </c>
      <c r="D2045" s="160" t="s">
        <v>1732</v>
      </c>
      <c r="E2045" s="161">
        <f>SUMIF(Lanç!$C$3:$C$114,C2045,Lanç!$F$3:$F$114)</f>
        <v>0</v>
      </c>
      <c r="F2045" s="161">
        <f>SUMIF(Lanç!$C$115:$C$6504,C2045,Lanç!$F$115:$F$6504)</f>
        <v>11690</v>
      </c>
      <c r="G2045" s="161">
        <f>SUMIF(Lanç!$C$115:$C$6504,C2045,Lanç!$G$115:$G$6504)</f>
        <v>0</v>
      </c>
      <c r="H2045" s="162">
        <f t="shared" si="119"/>
        <v>11690</v>
      </c>
      <c r="I2045" s="162">
        <f t="shared" si="120"/>
        <v>11690</v>
      </c>
      <c r="J2045" s="1"/>
      <c r="K2045" s="1"/>
      <c r="L2045" s="1"/>
      <c r="M2045" s="1"/>
      <c r="N2045" s="1"/>
    </row>
    <row r="2046" spans="1:14" hidden="1">
      <c r="A2046" s="151">
        <f t="shared" si="121"/>
        <v>1</v>
      </c>
      <c r="B2046" s="151" t="s">
        <v>206</v>
      </c>
      <c r="C2046" s="159">
        <v>75315</v>
      </c>
      <c r="D2046" s="160" t="s">
        <v>1413</v>
      </c>
      <c r="E2046" s="161">
        <f>SUMIF(Lanç!$C$3:$C$114,C2046,Lanç!$F$3:$F$114)</f>
        <v>0</v>
      </c>
      <c r="F2046" s="161">
        <f>SUMIF(Lanç!$C$115:$C$6504,C2046,Lanç!$F$115:$F$6504)</f>
        <v>0</v>
      </c>
      <c r="G2046" s="161">
        <f>SUMIF(Lanç!$C$115:$C$6504,C2046,Lanç!$G$115:$G$6504)</f>
        <v>0</v>
      </c>
      <c r="H2046" s="162">
        <f t="shared" si="119"/>
        <v>0</v>
      </c>
      <c r="I2046" s="162">
        <f t="shared" si="120"/>
        <v>0</v>
      </c>
      <c r="J2046" s="1"/>
      <c r="K2046" s="1"/>
      <c r="L2046" s="1"/>
      <c r="M2046" s="1"/>
      <c r="N2046" s="1"/>
    </row>
    <row r="2047" spans="1:14" hidden="1">
      <c r="A2047" s="151">
        <f t="shared" si="121"/>
        <v>1</v>
      </c>
      <c r="B2047" s="151" t="s">
        <v>206</v>
      </c>
      <c r="C2047" s="159">
        <v>75316</v>
      </c>
      <c r="D2047" s="160" t="s">
        <v>1414</v>
      </c>
      <c r="E2047" s="161">
        <f>SUMIF(Lanç!$C$3:$C$114,C2047,Lanç!$F$3:$F$114)</f>
        <v>0</v>
      </c>
      <c r="F2047" s="161">
        <f>SUMIF(Lanç!$C$115:$C$6504,C2047,Lanç!$F$115:$F$6504)</f>
        <v>0</v>
      </c>
      <c r="G2047" s="161">
        <f>SUMIF(Lanç!$C$115:$C$6504,C2047,Lanç!$G$115:$G$6504)</f>
        <v>0</v>
      </c>
      <c r="H2047" s="162">
        <f t="shared" si="119"/>
        <v>0</v>
      </c>
      <c r="I2047" s="162">
        <f t="shared" si="120"/>
        <v>0</v>
      </c>
      <c r="J2047" s="1"/>
      <c r="K2047" s="1"/>
      <c r="L2047" s="1"/>
      <c r="M2047" s="1"/>
      <c r="N2047" s="1"/>
    </row>
    <row r="2048" spans="1:14">
      <c r="A2048" s="151">
        <f>IF(E2048+F2048+G2048+H2048+I2048=0,1,0)</f>
        <v>0</v>
      </c>
      <c r="B2048" s="151" t="s">
        <v>206</v>
      </c>
      <c r="C2048" s="159">
        <v>75317</v>
      </c>
      <c r="D2048" s="160" t="s">
        <v>871</v>
      </c>
      <c r="E2048" s="161">
        <f>SUMIF(Lanç!$C$3:$C$114,C2048,Lanç!$F$3:$F$114)</f>
        <v>0</v>
      </c>
      <c r="F2048" s="161">
        <f>SUMIF(Lanç!$C$115:$C$6504,C2048,Lanç!$F$115:$F$6504)</f>
        <v>848528</v>
      </c>
      <c r="G2048" s="161">
        <f>SUMIF(Lanç!$C$115:$C$6504,C2048,Lanç!$G$115:$G$6504)</f>
        <v>0</v>
      </c>
      <c r="H2048" s="162">
        <f>(F2048)-(G2048)</f>
        <v>848528</v>
      </c>
      <c r="I2048" s="162">
        <f>(E2048)+(H2048)</f>
        <v>848528</v>
      </c>
      <c r="J2048" s="1"/>
      <c r="K2048" s="1"/>
      <c r="L2048" s="1"/>
      <c r="M2048" s="1"/>
      <c r="N2048" s="1"/>
    </row>
    <row r="2049" spans="1:14">
      <c r="A2049" s="151">
        <f>IF(E2049+F2049+G2049+H2049+I2049=0,1,0)</f>
        <v>0</v>
      </c>
      <c r="B2049" s="151" t="s">
        <v>206</v>
      </c>
      <c r="C2049" s="159">
        <v>75318</v>
      </c>
      <c r="D2049" s="160" t="s">
        <v>1787</v>
      </c>
      <c r="E2049" s="161">
        <f>SUMIF(Lanç!$C$3:$C$114,C2049,Lanç!$F$3:$F$114)</f>
        <v>0</v>
      </c>
      <c r="F2049" s="161">
        <f>SUMIF(Lanç!$C$115:$C$6504,C2049,Lanç!$F$115:$F$6504)</f>
        <v>892122</v>
      </c>
      <c r="G2049" s="161">
        <f>SUMIF(Lanç!$C$115:$C$6504,C2049,Lanç!$G$115:$G$6504)</f>
        <v>0</v>
      </c>
      <c r="H2049" s="162">
        <f>(F2049)-(G2049)</f>
        <v>892122</v>
      </c>
      <c r="I2049" s="162">
        <f>(E2049)+(H2049)</f>
        <v>892122</v>
      </c>
      <c r="J2049" s="1"/>
      <c r="K2049" s="1"/>
      <c r="L2049" s="1"/>
      <c r="M2049" s="1"/>
      <c r="N2049" s="1"/>
    </row>
    <row r="2050" spans="1:14" hidden="1">
      <c r="A2050" s="151">
        <f t="shared" si="121"/>
        <v>1</v>
      </c>
      <c r="B2050" s="151" t="s">
        <v>206</v>
      </c>
      <c r="C2050" s="159">
        <v>75319</v>
      </c>
      <c r="D2050" s="160" t="s">
        <v>870</v>
      </c>
      <c r="E2050" s="161">
        <f>SUMIF(Lanç!$C$3:$C$114,C2050,Lanç!$F$3:$F$114)</f>
        <v>0</v>
      </c>
      <c r="F2050" s="161">
        <f>SUMIF(Lanç!$C$115:$C$6504,C2050,Lanç!$F$115:$F$6504)</f>
        <v>0</v>
      </c>
      <c r="G2050" s="161">
        <f>SUMIF(Lanç!$C$115:$C$6504,C2050,Lanç!$G$115:$G$6504)</f>
        <v>0</v>
      </c>
      <c r="H2050" s="162">
        <f t="shared" si="119"/>
        <v>0</v>
      </c>
      <c r="I2050" s="162">
        <f t="shared" si="120"/>
        <v>0</v>
      </c>
      <c r="J2050" s="1"/>
      <c r="K2050" s="1"/>
      <c r="L2050" s="1"/>
      <c r="M2050" s="1"/>
      <c r="N2050" s="1"/>
    </row>
    <row r="2051" spans="1:14" hidden="1">
      <c r="A2051" s="151">
        <f t="shared" si="121"/>
        <v>1</v>
      </c>
      <c r="B2051" s="155" t="s">
        <v>204</v>
      </c>
      <c r="C2051" s="156">
        <v>7532</v>
      </c>
      <c r="D2051" s="157" t="s">
        <v>1415</v>
      </c>
      <c r="E2051" s="158">
        <f>SUM(E2052:E2060)</f>
        <v>0</v>
      </c>
      <c r="F2051" s="158">
        <f>SUM(F2052:F2060)</f>
        <v>0</v>
      </c>
      <c r="G2051" s="158">
        <f>SUM(G2052:G2060)</f>
        <v>0</v>
      </c>
      <c r="H2051" s="154">
        <f t="shared" si="119"/>
        <v>0</v>
      </c>
      <c r="I2051" s="154">
        <f t="shared" si="120"/>
        <v>0</v>
      </c>
    </row>
    <row r="2052" spans="1:14" hidden="1">
      <c r="A2052" s="151">
        <f t="shared" si="121"/>
        <v>1</v>
      </c>
      <c r="B2052" s="151" t="s">
        <v>206</v>
      </c>
      <c r="C2052" s="159">
        <v>75321</v>
      </c>
      <c r="D2052" s="160" t="s">
        <v>1416</v>
      </c>
      <c r="E2052" s="161">
        <f>SUMIF(Lanç!$C$3:$C$114,C2052,Lanç!$F$3:$F$114)</f>
        <v>0</v>
      </c>
      <c r="F2052" s="161">
        <f>SUMIF(Lanç!$C$115:$C$6504,C2052,Lanç!$F$115:$F$6504)</f>
        <v>0</v>
      </c>
      <c r="G2052" s="161">
        <f>SUMIF(Lanç!$C$115:$C$6504,C2052,Lanç!$G$115:$G$6504)</f>
        <v>0</v>
      </c>
      <c r="H2052" s="162">
        <f t="shared" si="119"/>
        <v>0</v>
      </c>
      <c r="I2052" s="162">
        <f t="shared" si="120"/>
        <v>0</v>
      </c>
    </row>
    <row r="2053" spans="1:14" hidden="1">
      <c r="A2053" s="151">
        <f t="shared" si="121"/>
        <v>1</v>
      </c>
      <c r="B2053" s="151" t="s">
        <v>206</v>
      </c>
      <c r="C2053" s="159">
        <v>75322</v>
      </c>
      <c r="D2053" s="160" t="s">
        <v>1417</v>
      </c>
      <c r="E2053" s="161">
        <f>SUMIF(Lanç!$C$3:$C$114,C2053,Lanç!$F$3:$F$114)</f>
        <v>0</v>
      </c>
      <c r="F2053" s="161">
        <f>SUMIF(Lanç!$C$115:$C$6504,C2053,Lanç!$F$115:$F$6504)</f>
        <v>0</v>
      </c>
      <c r="G2053" s="161">
        <f>SUMIF(Lanç!$C$115:$C$6504,C2053,Lanç!$G$115:$G$6504)</f>
        <v>0</v>
      </c>
      <c r="H2053" s="162">
        <f t="shared" si="119"/>
        <v>0</v>
      </c>
      <c r="I2053" s="162">
        <f t="shared" si="120"/>
        <v>0</v>
      </c>
    </row>
    <row r="2054" spans="1:14" hidden="1">
      <c r="A2054" s="151">
        <f t="shared" si="121"/>
        <v>1</v>
      </c>
      <c r="B2054" s="151" t="s">
        <v>206</v>
      </c>
      <c r="C2054" s="159">
        <v>75323</v>
      </c>
      <c r="D2054" s="160" t="s">
        <v>1418</v>
      </c>
      <c r="E2054" s="161">
        <f>SUMIF(Lanç!$C$3:$C$114,C2054,Lanç!$F$3:$F$114)</f>
        <v>0</v>
      </c>
      <c r="F2054" s="161">
        <f>SUMIF(Lanç!$C$115:$C$6504,C2054,Lanç!$F$115:$F$6504)</f>
        <v>0</v>
      </c>
      <c r="G2054" s="161">
        <f>SUMIF(Lanç!$C$115:$C$6504,C2054,Lanç!$G$115:$G$6504)</f>
        <v>0</v>
      </c>
      <c r="H2054" s="162">
        <f t="shared" si="119"/>
        <v>0</v>
      </c>
      <c r="I2054" s="162">
        <f t="shared" si="120"/>
        <v>0</v>
      </c>
    </row>
    <row r="2055" spans="1:14" hidden="1">
      <c r="A2055" s="151">
        <f t="shared" si="121"/>
        <v>1</v>
      </c>
      <c r="B2055" s="151" t="s">
        <v>206</v>
      </c>
      <c r="C2055" s="159">
        <v>75324</v>
      </c>
      <c r="D2055" s="160" t="s">
        <v>1419</v>
      </c>
      <c r="E2055" s="161">
        <f>SUMIF(Lanç!$C$3:$C$114,C2055,Lanç!$F$3:$F$114)</f>
        <v>0</v>
      </c>
      <c r="F2055" s="161">
        <f>SUMIF(Lanç!$C$115:$C$6504,C2055,Lanç!$F$115:$F$6504)</f>
        <v>0</v>
      </c>
      <c r="G2055" s="161">
        <f>SUMIF(Lanç!$C$115:$C$6504,C2055,Lanç!$G$115:$G$6504)</f>
        <v>0</v>
      </c>
      <c r="H2055" s="162">
        <f t="shared" si="119"/>
        <v>0</v>
      </c>
      <c r="I2055" s="162">
        <f t="shared" si="120"/>
        <v>0</v>
      </c>
    </row>
    <row r="2056" spans="1:14" hidden="1">
      <c r="A2056" s="151">
        <f t="shared" si="121"/>
        <v>1</v>
      </c>
      <c r="B2056" s="151" t="s">
        <v>206</v>
      </c>
      <c r="C2056" s="159">
        <v>75325</v>
      </c>
      <c r="D2056" s="160" t="s">
        <v>1420</v>
      </c>
      <c r="E2056" s="161">
        <f>SUMIF(Lanç!$C$3:$C$114,C2056,Lanç!$F$3:$F$114)</f>
        <v>0</v>
      </c>
      <c r="F2056" s="161">
        <f>SUMIF(Lanç!$C$115:$C$6504,C2056,Lanç!$F$115:$F$6504)</f>
        <v>0</v>
      </c>
      <c r="G2056" s="161">
        <f>SUMIF(Lanç!$C$115:$C$6504,C2056,Lanç!$G$115:$G$6504)</f>
        <v>0</v>
      </c>
      <c r="H2056" s="162">
        <f t="shared" si="119"/>
        <v>0</v>
      </c>
      <c r="I2056" s="162">
        <f t="shared" si="120"/>
        <v>0</v>
      </c>
    </row>
    <row r="2057" spans="1:14" hidden="1">
      <c r="A2057" s="151">
        <f t="shared" si="121"/>
        <v>1</v>
      </c>
      <c r="B2057" s="151" t="s">
        <v>206</v>
      </c>
      <c r="C2057" s="159">
        <v>75329</v>
      </c>
      <c r="D2057" s="160" t="s">
        <v>870</v>
      </c>
      <c r="E2057" s="161">
        <f>SUMIF(Lanç!$C$3:$C$114,C2057,Lanç!$F$3:$F$114)</f>
        <v>0</v>
      </c>
      <c r="F2057" s="161">
        <f>SUMIF(Lanç!$C$115:$C$6504,C2057,Lanç!$F$115:$F$6504)</f>
        <v>0</v>
      </c>
      <c r="G2057" s="161">
        <f>SUMIF(Lanç!$C$115:$C$6504,C2057,Lanç!$G$115:$G$6504)</f>
        <v>0</v>
      </c>
      <c r="H2057" s="162">
        <f t="shared" si="119"/>
        <v>0</v>
      </c>
      <c r="I2057" s="162">
        <f t="shared" si="120"/>
        <v>0</v>
      </c>
      <c r="J2057" s="1"/>
      <c r="K2057" s="1"/>
      <c r="L2057" s="1"/>
      <c r="M2057" s="1"/>
      <c r="N2057" s="1"/>
    </row>
    <row r="2058" spans="1:14" hidden="1">
      <c r="A2058" s="151">
        <f t="shared" si="121"/>
        <v>1</v>
      </c>
      <c r="B2058" s="151" t="s">
        <v>206</v>
      </c>
      <c r="C2058" s="159">
        <v>754</v>
      </c>
      <c r="D2058" s="160" t="s">
        <v>1421</v>
      </c>
      <c r="E2058" s="161">
        <f>SUMIF(Lanç!$C$3:$C$114,C2058,Lanç!$F$3:$F$114)</f>
        <v>0</v>
      </c>
      <c r="F2058" s="161">
        <f>SUMIF(Lanç!$C$115:$C$6504,C2058,Lanç!$F$115:$F$6504)</f>
        <v>0</v>
      </c>
      <c r="G2058" s="161">
        <f>SUMIF(Lanç!$C$115:$C$6504,C2058,Lanç!$G$115:$G$6504)</f>
        <v>0</v>
      </c>
      <c r="H2058" s="162">
        <f t="shared" si="119"/>
        <v>0</v>
      </c>
      <c r="I2058" s="162">
        <f t="shared" si="120"/>
        <v>0</v>
      </c>
    </row>
    <row r="2059" spans="1:14" hidden="1">
      <c r="A2059" s="151">
        <f t="shared" si="121"/>
        <v>1</v>
      </c>
      <c r="B2059" s="151" t="s">
        <v>206</v>
      </c>
      <c r="C2059" s="159">
        <v>755</v>
      </c>
      <c r="D2059" s="160" t="s">
        <v>1422</v>
      </c>
      <c r="E2059" s="161">
        <f>SUMIF(Lanç!$C$3:$C$114,C2059,Lanç!$F$3:$F$114)</f>
        <v>0</v>
      </c>
      <c r="F2059" s="161">
        <f>SUMIF(Lanç!$C$115:$C$6504,C2059,Lanç!$F$115:$F$6504)</f>
        <v>0</v>
      </c>
      <c r="G2059" s="161">
        <f>SUMIF(Lanç!$C$115:$C$6504,C2059,Lanç!$G$115:$G$6504)</f>
        <v>0</v>
      </c>
      <c r="H2059" s="162">
        <f t="shared" si="119"/>
        <v>0</v>
      </c>
      <c r="I2059" s="162">
        <f t="shared" si="120"/>
        <v>0</v>
      </c>
    </row>
    <row r="2060" spans="1:14" hidden="1">
      <c r="A2060" s="151">
        <f t="shared" si="121"/>
        <v>1</v>
      </c>
      <c r="B2060" s="151" t="s">
        <v>206</v>
      </c>
      <c r="C2060" s="159">
        <v>756</v>
      </c>
      <c r="D2060" s="160" t="s">
        <v>1423</v>
      </c>
      <c r="E2060" s="161">
        <f>SUMIF(Lanç!$C$3:$C$114,C2060,Lanç!$F$3:$F$114)</f>
        <v>0</v>
      </c>
      <c r="F2060" s="161">
        <f>SUMIF(Lanç!$C$115:$C$6504,C2060,Lanç!$F$115:$F$6504)</f>
        <v>0</v>
      </c>
      <c r="G2060" s="161">
        <f>SUMIF(Lanç!$C$115:$C$6504,C2060,Lanç!$G$115:$G$6504)</f>
        <v>0</v>
      </c>
      <c r="H2060" s="162">
        <f t="shared" si="119"/>
        <v>0</v>
      </c>
      <c r="I2060" s="162">
        <f t="shared" si="120"/>
        <v>0</v>
      </c>
    </row>
    <row r="2061" spans="1:14" s="57" customFormat="1" hidden="1">
      <c r="A2061" s="155">
        <f t="shared" si="121"/>
        <v>1</v>
      </c>
      <c r="B2061" s="155" t="s">
        <v>204</v>
      </c>
      <c r="C2061" s="156">
        <v>758</v>
      </c>
      <c r="D2061" s="157" t="s">
        <v>1424</v>
      </c>
      <c r="E2061" s="158">
        <f>SUM(E2062:E2064)</f>
        <v>0</v>
      </c>
      <c r="F2061" s="158">
        <f>SUM(F2062:F2064)</f>
        <v>0</v>
      </c>
      <c r="G2061" s="158">
        <f>SUM(G2062:G2064)</f>
        <v>0</v>
      </c>
      <c r="H2061" s="163">
        <f t="shared" si="119"/>
        <v>0</v>
      </c>
      <c r="I2061" s="163">
        <f t="shared" si="120"/>
        <v>0</v>
      </c>
    </row>
    <row r="2062" spans="1:14" hidden="1">
      <c r="A2062" s="151">
        <f t="shared" si="121"/>
        <v>1</v>
      </c>
      <c r="B2062" s="151" t="s">
        <v>206</v>
      </c>
      <c r="C2062" s="159">
        <v>7581</v>
      </c>
      <c r="D2062" s="160" t="s">
        <v>1425</v>
      </c>
      <c r="E2062" s="161">
        <f>SUMIF(Lanç!$C$3:$C$114,C2062,Lanç!$F$3:$F$114)</f>
        <v>0</v>
      </c>
      <c r="F2062" s="161">
        <f>SUMIF(Lanç!$C$115:$C$6504,C2062,Lanç!$F$115:$F$6504)</f>
        <v>0</v>
      </c>
      <c r="G2062" s="161">
        <f>SUMIF(Lanç!$C$115:$C$6504,C2062,Lanç!$G$115:$G$6504)</f>
        <v>0</v>
      </c>
      <c r="H2062" s="162">
        <f t="shared" si="119"/>
        <v>0</v>
      </c>
      <c r="I2062" s="162">
        <f t="shared" si="120"/>
        <v>0</v>
      </c>
    </row>
    <row r="2063" spans="1:14" hidden="1">
      <c r="A2063" s="151">
        <f t="shared" si="121"/>
        <v>1</v>
      </c>
      <c r="B2063" s="151" t="s">
        <v>206</v>
      </c>
      <c r="C2063" s="159">
        <v>7582</v>
      </c>
      <c r="D2063" s="160" t="s">
        <v>1426</v>
      </c>
      <c r="E2063" s="161">
        <f>SUMIF(Lanç!$C$3:$C$114,C2063,Lanç!$F$3:$F$114)</f>
        <v>0</v>
      </c>
      <c r="F2063" s="161">
        <f>SUMIF(Lanç!$C$115:$C$6504,C2063,Lanç!$F$115:$F$6504)</f>
        <v>0</v>
      </c>
      <c r="G2063" s="161">
        <f>SUMIF(Lanç!$C$115:$C$6504,C2063,Lanç!$G$115:$G$6504)</f>
        <v>0</v>
      </c>
      <c r="H2063" s="162">
        <f t="shared" si="119"/>
        <v>0</v>
      </c>
      <c r="I2063" s="162">
        <f t="shared" si="120"/>
        <v>0</v>
      </c>
    </row>
    <row r="2064" spans="1:14" hidden="1">
      <c r="A2064" s="151">
        <f t="shared" si="121"/>
        <v>1</v>
      </c>
      <c r="B2064" s="151" t="s">
        <v>206</v>
      </c>
      <c r="C2064" s="159">
        <v>7583</v>
      </c>
      <c r="D2064" s="157" t="s">
        <v>1427</v>
      </c>
      <c r="E2064" s="161">
        <f>SUMIF(Lanç!$C$3:$C$114,C2064,Lanç!$F$3:$F$114)</f>
        <v>0</v>
      </c>
      <c r="F2064" s="161">
        <f>SUMIF(Lanç!$C$115:$C$6504,C2064,Lanç!$F$115:$F$6504)</f>
        <v>0</v>
      </c>
      <c r="G2064" s="161">
        <f>SUMIF(Lanç!$C$115:$C$6504,C2064,Lanç!$G$115:$G$6504)</f>
        <v>0</v>
      </c>
      <c r="H2064" s="162">
        <f t="shared" si="119"/>
        <v>0</v>
      </c>
      <c r="I2064" s="162">
        <f t="shared" si="120"/>
        <v>0</v>
      </c>
    </row>
    <row r="2065" spans="1:14">
      <c r="A2065" s="151">
        <f t="shared" si="121"/>
        <v>0</v>
      </c>
      <c r="B2065" s="155" t="s">
        <v>1166</v>
      </c>
      <c r="C2065" s="156">
        <v>759</v>
      </c>
      <c r="D2065" s="157" t="s">
        <v>1167</v>
      </c>
      <c r="E2065" s="158">
        <f>SUMIF(Lanç!$C$3:$C$114,C2065,Lanç!$F$3:$F$114)</f>
        <v>0</v>
      </c>
      <c r="F2065" s="158">
        <f>SUMIF(Lanç!$C$115:$C$6504,C2065,Lanç!$F$115:$F$6504)</f>
        <v>0</v>
      </c>
      <c r="G2065" s="158">
        <f>F1933</f>
        <v>219852715.24000001</v>
      </c>
      <c r="H2065" s="154">
        <f t="shared" si="119"/>
        <v>-219852715.24000001</v>
      </c>
      <c r="I2065" s="154">
        <f t="shared" si="120"/>
        <v>-219852715.24000001</v>
      </c>
    </row>
    <row r="2066" spans="1:14">
      <c r="A2066" s="151">
        <f t="shared" si="121"/>
        <v>0</v>
      </c>
      <c r="B2066" s="155" t="s">
        <v>202</v>
      </c>
      <c r="C2066" s="156">
        <v>76</v>
      </c>
      <c r="D2066" s="157" t="s">
        <v>1428</v>
      </c>
      <c r="E2066" s="158">
        <f>SUM(E2067,E2079,E2082,E2084,E2086,E2098,E2106,E2127)</f>
        <v>0</v>
      </c>
      <c r="F2066" s="158">
        <f>SUM(F2067,F2079,F2082,F2084,F2086,F2098,F2106,F2127)</f>
        <v>89656</v>
      </c>
      <c r="G2066" s="158">
        <f>SUM(G2067,G2079,G2082,G2084,G2086,G2098,G2106,G2127)</f>
        <v>89656</v>
      </c>
      <c r="H2066" s="154">
        <f t="shared" si="119"/>
        <v>0</v>
      </c>
      <c r="I2066" s="154">
        <f t="shared" si="120"/>
        <v>0</v>
      </c>
    </row>
    <row r="2067" spans="1:14" hidden="1">
      <c r="A2067" s="151">
        <f t="shared" si="121"/>
        <v>1</v>
      </c>
      <c r="B2067" s="155" t="s">
        <v>204</v>
      </c>
      <c r="C2067" s="156">
        <v>761</v>
      </c>
      <c r="D2067" s="157" t="s">
        <v>945</v>
      </c>
      <c r="E2067" s="158">
        <f t="shared" ref="E2067:G2068" si="122">SUM(E2068)</f>
        <v>0</v>
      </c>
      <c r="F2067" s="158">
        <f t="shared" si="122"/>
        <v>0</v>
      </c>
      <c r="G2067" s="158">
        <f t="shared" si="122"/>
        <v>0</v>
      </c>
      <c r="H2067" s="154">
        <f t="shared" si="119"/>
        <v>0</v>
      </c>
      <c r="I2067" s="154">
        <f t="shared" si="120"/>
        <v>0</v>
      </c>
    </row>
    <row r="2068" spans="1:14" hidden="1">
      <c r="A2068" s="151">
        <f t="shared" si="121"/>
        <v>1</v>
      </c>
      <c r="B2068" s="155" t="s">
        <v>204</v>
      </c>
      <c r="C2068" s="156">
        <v>7611</v>
      </c>
      <c r="D2068" s="157" t="s">
        <v>1429</v>
      </c>
      <c r="E2068" s="158">
        <f t="shared" si="122"/>
        <v>0</v>
      </c>
      <c r="F2068" s="158">
        <f t="shared" si="122"/>
        <v>0</v>
      </c>
      <c r="G2068" s="158">
        <f t="shared" si="122"/>
        <v>0</v>
      </c>
      <c r="H2068" s="154">
        <f t="shared" si="119"/>
        <v>0</v>
      </c>
      <c r="I2068" s="154">
        <f t="shared" si="120"/>
        <v>0</v>
      </c>
    </row>
    <row r="2069" spans="1:14" hidden="1">
      <c r="A2069" s="151">
        <f t="shared" si="121"/>
        <v>1</v>
      </c>
      <c r="B2069" s="155" t="s">
        <v>204</v>
      </c>
      <c r="C2069" s="156">
        <v>76111</v>
      </c>
      <c r="D2069" s="157" t="s">
        <v>1430</v>
      </c>
      <c r="E2069" s="158">
        <f>SUM(E2070:E2078)</f>
        <v>0</v>
      </c>
      <c r="F2069" s="158">
        <f>SUM(F2070:F2078)</f>
        <v>0</v>
      </c>
      <c r="G2069" s="158">
        <f>SUM(G2070:G2078)</f>
        <v>0</v>
      </c>
      <c r="H2069" s="154">
        <f t="shared" si="119"/>
        <v>0</v>
      </c>
      <c r="I2069" s="154">
        <f t="shared" si="120"/>
        <v>0</v>
      </c>
    </row>
    <row r="2070" spans="1:14" hidden="1">
      <c r="A2070" s="151">
        <f t="shared" si="121"/>
        <v>1</v>
      </c>
      <c r="B2070" s="151" t="s">
        <v>206</v>
      </c>
      <c r="C2070" s="159">
        <v>761111</v>
      </c>
      <c r="D2070" s="160" t="s">
        <v>1431</v>
      </c>
      <c r="E2070" s="161">
        <f>SUMIF(Lanç!$C$3:$C$114,C2070,Lanç!$F$3:$F$114)</f>
        <v>0</v>
      </c>
      <c r="F2070" s="161">
        <f>SUMIF(Lanç!$C$115:$C$6504,C2070,Lanç!$F$115:$F$6504)</f>
        <v>0</v>
      </c>
      <c r="G2070" s="161">
        <f>SUMIF(Lanç!$C$115:$C$6504,C2070,Lanç!$G$115:$G$6504)</f>
        <v>0</v>
      </c>
      <c r="H2070" s="162">
        <f t="shared" si="119"/>
        <v>0</v>
      </c>
      <c r="I2070" s="162">
        <f t="shared" si="120"/>
        <v>0</v>
      </c>
    </row>
    <row r="2071" spans="1:14" hidden="1">
      <c r="A2071" s="151">
        <f t="shared" si="121"/>
        <v>1</v>
      </c>
      <c r="B2071" s="151" t="s">
        <v>206</v>
      </c>
      <c r="C2071" s="159">
        <v>761112</v>
      </c>
      <c r="D2071" s="160" t="s">
        <v>1432</v>
      </c>
      <c r="E2071" s="161">
        <f>SUMIF(Lanç!$C$3:$C$114,C2071,Lanç!$F$3:$F$114)</f>
        <v>0</v>
      </c>
      <c r="F2071" s="161">
        <f>SUMIF(Lanç!$C$115:$C$6504,C2071,Lanç!$F$115:$F$6504)</f>
        <v>0</v>
      </c>
      <c r="G2071" s="161">
        <f>SUMIF(Lanç!$C$115:$C$6504,C2071,Lanç!$G$115:$G$6504)</f>
        <v>0</v>
      </c>
      <c r="H2071" s="162">
        <f t="shared" si="119"/>
        <v>0</v>
      </c>
      <c r="I2071" s="162">
        <f t="shared" si="120"/>
        <v>0</v>
      </c>
    </row>
    <row r="2072" spans="1:14" hidden="1">
      <c r="A2072" s="151">
        <f t="shared" si="121"/>
        <v>1</v>
      </c>
      <c r="B2072" s="151" t="s">
        <v>206</v>
      </c>
      <c r="C2072" s="159">
        <v>76112</v>
      </c>
      <c r="D2072" s="160" t="s">
        <v>1071</v>
      </c>
      <c r="E2072" s="161">
        <f>SUMIF(Lanç!$C$3:$C$114,C2072,Lanç!$F$3:$F$114)</f>
        <v>0</v>
      </c>
      <c r="F2072" s="161">
        <f>SUMIF(Lanç!$C$115:$C$6504,C2072,Lanç!$F$115:$F$6504)</f>
        <v>0</v>
      </c>
      <c r="G2072" s="161">
        <f>SUMIF(Lanç!$C$115:$C$6504,C2072,Lanç!$G$115:$G$6504)</f>
        <v>0</v>
      </c>
      <c r="H2072" s="162">
        <f t="shared" si="119"/>
        <v>0</v>
      </c>
      <c r="I2072" s="162">
        <f t="shared" si="120"/>
        <v>0</v>
      </c>
    </row>
    <row r="2073" spans="1:14" hidden="1">
      <c r="A2073" s="151">
        <f t="shared" si="121"/>
        <v>1</v>
      </c>
      <c r="B2073" s="151" t="s">
        <v>206</v>
      </c>
      <c r="C2073" s="159">
        <v>76113</v>
      </c>
      <c r="D2073" s="160" t="s">
        <v>1195</v>
      </c>
      <c r="E2073" s="161">
        <f>SUMIF(Lanç!$C$3:$C$114,C2073,Lanç!$F$3:$F$114)</f>
        <v>0</v>
      </c>
      <c r="F2073" s="161">
        <f>SUMIF(Lanç!$C$115:$C$6504,C2073,Lanç!$F$115:$F$6504)</f>
        <v>0</v>
      </c>
      <c r="G2073" s="161">
        <f>SUMIF(Lanç!$C$115:$C$6504,C2073,Lanç!$G$115:$G$6504)</f>
        <v>0</v>
      </c>
      <c r="H2073" s="162">
        <f t="shared" si="119"/>
        <v>0</v>
      </c>
      <c r="I2073" s="162">
        <f t="shared" si="120"/>
        <v>0</v>
      </c>
    </row>
    <row r="2074" spans="1:14" hidden="1">
      <c r="A2074" s="151">
        <f t="shared" si="121"/>
        <v>1</v>
      </c>
      <c r="B2074" s="151" t="s">
        <v>206</v>
      </c>
      <c r="C2074" s="159">
        <v>7612</v>
      </c>
      <c r="D2074" s="160" t="s">
        <v>1433</v>
      </c>
      <c r="E2074" s="161">
        <f>SUMIF(Lanç!$C$3:$C$114,C2074,Lanç!$F$3:$F$114)</f>
        <v>0</v>
      </c>
      <c r="F2074" s="161">
        <f>SUMIF(Lanç!$C$115:$C$6504,C2074,Lanç!$F$115:$F$6504)</f>
        <v>0</v>
      </c>
      <c r="G2074" s="161">
        <f>SUMIF(Lanç!$C$115:$C$6504,C2074,Lanç!$G$115:$G$6504)</f>
        <v>0</v>
      </c>
      <c r="H2074" s="162">
        <f t="shared" si="119"/>
        <v>0</v>
      </c>
      <c r="I2074" s="162">
        <f t="shared" si="120"/>
        <v>0</v>
      </c>
    </row>
    <row r="2075" spans="1:14" hidden="1">
      <c r="A2075" s="151">
        <f t="shared" si="121"/>
        <v>1</v>
      </c>
      <c r="B2075" s="151" t="s">
        <v>206</v>
      </c>
      <c r="C2075" s="159">
        <v>7613</v>
      </c>
      <c r="D2075" s="160" t="s">
        <v>1434</v>
      </c>
      <c r="E2075" s="161">
        <f>SUMIF(Lanç!$C$3:$C$114,C2075,Lanç!$F$3:$F$114)</f>
        <v>0</v>
      </c>
      <c r="F2075" s="161">
        <f>SUMIF(Lanç!$C$115:$C$6504,C2075,Lanç!$F$115:$F$6504)</f>
        <v>0</v>
      </c>
      <c r="G2075" s="161">
        <f>SUMIF(Lanç!$C$115:$C$6504,C2075,Lanç!$G$115:$G$6504)</f>
        <v>0</v>
      </c>
      <c r="H2075" s="162">
        <f t="shared" si="119"/>
        <v>0</v>
      </c>
      <c r="I2075" s="162">
        <f t="shared" si="120"/>
        <v>0</v>
      </c>
    </row>
    <row r="2076" spans="1:14" hidden="1">
      <c r="A2076" s="151">
        <f t="shared" si="121"/>
        <v>1</v>
      </c>
      <c r="B2076" s="151" t="s">
        <v>206</v>
      </c>
      <c r="C2076" s="159">
        <v>7614</v>
      </c>
      <c r="D2076" s="160" t="s">
        <v>1435</v>
      </c>
      <c r="E2076" s="161">
        <f>SUMIF(Lanç!$C$3:$C$114,C2076,Lanç!$F$3:$F$114)</f>
        <v>0</v>
      </c>
      <c r="F2076" s="161">
        <f>SUMIF(Lanç!$C$115:$C$6504,C2076,Lanç!$F$115:$F$6504)</f>
        <v>0</v>
      </c>
      <c r="G2076" s="161">
        <f>SUMIF(Lanç!$C$115:$C$6504,C2076,Lanç!$G$115:$G$6504)</f>
        <v>0</v>
      </c>
      <c r="H2076" s="162">
        <f t="shared" si="119"/>
        <v>0</v>
      </c>
      <c r="I2076" s="162">
        <f t="shared" si="120"/>
        <v>0</v>
      </c>
    </row>
    <row r="2077" spans="1:14" hidden="1">
      <c r="A2077" s="151">
        <f t="shared" si="121"/>
        <v>1</v>
      </c>
      <c r="B2077" s="151" t="s">
        <v>206</v>
      </c>
      <c r="C2077" s="159">
        <v>7615</v>
      </c>
      <c r="D2077" s="160" t="s">
        <v>1436</v>
      </c>
      <c r="E2077" s="161">
        <f>SUMIF(Lanç!$C$3:$C$114,C2077,Lanç!$F$3:$F$114)</f>
        <v>0</v>
      </c>
      <c r="F2077" s="161">
        <f>SUMIF(Lanç!$C$115:$C$6504,C2077,Lanç!$F$115:$F$6504)</f>
        <v>0</v>
      </c>
      <c r="G2077" s="161">
        <f>SUMIF(Lanç!$C$115:$C$6504,C2077,Lanç!$G$115:$G$6504)</f>
        <v>0</v>
      </c>
      <c r="H2077" s="162">
        <f t="shared" si="119"/>
        <v>0</v>
      </c>
      <c r="I2077" s="162">
        <f t="shared" si="120"/>
        <v>0</v>
      </c>
    </row>
    <row r="2078" spans="1:14" hidden="1">
      <c r="A2078" s="151">
        <f t="shared" si="121"/>
        <v>1</v>
      </c>
      <c r="B2078" s="151" t="s">
        <v>206</v>
      </c>
      <c r="C2078" s="159">
        <v>7616</v>
      </c>
      <c r="D2078" s="160" t="s">
        <v>1437</v>
      </c>
      <c r="E2078" s="161">
        <f>SUMIF(Lanç!$C$3:$C$114,C2078,Lanç!$F$3:$F$114)</f>
        <v>0</v>
      </c>
      <c r="F2078" s="161">
        <f>SUMIF(Lanç!$C$115:$C$6504,C2078,Lanç!$F$115:$F$6504)</f>
        <v>0</v>
      </c>
      <c r="G2078" s="161">
        <f>SUMIF(Lanç!$C$115:$C$6504,C2078,Lanç!$G$115:$G$6504)</f>
        <v>0</v>
      </c>
      <c r="H2078" s="162">
        <f t="shared" si="119"/>
        <v>0</v>
      </c>
      <c r="I2078" s="162">
        <f t="shared" si="120"/>
        <v>0</v>
      </c>
      <c r="J2078" s="1"/>
      <c r="K2078" s="1"/>
      <c r="L2078" s="1"/>
      <c r="M2078" s="1"/>
      <c r="N2078" s="1"/>
    </row>
    <row r="2079" spans="1:14" hidden="1">
      <c r="A2079" s="151">
        <f t="shared" si="121"/>
        <v>1</v>
      </c>
      <c r="B2079" s="155" t="s">
        <v>204</v>
      </c>
      <c r="C2079" s="156">
        <v>762</v>
      </c>
      <c r="D2079" s="157" t="s">
        <v>1438</v>
      </c>
      <c r="E2079" s="158">
        <f>SUM(E2080:E2081)</f>
        <v>0</v>
      </c>
      <c r="F2079" s="158">
        <f>SUM(F2080:F2081)</f>
        <v>0</v>
      </c>
      <c r="G2079" s="158">
        <f>SUM(G2080:G2081)</f>
        <v>0</v>
      </c>
      <c r="H2079" s="154">
        <f t="shared" si="119"/>
        <v>0</v>
      </c>
      <c r="I2079" s="154">
        <f t="shared" si="120"/>
        <v>0</v>
      </c>
    </row>
    <row r="2080" spans="1:14" hidden="1">
      <c r="A2080" s="151">
        <f t="shared" si="121"/>
        <v>1</v>
      </c>
      <c r="B2080" s="151" t="s">
        <v>206</v>
      </c>
      <c r="C2080" s="159">
        <v>7621</v>
      </c>
      <c r="D2080" s="160" t="s">
        <v>1204</v>
      </c>
      <c r="E2080" s="161">
        <f>SUMIF(Lanç!$C$3:$C$114,C2080,Lanç!$F$3:$F$114)</f>
        <v>0</v>
      </c>
      <c r="F2080" s="161">
        <f>SUMIF(Lanç!$C$115:$C$6504,C2080,Lanç!$F$115:$F$6504)</f>
        <v>0</v>
      </c>
      <c r="G2080" s="161">
        <f>SUMIF(Lanç!$C$115:$C$6504,C2080,Lanç!$G$115:$G$6504)</f>
        <v>0</v>
      </c>
      <c r="H2080" s="162">
        <f t="shared" si="119"/>
        <v>0</v>
      </c>
      <c r="I2080" s="162">
        <f t="shared" si="120"/>
        <v>0</v>
      </c>
    </row>
    <row r="2081" spans="1:14" hidden="1">
      <c r="A2081" s="151">
        <f t="shared" si="121"/>
        <v>1</v>
      </c>
      <c r="B2081" s="151" t="s">
        <v>206</v>
      </c>
      <c r="C2081" s="159">
        <v>7622</v>
      </c>
      <c r="D2081" s="160" t="s">
        <v>1205</v>
      </c>
      <c r="E2081" s="161">
        <f>SUMIF(Lanç!$C$3:$C$114,C2081,Lanç!$F$3:$F$114)</f>
        <v>0</v>
      </c>
      <c r="F2081" s="161">
        <f>SUMIF(Lanç!$C$115:$C$6504,C2081,Lanç!$F$115:$F$6504)</f>
        <v>0</v>
      </c>
      <c r="G2081" s="161">
        <f>SUMIF(Lanç!$C$115:$C$6504,C2081,Lanç!$G$115:$G$6504)</f>
        <v>0</v>
      </c>
      <c r="H2081" s="162">
        <f t="shared" si="119"/>
        <v>0</v>
      </c>
      <c r="I2081" s="162">
        <f t="shared" si="120"/>
        <v>0</v>
      </c>
      <c r="J2081" s="1"/>
      <c r="K2081" s="1"/>
      <c r="L2081" s="1"/>
      <c r="M2081" s="1"/>
      <c r="N2081" s="1"/>
    </row>
    <row r="2082" spans="1:14" hidden="1">
      <c r="A2082" s="151">
        <f t="shared" si="121"/>
        <v>1</v>
      </c>
      <c r="B2082" s="155" t="s">
        <v>204</v>
      </c>
      <c r="C2082" s="156">
        <v>763</v>
      </c>
      <c r="D2082" s="157" t="s">
        <v>1439</v>
      </c>
      <c r="E2082" s="158">
        <f>SUM(E2083)</f>
        <v>0</v>
      </c>
      <c r="F2082" s="158">
        <f>SUM(F2083)</f>
        <v>0</v>
      </c>
      <c r="G2082" s="158">
        <f>SUM(G2083)</f>
        <v>0</v>
      </c>
      <c r="H2082" s="154">
        <f t="shared" si="119"/>
        <v>0</v>
      </c>
      <c r="I2082" s="154">
        <f t="shared" si="120"/>
        <v>0</v>
      </c>
    </row>
    <row r="2083" spans="1:14" hidden="1">
      <c r="A2083" s="151">
        <f t="shared" si="121"/>
        <v>1</v>
      </c>
      <c r="B2083" s="151" t="s">
        <v>206</v>
      </c>
      <c r="C2083" s="159">
        <v>7631</v>
      </c>
      <c r="D2083" s="160" t="s">
        <v>1440</v>
      </c>
      <c r="E2083" s="161">
        <f>SUMIF(Lanç!$C$3:$C$114,C2083,Lanç!$F$3:$F$114)</f>
        <v>0</v>
      </c>
      <c r="F2083" s="161">
        <f>SUMIF(Lanç!$C$115:$C$6504,C2083,Lanç!$F$115:$F$6504)</f>
        <v>0</v>
      </c>
      <c r="G2083" s="161">
        <f>SUMIF(Lanç!$C$115:$C$6504,C2083,Lanç!$G$115:$G$6504)</f>
        <v>0</v>
      </c>
      <c r="H2083" s="162">
        <f t="shared" si="119"/>
        <v>0</v>
      </c>
      <c r="I2083" s="162">
        <f t="shared" si="120"/>
        <v>0</v>
      </c>
      <c r="J2083" s="1"/>
      <c r="K2083" s="1"/>
      <c r="L2083" s="1"/>
      <c r="M2083" s="1"/>
      <c r="N2083" s="1"/>
    </row>
    <row r="2084" spans="1:14" hidden="1">
      <c r="A2084" s="151">
        <f t="shared" si="121"/>
        <v>1</v>
      </c>
      <c r="B2084" s="155" t="s">
        <v>204</v>
      </c>
      <c r="C2084" s="156">
        <v>764</v>
      </c>
      <c r="D2084" s="157" t="s">
        <v>1441</v>
      </c>
      <c r="E2084" s="158">
        <f>SUM(E2085)</f>
        <v>0</v>
      </c>
      <c r="F2084" s="158">
        <f>SUM(F2085)</f>
        <v>0</v>
      </c>
      <c r="G2084" s="158">
        <f>SUM(G2085)</f>
        <v>0</v>
      </c>
      <c r="H2084" s="154">
        <f t="shared" si="119"/>
        <v>0</v>
      </c>
      <c r="I2084" s="154">
        <f t="shared" si="120"/>
        <v>0</v>
      </c>
    </row>
    <row r="2085" spans="1:14" hidden="1">
      <c r="A2085" s="151">
        <f t="shared" si="121"/>
        <v>1</v>
      </c>
      <c r="B2085" s="151" t="s">
        <v>206</v>
      </c>
      <c r="C2085" s="159">
        <v>7641</v>
      </c>
      <c r="D2085" s="160" t="s">
        <v>269</v>
      </c>
      <c r="E2085" s="161">
        <f>SUMIF(Lanç!$C$3:$C$114,C2085,Lanç!$F$3:$F$114)</f>
        <v>0</v>
      </c>
      <c r="F2085" s="161">
        <f>SUMIF(Lanç!$C$115:$C$6504,C2085,Lanç!$F$115:$F$6504)</f>
        <v>0</v>
      </c>
      <c r="G2085" s="161">
        <f>SUMIF(Lanç!$C$115:$C$6504,C2085,Lanç!$G$115:$G$6504)</f>
        <v>0</v>
      </c>
      <c r="H2085" s="162">
        <f t="shared" si="119"/>
        <v>0</v>
      </c>
      <c r="I2085" s="162">
        <f t="shared" si="120"/>
        <v>0</v>
      </c>
      <c r="J2085" s="1"/>
      <c r="K2085" s="1"/>
      <c r="L2085" s="1"/>
      <c r="M2085" s="1"/>
      <c r="N2085" s="1"/>
    </row>
    <row r="2086" spans="1:14" hidden="1">
      <c r="A2086" s="151">
        <f t="shared" si="121"/>
        <v>1</v>
      </c>
      <c r="B2086" s="155" t="s">
        <v>204</v>
      </c>
      <c r="C2086" s="156">
        <v>765</v>
      </c>
      <c r="D2086" s="157" t="s">
        <v>1442</v>
      </c>
      <c r="E2086" s="158">
        <f>SUM(E2087,E2093)</f>
        <v>0</v>
      </c>
      <c r="F2086" s="158">
        <f>SUM(F2087,F2093)</f>
        <v>0</v>
      </c>
      <c r="G2086" s="158">
        <f>SUM(G2087,G2093)</f>
        <v>0</v>
      </c>
      <c r="H2086" s="154">
        <f t="shared" si="119"/>
        <v>0</v>
      </c>
      <c r="I2086" s="154">
        <f t="shared" si="120"/>
        <v>0</v>
      </c>
    </row>
    <row r="2087" spans="1:14" hidden="1">
      <c r="A2087" s="151">
        <f t="shared" si="121"/>
        <v>1</v>
      </c>
      <c r="B2087" s="155" t="s">
        <v>204</v>
      </c>
      <c r="C2087" s="156">
        <v>7651</v>
      </c>
      <c r="D2087" s="157" t="s">
        <v>1213</v>
      </c>
      <c r="E2087" s="158">
        <f>SUM(E2088:E2092)</f>
        <v>0</v>
      </c>
      <c r="F2087" s="158">
        <f>SUM(F2088:F2092)</f>
        <v>0</v>
      </c>
      <c r="G2087" s="158">
        <f>SUM(G2088:G2092)</f>
        <v>0</v>
      </c>
      <c r="H2087" s="154">
        <f t="shared" si="119"/>
        <v>0</v>
      </c>
      <c r="I2087" s="154">
        <f t="shared" si="120"/>
        <v>0</v>
      </c>
    </row>
    <row r="2088" spans="1:14" hidden="1">
      <c r="A2088" s="151">
        <f t="shared" si="121"/>
        <v>1</v>
      </c>
      <c r="B2088" s="151" t="s">
        <v>206</v>
      </c>
      <c r="C2088" s="159">
        <v>76511</v>
      </c>
      <c r="D2088" s="160" t="s">
        <v>1214</v>
      </c>
      <c r="E2088" s="161">
        <f>SUMIF(Lanç!$C$3:$C$114,C2088,Lanç!$F$3:$F$114)</f>
        <v>0</v>
      </c>
      <c r="F2088" s="161">
        <f>SUMIF(Lanç!$C$115:$C$6504,C2088,Lanç!$F$115:$F$6504)</f>
        <v>0</v>
      </c>
      <c r="G2088" s="161">
        <f>SUMIF(Lanç!$C$115:$C$6504,C2088,Lanç!$G$115:$G$6504)</f>
        <v>0</v>
      </c>
      <c r="H2088" s="162">
        <f t="shared" ref="H2088:H2151" si="123">(F2088)-(G2088)</f>
        <v>0</v>
      </c>
      <c r="I2088" s="162">
        <f t="shared" ref="I2088:I2151" si="124">(E2088)+(H2088)</f>
        <v>0</v>
      </c>
    </row>
    <row r="2089" spans="1:14" hidden="1">
      <c r="A2089" s="151">
        <f t="shared" si="121"/>
        <v>1</v>
      </c>
      <c r="B2089" s="151" t="s">
        <v>206</v>
      </c>
      <c r="C2089" s="159">
        <v>76512</v>
      </c>
      <c r="D2089" s="160" t="s">
        <v>428</v>
      </c>
      <c r="E2089" s="161">
        <f>SUMIF(Lanç!$C$3:$C$114,C2089,Lanç!$F$3:$F$114)</f>
        <v>0</v>
      </c>
      <c r="F2089" s="161">
        <f>SUMIF(Lanç!$C$115:$C$6504,C2089,Lanç!$F$115:$F$6504)</f>
        <v>0</v>
      </c>
      <c r="G2089" s="161">
        <f>SUMIF(Lanç!$C$115:$C$6504,C2089,Lanç!$G$115:$G$6504)</f>
        <v>0</v>
      </c>
      <c r="H2089" s="162">
        <f t="shared" si="123"/>
        <v>0</v>
      </c>
      <c r="I2089" s="162">
        <f t="shared" si="124"/>
        <v>0</v>
      </c>
    </row>
    <row r="2090" spans="1:14" hidden="1">
      <c r="A2090" s="151">
        <f t="shared" si="121"/>
        <v>1</v>
      </c>
      <c r="B2090" s="151" t="s">
        <v>206</v>
      </c>
      <c r="C2090" s="159">
        <v>76513</v>
      </c>
      <c r="D2090" s="160" t="s">
        <v>267</v>
      </c>
      <c r="E2090" s="161">
        <f>SUMIF(Lanç!$C$3:$C$114,C2090,Lanç!$F$3:$F$114)</f>
        <v>0</v>
      </c>
      <c r="F2090" s="161">
        <f>SUMIF(Lanç!$C$115:$C$6504,C2090,Lanç!$F$115:$F$6504)</f>
        <v>0</v>
      </c>
      <c r="G2090" s="161">
        <f>SUMIF(Lanç!$C$115:$C$6504,C2090,Lanç!$G$115:$G$6504)</f>
        <v>0</v>
      </c>
      <c r="H2090" s="162">
        <f t="shared" si="123"/>
        <v>0</v>
      </c>
      <c r="I2090" s="162">
        <f t="shared" si="124"/>
        <v>0</v>
      </c>
    </row>
    <row r="2091" spans="1:14" hidden="1">
      <c r="A2091" s="151">
        <f t="shared" si="121"/>
        <v>1</v>
      </c>
      <c r="B2091" s="151" t="s">
        <v>206</v>
      </c>
      <c r="C2091" s="159">
        <v>76514</v>
      </c>
      <c r="D2091" s="160" t="s">
        <v>270</v>
      </c>
      <c r="E2091" s="161">
        <f>SUMIF(Lanç!$C$3:$C$114,C2091,Lanç!$F$3:$F$114)</f>
        <v>0</v>
      </c>
      <c r="F2091" s="161">
        <f>SUMIF(Lanç!$C$115:$C$6504,C2091,Lanç!$F$115:$F$6504)</f>
        <v>0</v>
      </c>
      <c r="G2091" s="161">
        <f>SUMIF(Lanç!$C$115:$C$6504,C2091,Lanç!$G$115:$G$6504)</f>
        <v>0</v>
      </c>
      <c r="H2091" s="162">
        <f t="shared" si="123"/>
        <v>0</v>
      </c>
      <c r="I2091" s="162">
        <f t="shared" si="124"/>
        <v>0</v>
      </c>
    </row>
    <row r="2092" spans="1:14" hidden="1">
      <c r="A2092" s="151">
        <f t="shared" si="121"/>
        <v>1</v>
      </c>
      <c r="B2092" s="151" t="s">
        <v>206</v>
      </c>
      <c r="C2092" s="159">
        <v>76519</v>
      </c>
      <c r="D2092" s="160" t="s">
        <v>1216</v>
      </c>
      <c r="E2092" s="161">
        <f>SUMIF(Lanç!$C$3:$C$114,C2092,Lanç!$F$3:$F$114)</f>
        <v>0</v>
      </c>
      <c r="F2092" s="161">
        <f>SUMIF(Lanç!$C$115:$C$6504,C2092,Lanç!$F$115:$F$6504)</f>
        <v>0</v>
      </c>
      <c r="G2092" s="161">
        <f>SUMIF(Lanç!$C$115:$C$6504,C2092,Lanç!$G$115:$G$6504)</f>
        <v>0</v>
      </c>
      <c r="H2092" s="162">
        <f t="shared" si="123"/>
        <v>0</v>
      </c>
      <c r="I2092" s="162">
        <f t="shared" si="124"/>
        <v>0</v>
      </c>
      <c r="J2092" s="1"/>
      <c r="K2092" s="1"/>
      <c r="L2092" s="1"/>
      <c r="M2092" s="1"/>
      <c r="N2092" s="1"/>
    </row>
    <row r="2093" spans="1:14" hidden="1">
      <c r="A2093" s="151">
        <f t="shared" ref="A2093:A2156" si="125">IF(E2093+F2093+G2093+H2093+I2093=0,1,0)</f>
        <v>1</v>
      </c>
      <c r="B2093" s="155" t="s">
        <v>204</v>
      </c>
      <c r="C2093" s="156">
        <v>7652</v>
      </c>
      <c r="D2093" s="157" t="s">
        <v>1219</v>
      </c>
      <c r="E2093" s="158">
        <f>SUM(E2094:E2097)</f>
        <v>0</v>
      </c>
      <c r="F2093" s="158">
        <f>SUM(F2094:F2097)</f>
        <v>0</v>
      </c>
      <c r="G2093" s="158">
        <f>SUM(G2094:G2097)</f>
        <v>0</v>
      </c>
      <c r="H2093" s="154">
        <f t="shared" si="123"/>
        <v>0</v>
      </c>
      <c r="I2093" s="154">
        <f t="shared" si="124"/>
        <v>0</v>
      </c>
    </row>
    <row r="2094" spans="1:14" hidden="1">
      <c r="A2094" s="151">
        <f t="shared" si="125"/>
        <v>1</v>
      </c>
      <c r="B2094" s="151" t="s">
        <v>206</v>
      </c>
      <c r="C2094" s="159">
        <v>76521</v>
      </c>
      <c r="D2094" s="160" t="s">
        <v>1443</v>
      </c>
      <c r="E2094" s="161">
        <f>SUMIF(Lanç!$C$3:$C$114,C2094,Lanç!$F$3:$F$114)</f>
        <v>0</v>
      </c>
      <c r="F2094" s="161">
        <f>SUMIF(Lanç!$C$115:$C$6504,C2094,Lanç!$F$115:$F$6504)</f>
        <v>0</v>
      </c>
      <c r="G2094" s="161">
        <f>SUMIF(Lanç!$C$115:$C$6504,C2094,Lanç!$G$115:$G$6504)</f>
        <v>0</v>
      </c>
      <c r="H2094" s="162">
        <f t="shared" si="123"/>
        <v>0</v>
      </c>
      <c r="I2094" s="162">
        <f t="shared" si="124"/>
        <v>0</v>
      </c>
    </row>
    <row r="2095" spans="1:14" hidden="1">
      <c r="A2095" s="151">
        <f t="shared" si="125"/>
        <v>1</v>
      </c>
      <c r="B2095" s="151" t="s">
        <v>206</v>
      </c>
      <c r="C2095" s="159">
        <v>76522</v>
      </c>
      <c r="D2095" s="160" t="s">
        <v>1220</v>
      </c>
      <c r="E2095" s="161">
        <f>SUMIF(Lanç!$C$3:$C$114,C2095,Lanç!$F$3:$F$114)</f>
        <v>0</v>
      </c>
      <c r="F2095" s="161">
        <f>SUMIF(Lanç!$C$115:$C$6504,C2095,Lanç!$F$115:$F$6504)</f>
        <v>0</v>
      </c>
      <c r="G2095" s="161">
        <f>SUMIF(Lanç!$C$115:$C$6504,C2095,Lanç!$G$115:$G$6504)</f>
        <v>0</v>
      </c>
      <c r="H2095" s="162">
        <f t="shared" si="123"/>
        <v>0</v>
      </c>
      <c r="I2095" s="162">
        <f t="shared" si="124"/>
        <v>0</v>
      </c>
    </row>
    <row r="2096" spans="1:14" hidden="1">
      <c r="A2096" s="151">
        <f t="shared" si="125"/>
        <v>1</v>
      </c>
      <c r="B2096" s="151" t="s">
        <v>206</v>
      </c>
      <c r="C2096" s="159">
        <v>76523</v>
      </c>
      <c r="D2096" s="160" t="s">
        <v>1221</v>
      </c>
      <c r="E2096" s="161">
        <f>SUMIF(Lanç!$C$3:$C$114,C2096,Lanç!$F$3:$F$114)</f>
        <v>0</v>
      </c>
      <c r="F2096" s="161">
        <f>SUMIF(Lanç!$C$115:$C$6504,C2096,Lanç!$F$115:$F$6504)</f>
        <v>0</v>
      </c>
      <c r="G2096" s="161">
        <f>SUMIF(Lanç!$C$115:$C$6504,C2096,Lanç!$G$115:$G$6504)</f>
        <v>0</v>
      </c>
      <c r="H2096" s="162">
        <f t="shared" si="123"/>
        <v>0</v>
      </c>
      <c r="I2096" s="162">
        <f t="shared" si="124"/>
        <v>0</v>
      </c>
    </row>
    <row r="2097" spans="1:14" hidden="1">
      <c r="A2097" s="151">
        <f t="shared" si="125"/>
        <v>1</v>
      </c>
      <c r="B2097" s="151" t="s">
        <v>206</v>
      </c>
      <c r="C2097" s="159">
        <v>76529</v>
      </c>
      <c r="D2097" s="160" t="s">
        <v>245</v>
      </c>
      <c r="E2097" s="161">
        <f>SUMIF(Lanç!$C$3:$C$114,C2097,Lanç!$F$3:$F$114)</f>
        <v>0</v>
      </c>
      <c r="F2097" s="161">
        <f>SUMIF(Lanç!$C$115:$C$6504,C2097,Lanç!$F$115:$F$6504)</f>
        <v>0</v>
      </c>
      <c r="G2097" s="161">
        <f>SUMIF(Lanç!$C$115:$C$6504,C2097,Lanç!$G$115:$G$6504)</f>
        <v>0</v>
      </c>
      <c r="H2097" s="162">
        <f t="shared" si="123"/>
        <v>0</v>
      </c>
      <c r="I2097" s="162">
        <f t="shared" si="124"/>
        <v>0</v>
      </c>
      <c r="J2097" s="1"/>
      <c r="K2097" s="1"/>
      <c r="L2097" s="1"/>
      <c r="M2097" s="1"/>
      <c r="N2097" s="1"/>
    </row>
    <row r="2098" spans="1:14" hidden="1">
      <c r="A2098" s="151">
        <f t="shared" si="125"/>
        <v>1</v>
      </c>
      <c r="B2098" s="155" t="s">
        <v>204</v>
      </c>
      <c r="C2098" s="156">
        <v>766</v>
      </c>
      <c r="D2098" s="157" t="s">
        <v>1444</v>
      </c>
      <c r="E2098" s="158">
        <f>SUM(E2099,E2104,E2105)</f>
        <v>0</v>
      </c>
      <c r="F2098" s="158">
        <f>SUM(F2099,F2104,F2105)</f>
        <v>0</v>
      </c>
      <c r="G2098" s="158">
        <f>SUM(G2099,G2104,G2105)</f>
        <v>0</v>
      </c>
      <c r="H2098" s="154">
        <f t="shared" si="123"/>
        <v>0</v>
      </c>
      <c r="I2098" s="154">
        <f t="shared" si="124"/>
        <v>0</v>
      </c>
    </row>
    <row r="2099" spans="1:14" hidden="1">
      <c r="A2099" s="151">
        <f t="shared" si="125"/>
        <v>1</v>
      </c>
      <c r="B2099" s="155" t="s">
        <v>204</v>
      </c>
      <c r="C2099" s="156">
        <v>7661</v>
      </c>
      <c r="D2099" s="157" t="s">
        <v>1213</v>
      </c>
      <c r="E2099" s="158">
        <f>SUM(E2100:E2103)</f>
        <v>0</v>
      </c>
      <c r="F2099" s="158">
        <f>SUM(F2100:F2103)</f>
        <v>0</v>
      </c>
      <c r="G2099" s="158">
        <f>SUM(G2100:G2103)</f>
        <v>0</v>
      </c>
      <c r="H2099" s="154">
        <f t="shared" si="123"/>
        <v>0</v>
      </c>
      <c r="I2099" s="154">
        <f t="shared" si="124"/>
        <v>0</v>
      </c>
    </row>
    <row r="2100" spans="1:14" hidden="1">
      <c r="A2100" s="151">
        <f t="shared" si="125"/>
        <v>1</v>
      </c>
      <c r="B2100" s="151" t="s">
        <v>206</v>
      </c>
      <c r="C2100" s="159">
        <v>76611</v>
      </c>
      <c r="D2100" s="160" t="s">
        <v>1445</v>
      </c>
      <c r="E2100" s="161">
        <f>SUMIF(Lanç!$C$3:$C$114,C2100,Lanç!$F$3:$F$114)</f>
        <v>0</v>
      </c>
      <c r="F2100" s="161">
        <f>SUMIF(Lanç!$C$115:$C$6504,C2100,Lanç!$F$115:$F$6504)</f>
        <v>0</v>
      </c>
      <c r="G2100" s="161">
        <f>SUMIF(Lanç!$C$115:$C$6504,C2100,Lanç!$G$115:$G$6504)</f>
        <v>0</v>
      </c>
      <c r="H2100" s="162">
        <f t="shared" si="123"/>
        <v>0</v>
      </c>
      <c r="I2100" s="162">
        <f t="shared" si="124"/>
        <v>0</v>
      </c>
    </row>
    <row r="2101" spans="1:14" hidden="1">
      <c r="A2101" s="151">
        <f t="shared" si="125"/>
        <v>1</v>
      </c>
      <c r="B2101" s="151" t="s">
        <v>206</v>
      </c>
      <c r="C2101" s="159">
        <v>76612</v>
      </c>
      <c r="D2101" s="160" t="s">
        <v>428</v>
      </c>
      <c r="E2101" s="161">
        <f>SUMIF(Lanç!$C$3:$C$114,C2101,Lanç!$F$3:$F$114)</f>
        <v>0</v>
      </c>
      <c r="F2101" s="161">
        <f>SUMIF(Lanç!$C$115:$C$6504,C2101,Lanç!$F$115:$F$6504)</f>
        <v>0</v>
      </c>
      <c r="G2101" s="161">
        <f>SUMIF(Lanç!$C$115:$C$6504,C2101,Lanç!$G$115:$G$6504)</f>
        <v>0</v>
      </c>
      <c r="H2101" s="162">
        <f t="shared" si="123"/>
        <v>0</v>
      </c>
      <c r="I2101" s="162">
        <f t="shared" si="124"/>
        <v>0</v>
      </c>
    </row>
    <row r="2102" spans="1:14" hidden="1">
      <c r="A2102" s="151">
        <f t="shared" si="125"/>
        <v>1</v>
      </c>
      <c r="B2102" s="151" t="s">
        <v>206</v>
      </c>
      <c r="C2102" s="159">
        <v>76613</v>
      </c>
      <c r="D2102" s="160" t="s">
        <v>267</v>
      </c>
      <c r="E2102" s="161">
        <f>SUMIF(Lanç!$C$3:$C$114,C2102,Lanç!$F$3:$F$114)</f>
        <v>0</v>
      </c>
      <c r="F2102" s="161">
        <f>SUMIF(Lanç!$C$115:$C$6504,C2102,Lanç!$F$115:$F$6504)</f>
        <v>0</v>
      </c>
      <c r="G2102" s="161">
        <f>SUMIF(Lanç!$C$115:$C$6504,C2102,Lanç!$G$115:$G$6504)</f>
        <v>0</v>
      </c>
      <c r="H2102" s="162">
        <f t="shared" si="123"/>
        <v>0</v>
      </c>
      <c r="I2102" s="162">
        <f t="shared" si="124"/>
        <v>0</v>
      </c>
    </row>
    <row r="2103" spans="1:14" hidden="1">
      <c r="A2103" s="151">
        <f t="shared" si="125"/>
        <v>1</v>
      </c>
      <c r="B2103" s="151" t="s">
        <v>206</v>
      </c>
      <c r="C2103" s="159">
        <v>76614</v>
      </c>
      <c r="D2103" s="160" t="s">
        <v>270</v>
      </c>
      <c r="E2103" s="161">
        <f>SUMIF(Lanç!$C$3:$C$114,C2103,Lanç!$F$3:$F$114)</f>
        <v>0</v>
      </c>
      <c r="F2103" s="161">
        <f>SUMIF(Lanç!$C$115:$C$6504,C2103,Lanç!$F$115:$F$6504)</f>
        <v>0</v>
      </c>
      <c r="G2103" s="161">
        <f>SUMIF(Lanç!$C$115:$C$6504,C2103,Lanç!$G$115:$G$6504)</f>
        <v>0</v>
      </c>
      <c r="H2103" s="162">
        <f t="shared" si="123"/>
        <v>0</v>
      </c>
      <c r="I2103" s="162">
        <f t="shared" si="124"/>
        <v>0</v>
      </c>
    </row>
    <row r="2104" spans="1:14" hidden="1">
      <c r="A2104" s="151">
        <f t="shared" si="125"/>
        <v>1</v>
      </c>
      <c r="B2104" s="151" t="s">
        <v>206</v>
      </c>
      <c r="C2104" s="159">
        <v>76619</v>
      </c>
      <c r="D2104" s="160" t="s">
        <v>1216</v>
      </c>
      <c r="E2104" s="161">
        <f>SUMIF(Lanç!$C$3:$C$114,C2104,Lanç!$F$3:$F$114)</f>
        <v>0</v>
      </c>
      <c r="F2104" s="161">
        <f>SUMIF(Lanç!$C$115:$C$6504,C2104,Lanç!$F$115:$F$6504)</f>
        <v>0</v>
      </c>
      <c r="G2104" s="161">
        <f>SUMIF(Lanç!$C$115:$C$6504,C2104,Lanç!$G$115:$G$6504)</f>
        <v>0</v>
      </c>
      <c r="H2104" s="162">
        <f t="shared" si="123"/>
        <v>0</v>
      </c>
      <c r="I2104" s="162">
        <f t="shared" si="124"/>
        <v>0</v>
      </c>
    </row>
    <row r="2105" spans="1:14" hidden="1">
      <c r="A2105" s="151">
        <f t="shared" si="125"/>
        <v>1</v>
      </c>
      <c r="B2105" s="151" t="s">
        <v>206</v>
      </c>
      <c r="C2105" s="159">
        <v>7662</v>
      </c>
      <c r="D2105" s="160" t="s">
        <v>1446</v>
      </c>
      <c r="E2105" s="161">
        <f>SUMIF(Lanç!$C$3:$C$114,C2105,Lanç!$F$3:$F$114)</f>
        <v>0</v>
      </c>
      <c r="F2105" s="161">
        <f>SUMIF(Lanç!$C$115:$C$6504,C2105,Lanç!$F$115:$F$6504)</f>
        <v>0</v>
      </c>
      <c r="G2105" s="161">
        <f>SUMIF(Lanç!$C$115:$C$6504,C2105,Lanç!$G$115:$G$6504)</f>
        <v>0</v>
      </c>
      <c r="H2105" s="162">
        <f t="shared" si="123"/>
        <v>0</v>
      </c>
      <c r="I2105" s="162">
        <f t="shared" si="124"/>
        <v>0</v>
      </c>
    </row>
    <row r="2106" spans="1:14">
      <c r="A2106" s="151">
        <f t="shared" si="125"/>
        <v>0</v>
      </c>
      <c r="B2106" s="155" t="s">
        <v>204</v>
      </c>
      <c r="C2106" s="156">
        <v>767</v>
      </c>
      <c r="D2106" s="157" t="s">
        <v>1447</v>
      </c>
      <c r="E2106" s="158">
        <f>SUM(E2107:E2110)</f>
        <v>0</v>
      </c>
      <c r="F2106" s="158">
        <f>SUM(F2107:F2110)</f>
        <v>89656</v>
      </c>
      <c r="G2106" s="158">
        <f>SUM(G2107:G2110)</f>
        <v>0</v>
      </c>
      <c r="H2106" s="154">
        <f t="shared" si="123"/>
        <v>89656</v>
      </c>
      <c r="I2106" s="154">
        <f t="shared" si="124"/>
        <v>89656</v>
      </c>
    </row>
    <row r="2107" spans="1:14" hidden="1">
      <c r="A2107" s="151">
        <f t="shared" si="125"/>
        <v>1</v>
      </c>
      <c r="B2107" s="151" t="s">
        <v>206</v>
      </c>
      <c r="C2107" s="159">
        <v>7671</v>
      </c>
      <c r="D2107" s="160" t="s">
        <v>1448</v>
      </c>
      <c r="E2107" s="161">
        <f>SUMIF(Lanç!$C$3:$C$114,C2107,Lanç!$F$3:$F$114)</f>
        <v>0</v>
      </c>
      <c r="F2107" s="161">
        <f>SUMIF(Lanç!$C$115:$C$6504,C2107,Lanç!$F$115:$F$6504)</f>
        <v>0</v>
      </c>
      <c r="G2107" s="161">
        <f>SUMIF(Lanç!$C$115:$C$6504,C2107,Lanç!$G$115:$G$6504)</f>
        <v>0</v>
      </c>
      <c r="H2107" s="162">
        <f t="shared" si="123"/>
        <v>0</v>
      </c>
      <c r="I2107" s="162">
        <f t="shared" si="124"/>
        <v>0</v>
      </c>
    </row>
    <row r="2108" spans="1:14" hidden="1">
      <c r="A2108" s="151">
        <f t="shared" si="125"/>
        <v>1</v>
      </c>
      <c r="B2108" s="151" t="s">
        <v>206</v>
      </c>
      <c r="C2108" s="159">
        <v>7672</v>
      </c>
      <c r="D2108" s="160" t="s">
        <v>1449</v>
      </c>
      <c r="E2108" s="161">
        <f>SUMIF(Lanç!$C$3:$C$114,C2108,Lanç!$F$3:$F$114)</f>
        <v>0</v>
      </c>
      <c r="F2108" s="161">
        <f>SUMIF(Lanç!$C$115:$C$6504,C2108,Lanç!$F$115:$F$6504)</f>
        <v>0</v>
      </c>
      <c r="G2108" s="161">
        <f>SUMIF(Lanç!$C$115:$C$6504,C2108,Lanç!$G$115:$G$6504)</f>
        <v>0</v>
      </c>
      <c r="H2108" s="162">
        <f t="shared" si="123"/>
        <v>0</v>
      </c>
      <c r="I2108" s="162">
        <f t="shared" si="124"/>
        <v>0</v>
      </c>
    </row>
    <row r="2109" spans="1:14" hidden="1">
      <c r="A2109" s="151">
        <f t="shared" si="125"/>
        <v>1</v>
      </c>
      <c r="B2109" s="151" t="s">
        <v>206</v>
      </c>
      <c r="C2109" s="159">
        <v>7673</v>
      </c>
      <c r="D2109" s="160" t="s">
        <v>84</v>
      </c>
      <c r="E2109" s="161">
        <f>SUMIF(Lanç!$C$3:$C$114,C2109,Lanç!$F$3:$F$114)</f>
        <v>0</v>
      </c>
      <c r="F2109" s="161">
        <f>SUMIF(Lanç!$C$115:$C$6504,C2109,Lanç!$F$115:$F$6504)</f>
        <v>0</v>
      </c>
      <c r="G2109" s="161">
        <f>SUMIF(Lanç!$C$115:$C$6504,C2109,Lanç!$G$115:$G$6504)</f>
        <v>0</v>
      </c>
      <c r="H2109" s="162">
        <f t="shared" si="123"/>
        <v>0</v>
      </c>
      <c r="I2109" s="162">
        <f t="shared" si="124"/>
        <v>0</v>
      </c>
    </row>
    <row r="2110" spans="1:14" s="57" customFormat="1">
      <c r="A2110" s="155">
        <f t="shared" si="125"/>
        <v>0</v>
      </c>
      <c r="B2110" s="155" t="s">
        <v>204</v>
      </c>
      <c r="C2110" s="156">
        <v>7678</v>
      </c>
      <c r="D2110" s="157" t="s">
        <v>1450</v>
      </c>
      <c r="E2110" s="158">
        <f>SUM(E2111:E2126)</f>
        <v>0</v>
      </c>
      <c r="F2110" s="158">
        <f>SUM(F2111:F2126)</f>
        <v>89656</v>
      </c>
      <c r="G2110" s="158">
        <f>SUM(G2111:G2126)</f>
        <v>0</v>
      </c>
      <c r="H2110" s="163">
        <f t="shared" si="123"/>
        <v>89656</v>
      </c>
      <c r="I2110" s="163">
        <f t="shared" si="124"/>
        <v>89656</v>
      </c>
      <c r="J2110" s="1"/>
      <c r="K2110" s="1"/>
      <c r="L2110" s="1"/>
      <c r="M2110" s="1"/>
      <c r="N2110" s="1"/>
    </row>
    <row r="2111" spans="1:14">
      <c r="A2111" s="151">
        <f t="shared" si="125"/>
        <v>0</v>
      </c>
      <c r="B2111" s="151" t="s">
        <v>206</v>
      </c>
      <c r="C2111" s="159">
        <v>767801</v>
      </c>
      <c r="D2111" s="160" t="s">
        <v>1451</v>
      </c>
      <c r="E2111" s="161">
        <f>SUMIF(Lanç!$C$3:$C$114,C2111,Lanç!$F$3:$F$114)</f>
        <v>0</v>
      </c>
      <c r="F2111" s="161">
        <f>SUMIF(Lanç!$C$115:$C$6504,C2111,Lanç!$F$115:$F$6504)</f>
        <v>89656</v>
      </c>
      <c r="G2111" s="161">
        <f>SUMIF(Lanç!$C$115:$C$6504,C2111,Lanç!$G$115:$G$6504)</f>
        <v>0</v>
      </c>
      <c r="H2111" s="162">
        <f t="shared" si="123"/>
        <v>89656</v>
      </c>
      <c r="I2111" s="162">
        <f t="shared" si="124"/>
        <v>89656</v>
      </c>
      <c r="J2111" s="1"/>
      <c r="K2111" s="1"/>
      <c r="L2111" s="1"/>
      <c r="M2111" s="1"/>
      <c r="N2111" s="1"/>
    </row>
    <row r="2112" spans="1:14" hidden="1">
      <c r="A2112" s="151">
        <f t="shared" si="125"/>
        <v>1</v>
      </c>
      <c r="B2112" s="151" t="s">
        <v>206</v>
      </c>
      <c r="C2112" s="159">
        <v>767802</v>
      </c>
      <c r="D2112" s="160" t="s">
        <v>1452</v>
      </c>
      <c r="E2112" s="161">
        <f>SUMIF(Lanç!$C$3:$C$114,C2112,Lanç!$F$3:$F$114)</f>
        <v>0</v>
      </c>
      <c r="F2112" s="161">
        <f>SUMIF(Lanç!$C$115:$C$6504,C2112,Lanç!$F$115:$F$6504)</f>
        <v>0</v>
      </c>
      <c r="G2112" s="161">
        <f>SUMIF(Lanç!$C$115:$C$6504,C2112,Lanç!$G$115:$G$6504)</f>
        <v>0</v>
      </c>
      <c r="H2112" s="162">
        <f t="shared" si="123"/>
        <v>0</v>
      </c>
      <c r="I2112" s="162">
        <f t="shared" si="124"/>
        <v>0</v>
      </c>
      <c r="J2112" s="1"/>
      <c r="K2112" s="1"/>
      <c r="L2112" s="1"/>
      <c r="M2112" s="1"/>
      <c r="N2112" s="1"/>
    </row>
    <row r="2113" spans="1:14" hidden="1">
      <c r="A2113" s="151">
        <f t="shared" si="125"/>
        <v>1</v>
      </c>
      <c r="B2113" s="151" t="s">
        <v>206</v>
      </c>
      <c r="C2113" s="159">
        <v>767803</v>
      </c>
      <c r="D2113" s="160" t="s">
        <v>1453</v>
      </c>
      <c r="E2113" s="161">
        <f>SUMIF(Lanç!$C$3:$C$114,C2113,Lanç!$F$3:$F$114)</f>
        <v>0</v>
      </c>
      <c r="F2113" s="161">
        <f>SUMIF(Lanç!$C$115:$C$6504,C2113,Lanç!$F$115:$F$6504)</f>
        <v>0</v>
      </c>
      <c r="G2113" s="161">
        <f>SUMIF(Lanç!$C$115:$C$6504,C2113,Lanç!$G$115:$G$6504)</f>
        <v>0</v>
      </c>
      <c r="H2113" s="162">
        <f t="shared" si="123"/>
        <v>0</v>
      </c>
      <c r="I2113" s="162">
        <f t="shared" si="124"/>
        <v>0</v>
      </c>
      <c r="J2113" s="1"/>
      <c r="K2113" s="1"/>
      <c r="L2113" s="1"/>
      <c r="M2113" s="1"/>
      <c r="N2113" s="1"/>
    </row>
    <row r="2114" spans="1:14" hidden="1">
      <c r="A2114" s="151">
        <f t="shared" si="125"/>
        <v>1</v>
      </c>
      <c r="B2114" s="151" t="s">
        <v>206</v>
      </c>
      <c r="C2114" s="159">
        <v>767804</v>
      </c>
      <c r="D2114" s="160" t="s">
        <v>1454</v>
      </c>
      <c r="E2114" s="161">
        <f>SUMIF(Lanç!$C$3:$C$114,C2114,Lanç!$F$3:$F$114)</f>
        <v>0</v>
      </c>
      <c r="F2114" s="161">
        <f>SUMIF(Lanç!$C$115:$C$6504,C2114,Lanç!$F$115:$F$6504)</f>
        <v>0</v>
      </c>
      <c r="G2114" s="161">
        <f>SUMIF(Lanç!$C$115:$C$6504,C2114,Lanç!$G$115:$G$6504)</f>
        <v>0</v>
      </c>
      <c r="H2114" s="162">
        <f t="shared" si="123"/>
        <v>0</v>
      </c>
      <c r="I2114" s="162">
        <f t="shared" si="124"/>
        <v>0</v>
      </c>
      <c r="J2114" s="1"/>
      <c r="K2114" s="1"/>
      <c r="L2114" s="1"/>
      <c r="M2114" s="1"/>
      <c r="N2114" s="1"/>
    </row>
    <row r="2115" spans="1:14" hidden="1">
      <c r="A2115" s="151">
        <f t="shared" si="125"/>
        <v>1</v>
      </c>
      <c r="B2115" s="151" t="s">
        <v>206</v>
      </c>
      <c r="C2115" s="159">
        <v>767805</v>
      </c>
      <c r="D2115" s="160" t="s">
        <v>1455</v>
      </c>
      <c r="E2115" s="161">
        <f>SUMIF(Lanç!$C$3:$C$114,C2115,Lanç!$F$3:$F$114)</f>
        <v>0</v>
      </c>
      <c r="F2115" s="161">
        <f>SUMIF(Lanç!$C$115:$C$6504,C2115,Lanç!$F$115:$F$6504)</f>
        <v>0</v>
      </c>
      <c r="G2115" s="161">
        <f>SUMIF(Lanç!$C$115:$C$6504,C2115,Lanç!$G$115:$G$6504)</f>
        <v>0</v>
      </c>
      <c r="H2115" s="162">
        <f t="shared" si="123"/>
        <v>0</v>
      </c>
      <c r="I2115" s="162">
        <f t="shared" si="124"/>
        <v>0</v>
      </c>
      <c r="J2115" s="1"/>
      <c r="K2115" s="1"/>
      <c r="L2115" s="1"/>
      <c r="M2115" s="1"/>
      <c r="N2115" s="1"/>
    </row>
    <row r="2116" spans="1:14" hidden="1">
      <c r="A2116" s="151">
        <f t="shared" si="125"/>
        <v>1</v>
      </c>
      <c r="B2116" s="151" t="s">
        <v>206</v>
      </c>
      <c r="C2116" s="159">
        <v>767806</v>
      </c>
      <c r="D2116" s="160" t="s">
        <v>1456</v>
      </c>
      <c r="E2116" s="161">
        <f>SUMIF(Lanç!$C$3:$C$114,C2116,Lanç!$F$3:$F$114)</f>
        <v>0</v>
      </c>
      <c r="F2116" s="161">
        <f>SUMIF(Lanç!$C$115:$C$6504,C2116,Lanç!$F$115:$F$6504)</f>
        <v>0</v>
      </c>
      <c r="G2116" s="161">
        <f>SUMIF(Lanç!$C$115:$C$6504,C2116,Lanç!$G$115:$G$6504)</f>
        <v>0</v>
      </c>
      <c r="H2116" s="162">
        <f t="shared" si="123"/>
        <v>0</v>
      </c>
      <c r="I2116" s="162">
        <f t="shared" si="124"/>
        <v>0</v>
      </c>
      <c r="J2116" s="1"/>
      <c r="K2116" s="1"/>
      <c r="L2116" s="1"/>
      <c r="M2116" s="1"/>
      <c r="N2116" s="1"/>
    </row>
    <row r="2117" spans="1:14" hidden="1">
      <c r="A2117" s="151">
        <f t="shared" si="125"/>
        <v>1</v>
      </c>
      <c r="B2117" s="151" t="s">
        <v>206</v>
      </c>
      <c r="C2117" s="159">
        <v>767807</v>
      </c>
      <c r="D2117" s="160" t="s">
        <v>1457</v>
      </c>
      <c r="E2117" s="161">
        <f>SUMIF(Lanç!$C$3:$C$114,C2117,Lanç!$F$3:$F$114)</f>
        <v>0</v>
      </c>
      <c r="F2117" s="161">
        <f>SUMIF(Lanç!$C$115:$C$6504,C2117,Lanç!$F$115:$F$6504)</f>
        <v>0</v>
      </c>
      <c r="G2117" s="161">
        <f>SUMIF(Lanç!$C$115:$C$6504,C2117,Lanç!$G$115:$G$6504)</f>
        <v>0</v>
      </c>
      <c r="H2117" s="162">
        <f t="shared" si="123"/>
        <v>0</v>
      </c>
      <c r="I2117" s="162">
        <f t="shared" si="124"/>
        <v>0</v>
      </c>
      <c r="J2117" s="1"/>
      <c r="K2117" s="1"/>
      <c r="L2117" s="1"/>
      <c r="M2117" s="1"/>
      <c r="N2117" s="1"/>
    </row>
    <row r="2118" spans="1:14" hidden="1">
      <c r="A2118" s="151">
        <f t="shared" si="125"/>
        <v>1</v>
      </c>
      <c r="B2118" s="151" t="s">
        <v>206</v>
      </c>
      <c r="C2118" s="159">
        <v>76781</v>
      </c>
      <c r="D2118" s="160" t="s">
        <v>1458</v>
      </c>
      <c r="E2118" s="161">
        <f>SUMIF(Lanç!$C$3:$C$114,C2118,Lanç!$F$3:$F$114)</f>
        <v>0</v>
      </c>
      <c r="F2118" s="161">
        <f>SUMIF(Lanç!$C$115:$C$6504,C2118,Lanç!$F$115:$F$6504)</f>
        <v>0</v>
      </c>
      <c r="G2118" s="161">
        <f>SUMIF(Lanç!$C$115:$C$6504,C2118,Lanç!$G$115:$G$6504)</f>
        <v>0</v>
      </c>
      <c r="H2118" s="162">
        <f t="shared" si="123"/>
        <v>0</v>
      </c>
      <c r="I2118" s="162">
        <f t="shared" si="124"/>
        <v>0</v>
      </c>
      <c r="J2118" s="1"/>
      <c r="K2118" s="1"/>
      <c r="L2118" s="1"/>
      <c r="M2118" s="1"/>
      <c r="N2118" s="1"/>
    </row>
    <row r="2119" spans="1:14" hidden="1">
      <c r="A2119" s="151">
        <f t="shared" si="125"/>
        <v>1</v>
      </c>
      <c r="B2119" s="151" t="s">
        <v>206</v>
      </c>
      <c r="C2119" s="159">
        <v>76782</v>
      </c>
      <c r="D2119" s="160" t="s">
        <v>1459</v>
      </c>
      <c r="E2119" s="161">
        <f>SUMIF(Lanç!$C$3:$C$114,C2119,Lanç!$F$3:$F$114)</f>
        <v>0</v>
      </c>
      <c r="F2119" s="161">
        <f>SUMIF(Lanç!$C$115:$C$6504,C2119,Lanç!$F$115:$F$6504)</f>
        <v>0</v>
      </c>
      <c r="G2119" s="161">
        <f>SUMIF(Lanç!$C$115:$C$6504,C2119,Lanç!$G$115:$G$6504)</f>
        <v>0</v>
      </c>
      <c r="H2119" s="162">
        <f t="shared" si="123"/>
        <v>0</v>
      </c>
      <c r="I2119" s="162">
        <f t="shared" si="124"/>
        <v>0</v>
      </c>
      <c r="J2119" s="1"/>
      <c r="K2119" s="1"/>
      <c r="L2119" s="1"/>
      <c r="M2119" s="1"/>
      <c r="N2119" s="1"/>
    </row>
    <row r="2120" spans="1:14" hidden="1">
      <c r="A2120" s="151">
        <f t="shared" si="125"/>
        <v>1</v>
      </c>
      <c r="B2120" s="151" t="s">
        <v>206</v>
      </c>
      <c r="C2120" s="159">
        <v>76783</v>
      </c>
      <c r="D2120" s="160" t="s">
        <v>1460</v>
      </c>
      <c r="E2120" s="161">
        <f>SUMIF(Lanç!$C$3:$C$114,C2120,Lanç!$F$3:$F$114)</f>
        <v>0</v>
      </c>
      <c r="F2120" s="161">
        <f>SUMIF(Lanç!$C$115:$C$6504,C2120,Lanç!$F$115:$F$6504)</f>
        <v>0</v>
      </c>
      <c r="G2120" s="161">
        <f>SUMIF(Lanç!$C$115:$C$6504,C2120,Lanç!$G$115:$G$6504)</f>
        <v>0</v>
      </c>
      <c r="H2120" s="162">
        <f t="shared" si="123"/>
        <v>0</v>
      </c>
      <c r="I2120" s="162">
        <f t="shared" si="124"/>
        <v>0</v>
      </c>
      <c r="J2120" s="1"/>
      <c r="K2120" s="1"/>
      <c r="L2120" s="1"/>
      <c r="M2120" s="1"/>
      <c r="N2120" s="1"/>
    </row>
    <row r="2121" spans="1:14" hidden="1">
      <c r="A2121" s="151">
        <f t="shared" si="125"/>
        <v>1</v>
      </c>
      <c r="B2121" s="151" t="s">
        <v>206</v>
      </c>
      <c r="C2121" s="159">
        <v>76784</v>
      </c>
      <c r="D2121" s="160" t="s">
        <v>1461</v>
      </c>
      <c r="E2121" s="161">
        <f>SUMIF(Lanç!$C$3:$C$114,C2121,Lanç!$F$3:$F$114)</f>
        <v>0</v>
      </c>
      <c r="F2121" s="161">
        <f>SUMIF(Lanç!$C$115:$C$6504,C2121,Lanç!$F$115:$F$6504)</f>
        <v>0</v>
      </c>
      <c r="G2121" s="161">
        <f>SUMIF(Lanç!$C$115:$C$6504,C2121,Lanç!$G$115:$G$6504)</f>
        <v>0</v>
      </c>
      <c r="H2121" s="162">
        <f t="shared" si="123"/>
        <v>0</v>
      </c>
      <c r="I2121" s="162">
        <f t="shared" si="124"/>
        <v>0</v>
      </c>
      <c r="J2121" s="1"/>
      <c r="K2121" s="1"/>
      <c r="L2121" s="1"/>
      <c r="M2121" s="1"/>
      <c r="N2121" s="1"/>
    </row>
    <row r="2122" spans="1:14" hidden="1">
      <c r="A2122" s="151">
        <f t="shared" si="125"/>
        <v>1</v>
      </c>
      <c r="B2122" s="151" t="s">
        <v>206</v>
      </c>
      <c r="C2122" s="159">
        <v>76785</v>
      </c>
      <c r="D2122" s="160" t="s">
        <v>1462</v>
      </c>
      <c r="E2122" s="161">
        <f>SUMIF(Lanç!$C$3:$C$114,C2122,Lanç!$F$3:$F$114)</f>
        <v>0</v>
      </c>
      <c r="F2122" s="161">
        <f>SUMIF(Lanç!$C$115:$C$6504,C2122,Lanç!$F$115:$F$6504)</f>
        <v>0</v>
      </c>
      <c r="G2122" s="161">
        <f>SUMIF(Lanç!$C$115:$C$6504,C2122,Lanç!$G$115:$G$6504)</f>
        <v>0</v>
      </c>
      <c r="H2122" s="162">
        <f t="shared" si="123"/>
        <v>0</v>
      </c>
      <c r="I2122" s="162">
        <f t="shared" si="124"/>
        <v>0</v>
      </c>
      <c r="J2122" s="1"/>
      <c r="K2122" s="1"/>
      <c r="L2122" s="1"/>
      <c r="M2122" s="1"/>
      <c r="N2122" s="1"/>
    </row>
    <row r="2123" spans="1:14" hidden="1">
      <c r="A2123" s="151">
        <f t="shared" si="125"/>
        <v>1</v>
      </c>
      <c r="B2123" s="151" t="s">
        <v>206</v>
      </c>
      <c r="C2123" s="159">
        <v>76786</v>
      </c>
      <c r="D2123" s="160" t="s">
        <v>1463</v>
      </c>
      <c r="E2123" s="161">
        <f>SUMIF(Lanç!$C$3:$C$114,C2123,Lanç!$F$3:$F$114)</f>
        <v>0</v>
      </c>
      <c r="F2123" s="161">
        <f>SUMIF(Lanç!$C$115:$C$6504,C2123,Lanç!$F$115:$F$6504)</f>
        <v>0</v>
      </c>
      <c r="G2123" s="161">
        <f>SUMIF(Lanç!$C$115:$C$6504,C2123,Lanç!$G$115:$G$6504)</f>
        <v>0</v>
      </c>
      <c r="H2123" s="162">
        <f t="shared" si="123"/>
        <v>0</v>
      </c>
      <c r="I2123" s="162">
        <f t="shared" si="124"/>
        <v>0</v>
      </c>
      <c r="J2123" s="1"/>
      <c r="K2123" s="1"/>
      <c r="L2123" s="1"/>
      <c r="M2123" s="1"/>
      <c r="N2123" s="1"/>
    </row>
    <row r="2124" spans="1:14" hidden="1">
      <c r="A2124" s="151">
        <f t="shared" si="125"/>
        <v>1</v>
      </c>
      <c r="B2124" s="151" t="s">
        <v>206</v>
      </c>
      <c r="C2124" s="159">
        <v>76787</v>
      </c>
      <c r="D2124" s="160" t="s">
        <v>1464</v>
      </c>
      <c r="E2124" s="161">
        <f>SUMIF(Lanç!$C$3:$C$114,C2124,Lanç!$F$3:$F$114)</f>
        <v>0</v>
      </c>
      <c r="F2124" s="161">
        <f>SUMIF(Lanç!$C$115:$C$6504,C2124,Lanç!$F$115:$F$6504)</f>
        <v>0</v>
      </c>
      <c r="G2124" s="161">
        <f>SUMIF(Lanç!$C$115:$C$6504,C2124,Lanç!$G$115:$G$6504)</f>
        <v>0</v>
      </c>
      <c r="H2124" s="162">
        <f t="shared" si="123"/>
        <v>0</v>
      </c>
      <c r="I2124" s="162">
        <f t="shared" si="124"/>
        <v>0</v>
      </c>
      <c r="J2124" s="1"/>
      <c r="K2124" s="1"/>
      <c r="L2124" s="1"/>
      <c r="M2124" s="1"/>
      <c r="N2124" s="1"/>
    </row>
    <row r="2125" spans="1:14" hidden="1">
      <c r="A2125" s="151">
        <f t="shared" si="125"/>
        <v>1</v>
      </c>
      <c r="B2125" s="151" t="s">
        <v>206</v>
      </c>
      <c r="C2125" s="159">
        <v>76788</v>
      </c>
      <c r="D2125" s="160" t="s">
        <v>1465</v>
      </c>
      <c r="E2125" s="161">
        <f>SUMIF(Lanç!$C$3:$C$114,C2125,Lanç!$F$3:$F$114)</f>
        <v>0</v>
      </c>
      <c r="F2125" s="161">
        <f>SUMIF(Lanç!$C$115:$C$6504,C2125,Lanç!$F$115:$F$6504)</f>
        <v>0</v>
      </c>
      <c r="G2125" s="161">
        <f>SUMIF(Lanç!$C$115:$C$6504,C2125,Lanç!$G$115:$G$6504)</f>
        <v>0</v>
      </c>
      <c r="H2125" s="162">
        <f t="shared" si="123"/>
        <v>0</v>
      </c>
      <c r="I2125" s="162">
        <f t="shared" si="124"/>
        <v>0</v>
      </c>
      <c r="J2125" s="1"/>
      <c r="K2125" s="1"/>
      <c r="L2125" s="1"/>
      <c r="M2125" s="1"/>
      <c r="N2125" s="1"/>
    </row>
    <row r="2126" spans="1:14" hidden="1">
      <c r="A2126" s="151">
        <f t="shared" si="125"/>
        <v>1</v>
      </c>
      <c r="B2126" s="151" t="s">
        <v>206</v>
      </c>
      <c r="C2126" s="159">
        <v>76789</v>
      </c>
      <c r="D2126" s="160" t="s">
        <v>1466</v>
      </c>
      <c r="E2126" s="161">
        <f>SUMIF(Lanç!$C$3:$C$114,C2126,Lanç!$F$3:$F$114)</f>
        <v>0</v>
      </c>
      <c r="F2126" s="161">
        <f>SUMIF(Lanç!$C$115:$C$6504,C2126,Lanç!$F$115:$F$6504)</f>
        <v>0</v>
      </c>
      <c r="G2126" s="161">
        <f>SUMIF(Lanç!$C$115:$C$6504,C2126,Lanç!$G$115:$G$6504)</f>
        <v>0</v>
      </c>
      <c r="H2126" s="162">
        <f t="shared" si="123"/>
        <v>0</v>
      </c>
      <c r="I2126" s="162">
        <f t="shared" si="124"/>
        <v>0</v>
      </c>
      <c r="J2126" s="1"/>
      <c r="K2126" s="1"/>
      <c r="L2126" s="1"/>
      <c r="M2126" s="1"/>
      <c r="N2126" s="1"/>
    </row>
    <row r="2127" spans="1:14">
      <c r="A2127" s="151">
        <f t="shared" si="125"/>
        <v>0</v>
      </c>
      <c r="B2127" s="155" t="s">
        <v>1166</v>
      </c>
      <c r="C2127" s="156">
        <v>769</v>
      </c>
      <c r="D2127" s="157" t="s">
        <v>1467</v>
      </c>
      <c r="E2127" s="158">
        <f>SUMIF(Lanç!$C$3:$C$114,C2127,Lanç!$F$3:$F$114)</f>
        <v>0</v>
      </c>
      <c r="F2127" s="158">
        <f>SUMIF(Lanç!$C$115:$C$6504,C2127,Lanç!$F$115:$F$6504)</f>
        <v>0</v>
      </c>
      <c r="G2127" s="158">
        <f>F2066</f>
        <v>89656</v>
      </c>
      <c r="H2127" s="154">
        <f t="shared" si="123"/>
        <v>-89656</v>
      </c>
      <c r="I2127" s="154">
        <f t="shared" si="124"/>
        <v>-89656</v>
      </c>
    </row>
    <row r="2128" spans="1:14" hidden="1">
      <c r="A2128" s="151">
        <f t="shared" si="125"/>
        <v>1</v>
      </c>
      <c r="B2128" s="155" t="s">
        <v>202</v>
      </c>
      <c r="C2128" s="156">
        <v>77</v>
      </c>
      <c r="D2128" s="157" t="s">
        <v>1468</v>
      </c>
      <c r="E2128" s="158">
        <f>SUM(E2129)</f>
        <v>0</v>
      </c>
      <c r="F2128" s="158">
        <f>SUM(F2129)</f>
        <v>0</v>
      </c>
      <c r="G2128" s="158">
        <f>SUM(G2129)</f>
        <v>0</v>
      </c>
      <c r="H2128" s="163">
        <f t="shared" si="123"/>
        <v>0</v>
      </c>
      <c r="I2128" s="154">
        <f t="shared" si="124"/>
        <v>0</v>
      </c>
    </row>
    <row r="2129" spans="1:14" hidden="1">
      <c r="A2129" s="151">
        <f t="shared" si="125"/>
        <v>1</v>
      </c>
      <c r="B2129" s="155" t="s">
        <v>1166</v>
      </c>
      <c r="C2129" s="156">
        <v>779</v>
      </c>
      <c r="D2129" s="157" t="s">
        <v>1467</v>
      </c>
      <c r="E2129" s="158">
        <f>SUMIF(Lanç!$C$3:$C$114,C2129,Lanç!$F$3:$F$114)</f>
        <v>0</v>
      </c>
      <c r="F2129" s="158">
        <f>SUMIF(Lanç!$C$115:$C$6504,C2129,Lanç!$F$115:$F$6504)</f>
        <v>0</v>
      </c>
      <c r="G2129" s="158">
        <f>F2128</f>
        <v>0</v>
      </c>
      <c r="H2129" s="154">
        <f t="shared" si="123"/>
        <v>0</v>
      </c>
      <c r="I2129" s="154">
        <f t="shared" si="124"/>
        <v>0</v>
      </c>
    </row>
    <row r="2130" spans="1:14" hidden="1">
      <c r="A2130" s="151">
        <f t="shared" si="125"/>
        <v>1</v>
      </c>
      <c r="B2130" s="155" t="s">
        <v>202</v>
      </c>
      <c r="C2130" s="156">
        <v>78</v>
      </c>
      <c r="D2130" s="157" t="s">
        <v>1469</v>
      </c>
      <c r="E2130" s="158">
        <f>SUM(E2131,E2152,E2155,E2160,E2162,E2163,E2167,E2168,E2169,E2170,E2175,E2182)</f>
        <v>0</v>
      </c>
      <c r="F2130" s="158">
        <f>SUM(F2131,F2152,F2155,F2160,F2162,F2163,F2167,F2168,F2169,F2170,F2175,F2182)</f>
        <v>0</v>
      </c>
      <c r="G2130" s="158">
        <f>SUM(G2131,G2152,G2155,G2160,G2162,G2163,G2167,G2168,G2169,G2170,G2175,G2182)</f>
        <v>0</v>
      </c>
      <c r="H2130" s="154">
        <f t="shared" si="123"/>
        <v>0</v>
      </c>
      <c r="I2130" s="154">
        <f t="shared" si="124"/>
        <v>0</v>
      </c>
    </row>
    <row r="2131" spans="1:14" hidden="1">
      <c r="A2131" s="151">
        <f t="shared" si="125"/>
        <v>1</v>
      </c>
      <c r="B2131" s="155" t="s">
        <v>204</v>
      </c>
      <c r="C2131" s="156">
        <v>7801</v>
      </c>
      <c r="D2131" s="157" t="s">
        <v>1470</v>
      </c>
      <c r="E2131" s="158">
        <f>SUM(E2132,E2138,E2146)</f>
        <v>0</v>
      </c>
      <c r="F2131" s="158">
        <f>SUM(F2132,F2138,F2146)</f>
        <v>0</v>
      </c>
      <c r="G2131" s="158">
        <f>SUM(G2132,G2138,G2146)</f>
        <v>0</v>
      </c>
      <c r="H2131" s="154">
        <f t="shared" si="123"/>
        <v>0</v>
      </c>
      <c r="I2131" s="154">
        <f t="shared" si="124"/>
        <v>0</v>
      </c>
    </row>
    <row r="2132" spans="1:14" hidden="1">
      <c r="A2132" s="151">
        <f t="shared" si="125"/>
        <v>1</v>
      </c>
      <c r="B2132" s="155" t="s">
        <v>204</v>
      </c>
      <c r="C2132" s="156">
        <v>78011</v>
      </c>
      <c r="D2132" s="157" t="s">
        <v>1471</v>
      </c>
      <c r="E2132" s="158">
        <f>SUM(E2133:E2137)</f>
        <v>0</v>
      </c>
      <c r="F2132" s="158">
        <f>SUM(F2133:F2137)</f>
        <v>0</v>
      </c>
      <c r="G2132" s="158">
        <f>SUM(G2133:G2137)</f>
        <v>0</v>
      </c>
      <c r="H2132" s="154">
        <f t="shared" si="123"/>
        <v>0</v>
      </c>
      <c r="I2132" s="154">
        <f t="shared" si="124"/>
        <v>0</v>
      </c>
    </row>
    <row r="2133" spans="1:14" hidden="1">
      <c r="A2133" s="151">
        <f t="shared" si="125"/>
        <v>1</v>
      </c>
      <c r="B2133" s="151" t="s">
        <v>206</v>
      </c>
      <c r="C2133" s="159">
        <v>780111</v>
      </c>
      <c r="D2133" s="160" t="s">
        <v>1472</v>
      </c>
      <c r="E2133" s="161">
        <f>SUMIF(Lanç!$C$3:$C$114,C2133,Lanç!$F$3:$F$114)</f>
        <v>0</v>
      </c>
      <c r="F2133" s="161">
        <f>SUMIF(Lanç!$C$115:$C$6504,C2133,Lanç!$F$115:$F$6504)</f>
        <v>0</v>
      </c>
      <c r="G2133" s="161">
        <f>SUMIF(Lanç!$C$115:$C$6504,C2133,Lanç!$G$115:$G$6504)</f>
        <v>0</v>
      </c>
      <c r="H2133" s="162">
        <f t="shared" si="123"/>
        <v>0</v>
      </c>
      <c r="I2133" s="162">
        <f t="shared" si="124"/>
        <v>0</v>
      </c>
    </row>
    <row r="2134" spans="1:14" hidden="1">
      <c r="A2134" s="151">
        <f t="shared" si="125"/>
        <v>1</v>
      </c>
      <c r="B2134" s="151" t="s">
        <v>206</v>
      </c>
      <c r="C2134" s="159">
        <v>780112</v>
      </c>
      <c r="D2134" s="160" t="s">
        <v>417</v>
      </c>
      <c r="E2134" s="161">
        <f>SUMIF(Lanç!$C$3:$C$114,C2134,Lanç!$F$3:$F$114)</f>
        <v>0</v>
      </c>
      <c r="F2134" s="161">
        <f>SUMIF(Lanç!$C$115:$C$6504,C2134,Lanç!$F$115:$F$6504)</f>
        <v>0</v>
      </c>
      <c r="G2134" s="161">
        <f>SUMIF(Lanç!$C$115:$C$6504,C2134,Lanç!$G$115:$G$6504)</f>
        <v>0</v>
      </c>
      <c r="H2134" s="162">
        <f t="shared" si="123"/>
        <v>0</v>
      </c>
      <c r="I2134" s="162">
        <f t="shared" si="124"/>
        <v>0</v>
      </c>
    </row>
    <row r="2135" spans="1:14" hidden="1">
      <c r="A2135" s="151">
        <f t="shared" si="125"/>
        <v>1</v>
      </c>
      <c r="B2135" s="151" t="s">
        <v>206</v>
      </c>
      <c r="C2135" s="159">
        <v>780113</v>
      </c>
      <c r="D2135" s="160" t="s">
        <v>1473</v>
      </c>
      <c r="E2135" s="161">
        <f>SUMIF(Lanç!$C$3:$C$114,C2135,Lanç!$F$3:$F$114)</f>
        <v>0</v>
      </c>
      <c r="F2135" s="161">
        <f>SUMIF(Lanç!$C$115:$C$6504,C2135,Lanç!$F$115:$F$6504)</f>
        <v>0</v>
      </c>
      <c r="G2135" s="161">
        <f>SUMIF(Lanç!$C$115:$C$6504,C2135,Lanç!$G$115:$G$6504)</f>
        <v>0</v>
      </c>
      <c r="H2135" s="162">
        <f t="shared" si="123"/>
        <v>0</v>
      </c>
      <c r="I2135" s="162">
        <f t="shared" si="124"/>
        <v>0</v>
      </c>
    </row>
    <row r="2136" spans="1:14" hidden="1">
      <c r="A2136" s="151">
        <f t="shared" si="125"/>
        <v>1</v>
      </c>
      <c r="B2136" s="151" t="s">
        <v>206</v>
      </c>
      <c r="C2136" s="159">
        <v>780114</v>
      </c>
      <c r="D2136" s="160" t="s">
        <v>1474</v>
      </c>
      <c r="E2136" s="161">
        <f>SUMIF(Lanç!$C$3:$C$114,C2136,Lanç!$F$3:$F$114)</f>
        <v>0</v>
      </c>
      <c r="F2136" s="161">
        <f>SUMIF(Lanç!$C$115:$C$6504,C2136,Lanç!$F$115:$F$6504)</f>
        <v>0</v>
      </c>
      <c r="G2136" s="161">
        <f>SUMIF(Lanç!$C$115:$C$6504,C2136,Lanç!$G$115:$G$6504)</f>
        <v>0</v>
      </c>
      <c r="H2136" s="162">
        <f t="shared" si="123"/>
        <v>0</v>
      </c>
      <c r="I2136" s="162">
        <f t="shared" si="124"/>
        <v>0</v>
      </c>
    </row>
    <row r="2137" spans="1:14" hidden="1">
      <c r="A2137" s="151">
        <f t="shared" si="125"/>
        <v>1</v>
      </c>
      <c r="B2137" s="151" t="s">
        <v>206</v>
      </c>
      <c r="C2137" s="159">
        <v>780115</v>
      </c>
      <c r="D2137" s="160" t="s">
        <v>349</v>
      </c>
      <c r="E2137" s="161">
        <f>SUMIF(Lanç!$C$3:$C$114,C2137,Lanç!$F$3:$F$114)</f>
        <v>0</v>
      </c>
      <c r="F2137" s="161">
        <f>SUMIF(Lanç!$C$115:$C$6504,C2137,Lanç!$F$115:$F$6504)</f>
        <v>0</v>
      </c>
      <c r="G2137" s="161">
        <f>SUMIF(Lanç!$C$115:$C$6504,C2137,Lanç!$G$115:$G$6504)</f>
        <v>0</v>
      </c>
      <c r="H2137" s="162">
        <f t="shared" si="123"/>
        <v>0</v>
      </c>
      <c r="I2137" s="162">
        <f t="shared" si="124"/>
        <v>0</v>
      </c>
      <c r="J2137" s="1"/>
      <c r="K2137" s="1"/>
      <c r="L2137" s="1"/>
      <c r="M2137" s="1"/>
      <c r="N2137" s="1"/>
    </row>
    <row r="2138" spans="1:14" hidden="1">
      <c r="A2138" s="151">
        <f t="shared" si="125"/>
        <v>1</v>
      </c>
      <c r="B2138" s="155" t="s">
        <v>204</v>
      </c>
      <c r="C2138" s="156">
        <v>78012</v>
      </c>
      <c r="D2138" s="157" t="s">
        <v>1475</v>
      </c>
      <c r="E2138" s="158">
        <f>SUM(E2139:E2145)</f>
        <v>0</v>
      </c>
      <c r="F2138" s="158">
        <f>SUM(F2139:F2145)</f>
        <v>0</v>
      </c>
      <c r="G2138" s="158">
        <f>SUM(G2139:G2145)</f>
        <v>0</v>
      </c>
      <c r="H2138" s="154">
        <f t="shared" si="123"/>
        <v>0</v>
      </c>
      <c r="I2138" s="154">
        <f t="shared" si="124"/>
        <v>0</v>
      </c>
    </row>
    <row r="2139" spans="1:14" hidden="1">
      <c r="A2139" s="151">
        <f t="shared" si="125"/>
        <v>1</v>
      </c>
      <c r="B2139" s="151" t="s">
        <v>206</v>
      </c>
      <c r="C2139" s="159">
        <v>780121</v>
      </c>
      <c r="D2139" s="160" t="s">
        <v>1231</v>
      </c>
      <c r="E2139" s="161">
        <f>SUMIF(Lanç!$C$3:$C$114,C2139,Lanç!$F$3:$F$114)</f>
        <v>0</v>
      </c>
      <c r="F2139" s="161">
        <f>SUMIF(Lanç!$C$115:$C$6504,C2139,Lanç!$F$115:$F$6504)</f>
        <v>0</v>
      </c>
      <c r="G2139" s="161">
        <f>SUMIF(Lanç!$C$115:$C$6504,C2139,Lanç!$G$115:$G$6504)</f>
        <v>0</v>
      </c>
      <c r="H2139" s="162">
        <f t="shared" si="123"/>
        <v>0</v>
      </c>
      <c r="I2139" s="162">
        <f t="shared" si="124"/>
        <v>0</v>
      </c>
    </row>
    <row r="2140" spans="1:14" hidden="1">
      <c r="A2140" s="151">
        <f t="shared" si="125"/>
        <v>1</v>
      </c>
      <c r="B2140" s="151" t="s">
        <v>206</v>
      </c>
      <c r="C2140" s="159">
        <v>780122</v>
      </c>
      <c r="D2140" s="160" t="s">
        <v>1476</v>
      </c>
      <c r="E2140" s="161">
        <f>SUMIF(Lanç!$C$3:$C$114,C2140,Lanç!$F$3:$F$114)</f>
        <v>0</v>
      </c>
      <c r="F2140" s="161">
        <f>SUMIF(Lanç!$C$115:$C$6504,C2140,Lanç!$F$115:$F$6504)</f>
        <v>0</v>
      </c>
      <c r="G2140" s="161">
        <f>SUMIF(Lanç!$C$115:$C$6504,C2140,Lanç!$G$115:$G$6504)</f>
        <v>0</v>
      </c>
      <c r="H2140" s="162">
        <f t="shared" si="123"/>
        <v>0</v>
      </c>
      <c r="I2140" s="162">
        <f t="shared" si="124"/>
        <v>0</v>
      </c>
    </row>
    <row r="2141" spans="1:14" hidden="1">
      <c r="A2141" s="151">
        <f t="shared" si="125"/>
        <v>1</v>
      </c>
      <c r="B2141" s="151" t="s">
        <v>206</v>
      </c>
      <c r="C2141" s="159">
        <v>780123</v>
      </c>
      <c r="D2141" s="160" t="s">
        <v>1477</v>
      </c>
      <c r="E2141" s="161">
        <f>SUMIF(Lanç!$C$3:$C$114,C2141,Lanç!$F$3:$F$114)</f>
        <v>0</v>
      </c>
      <c r="F2141" s="161">
        <f>SUMIF(Lanç!$C$115:$C$6504,C2141,Lanç!$F$115:$F$6504)</f>
        <v>0</v>
      </c>
      <c r="G2141" s="161">
        <f>SUMIF(Lanç!$C$115:$C$6504,C2141,Lanç!$G$115:$G$6504)</f>
        <v>0</v>
      </c>
      <c r="H2141" s="162">
        <f t="shared" si="123"/>
        <v>0</v>
      </c>
      <c r="I2141" s="162">
        <f t="shared" si="124"/>
        <v>0</v>
      </c>
    </row>
    <row r="2142" spans="1:14" hidden="1">
      <c r="A2142" s="151">
        <f t="shared" si="125"/>
        <v>1</v>
      </c>
      <c r="B2142" s="151" t="s">
        <v>206</v>
      </c>
      <c r="C2142" s="159">
        <v>780124</v>
      </c>
      <c r="D2142" s="160" t="s">
        <v>1233</v>
      </c>
      <c r="E2142" s="161">
        <f>SUMIF(Lanç!$C$3:$C$114,C2142,Lanç!$F$3:$F$114)</f>
        <v>0</v>
      </c>
      <c r="F2142" s="161">
        <f>SUMIF(Lanç!$C$115:$C$6504,C2142,Lanç!$F$115:$F$6504)</f>
        <v>0</v>
      </c>
      <c r="G2142" s="161">
        <f>SUMIF(Lanç!$C$115:$C$6504,C2142,Lanç!$G$115:$G$6504)</f>
        <v>0</v>
      </c>
      <c r="H2142" s="162">
        <f t="shared" si="123"/>
        <v>0</v>
      </c>
      <c r="I2142" s="162">
        <f t="shared" si="124"/>
        <v>0</v>
      </c>
    </row>
    <row r="2143" spans="1:14" hidden="1">
      <c r="A2143" s="151">
        <f t="shared" si="125"/>
        <v>1</v>
      </c>
      <c r="B2143" s="151" t="s">
        <v>206</v>
      </c>
      <c r="C2143" s="159">
        <v>780125</v>
      </c>
      <c r="D2143" s="160" t="s">
        <v>1234</v>
      </c>
      <c r="E2143" s="161">
        <f>SUMIF(Lanç!$C$3:$C$114,C2143,Lanç!$F$3:$F$114)</f>
        <v>0</v>
      </c>
      <c r="F2143" s="161">
        <f>SUMIF(Lanç!$C$115:$C$6504,C2143,Lanç!$F$115:$F$6504)</f>
        <v>0</v>
      </c>
      <c r="G2143" s="161">
        <f>SUMIF(Lanç!$C$115:$C$6504,C2143,Lanç!$G$115:$G$6504)</f>
        <v>0</v>
      </c>
      <c r="H2143" s="162">
        <f t="shared" si="123"/>
        <v>0</v>
      </c>
      <c r="I2143" s="162">
        <f t="shared" si="124"/>
        <v>0</v>
      </c>
    </row>
    <row r="2144" spans="1:14" hidden="1">
      <c r="A2144" s="151">
        <f t="shared" si="125"/>
        <v>1</v>
      </c>
      <c r="B2144" s="151" t="s">
        <v>206</v>
      </c>
      <c r="C2144" s="159">
        <v>780126</v>
      </c>
      <c r="D2144" s="160" t="s">
        <v>1235</v>
      </c>
      <c r="E2144" s="161">
        <f>SUMIF(Lanç!$C$3:$C$114,C2144,Lanç!$F$3:$F$114)</f>
        <v>0</v>
      </c>
      <c r="F2144" s="161">
        <f>SUMIF(Lanç!$C$115:$C$6504,C2144,Lanç!$F$115:$F$6504)</f>
        <v>0</v>
      </c>
      <c r="G2144" s="161">
        <f>SUMIF(Lanç!$C$115:$C$6504,C2144,Lanç!$G$115:$G$6504)</f>
        <v>0</v>
      </c>
      <c r="H2144" s="162">
        <f t="shared" si="123"/>
        <v>0</v>
      </c>
      <c r="I2144" s="162">
        <f t="shared" si="124"/>
        <v>0</v>
      </c>
    </row>
    <row r="2145" spans="1:14" hidden="1">
      <c r="A2145" s="151">
        <f t="shared" si="125"/>
        <v>1</v>
      </c>
      <c r="B2145" s="151" t="s">
        <v>206</v>
      </c>
      <c r="C2145" s="159">
        <v>780129</v>
      </c>
      <c r="D2145" s="160" t="s">
        <v>1478</v>
      </c>
      <c r="E2145" s="161">
        <f>SUMIF(Lanç!$C$3:$C$114,C2145,Lanç!$F$3:$F$114)</f>
        <v>0</v>
      </c>
      <c r="F2145" s="161">
        <f>SUMIF(Lanç!$C$115:$C$6504,C2145,Lanç!$F$115:$F$6504)</f>
        <v>0</v>
      </c>
      <c r="G2145" s="161">
        <f>SUMIF(Lanç!$C$115:$C$6504,C2145,Lanç!$G$115:$G$6504)</f>
        <v>0</v>
      </c>
      <c r="H2145" s="162">
        <f t="shared" si="123"/>
        <v>0</v>
      </c>
      <c r="I2145" s="162">
        <f t="shared" si="124"/>
        <v>0</v>
      </c>
      <c r="J2145" s="1"/>
      <c r="K2145" s="1"/>
      <c r="L2145" s="1"/>
      <c r="M2145" s="1"/>
      <c r="N2145" s="1"/>
    </row>
    <row r="2146" spans="1:14" hidden="1">
      <c r="A2146" s="151">
        <f t="shared" si="125"/>
        <v>1</v>
      </c>
      <c r="B2146" s="155" t="s">
        <v>204</v>
      </c>
      <c r="C2146" s="156">
        <v>78013</v>
      </c>
      <c r="D2146" s="157" t="s">
        <v>1479</v>
      </c>
      <c r="E2146" s="158">
        <f>SUM(E2147:E2151)</f>
        <v>0</v>
      </c>
      <c r="F2146" s="158">
        <f>SUM(F2147:F2151)</f>
        <v>0</v>
      </c>
      <c r="G2146" s="158">
        <f>SUM(G2147:G2151)</f>
        <v>0</v>
      </c>
      <c r="H2146" s="154">
        <f t="shared" si="123"/>
        <v>0</v>
      </c>
      <c r="I2146" s="154">
        <f t="shared" si="124"/>
        <v>0</v>
      </c>
    </row>
    <row r="2147" spans="1:14" hidden="1">
      <c r="A2147" s="151">
        <f t="shared" si="125"/>
        <v>1</v>
      </c>
      <c r="B2147" s="151" t="s">
        <v>206</v>
      </c>
      <c r="C2147" s="159">
        <v>780131</v>
      </c>
      <c r="D2147" s="160" t="s">
        <v>1238</v>
      </c>
      <c r="E2147" s="161">
        <f>SUMIF(Lanç!$C$3:$C$114,C2147,Lanç!$F$3:$F$114)</f>
        <v>0</v>
      </c>
      <c r="F2147" s="161">
        <f>SUMIF(Lanç!$C$115:$C$6504,C2147,Lanç!$F$115:$F$6504)</f>
        <v>0</v>
      </c>
      <c r="G2147" s="161">
        <f>SUMIF(Lanç!$C$115:$C$6504,C2147,Lanç!$G$115:$G$6504)</f>
        <v>0</v>
      </c>
      <c r="H2147" s="162">
        <f t="shared" si="123"/>
        <v>0</v>
      </c>
      <c r="I2147" s="162">
        <f t="shared" si="124"/>
        <v>0</v>
      </c>
    </row>
    <row r="2148" spans="1:14" hidden="1">
      <c r="A2148" s="151">
        <f t="shared" si="125"/>
        <v>1</v>
      </c>
      <c r="B2148" s="151" t="s">
        <v>206</v>
      </c>
      <c r="C2148" s="159">
        <v>780132</v>
      </c>
      <c r="D2148" s="160" t="s">
        <v>1239</v>
      </c>
      <c r="E2148" s="161">
        <f>SUMIF(Lanç!$C$3:$C$114,C2148,Lanç!$F$3:$F$114)</f>
        <v>0</v>
      </c>
      <c r="F2148" s="161">
        <f>SUMIF(Lanç!$C$115:$C$6504,C2148,Lanç!$F$115:$F$6504)</f>
        <v>0</v>
      </c>
      <c r="G2148" s="161">
        <f>SUMIF(Lanç!$C$115:$C$6504,C2148,Lanç!$G$115:$G$6504)</f>
        <v>0</v>
      </c>
      <c r="H2148" s="162">
        <f t="shared" si="123"/>
        <v>0</v>
      </c>
      <c r="I2148" s="162">
        <f t="shared" si="124"/>
        <v>0</v>
      </c>
    </row>
    <row r="2149" spans="1:14" hidden="1">
      <c r="A2149" s="151">
        <f t="shared" si="125"/>
        <v>1</v>
      </c>
      <c r="B2149" s="151" t="s">
        <v>206</v>
      </c>
      <c r="C2149" s="159">
        <v>780133</v>
      </c>
      <c r="D2149" s="160" t="s">
        <v>1240</v>
      </c>
      <c r="E2149" s="161">
        <f>SUMIF(Lanç!$C$3:$C$114,C2149,Lanç!$F$3:$F$114)</f>
        <v>0</v>
      </c>
      <c r="F2149" s="161">
        <f>SUMIF(Lanç!$C$115:$C$6504,C2149,Lanç!$F$115:$F$6504)</f>
        <v>0</v>
      </c>
      <c r="G2149" s="161">
        <f>SUMIF(Lanç!$C$115:$C$6504,C2149,Lanç!$G$115:$G$6504)</f>
        <v>0</v>
      </c>
      <c r="H2149" s="162">
        <f t="shared" si="123"/>
        <v>0</v>
      </c>
      <c r="I2149" s="162">
        <f t="shared" si="124"/>
        <v>0</v>
      </c>
    </row>
    <row r="2150" spans="1:14" hidden="1">
      <c r="A2150" s="151">
        <f t="shared" si="125"/>
        <v>1</v>
      </c>
      <c r="B2150" s="151" t="s">
        <v>206</v>
      </c>
      <c r="C2150" s="159">
        <v>780134</v>
      </c>
      <c r="D2150" s="160" t="s">
        <v>1241</v>
      </c>
      <c r="E2150" s="161">
        <f>SUMIF(Lanç!$C$3:$C$114,C2150,Lanç!$F$3:$F$114)</f>
        <v>0</v>
      </c>
      <c r="F2150" s="161">
        <f>SUMIF(Lanç!$C$115:$C$6504,C2150,Lanç!$F$115:$F$6504)</f>
        <v>0</v>
      </c>
      <c r="G2150" s="161">
        <f>SUMIF(Lanç!$C$115:$C$6504,C2150,Lanç!$G$115:$G$6504)</f>
        <v>0</v>
      </c>
      <c r="H2150" s="162">
        <f t="shared" si="123"/>
        <v>0</v>
      </c>
      <c r="I2150" s="162">
        <f t="shared" si="124"/>
        <v>0</v>
      </c>
    </row>
    <row r="2151" spans="1:14" hidden="1">
      <c r="A2151" s="151">
        <f t="shared" si="125"/>
        <v>1</v>
      </c>
      <c r="B2151" s="151" t="s">
        <v>206</v>
      </c>
      <c r="C2151" s="159">
        <v>780139</v>
      </c>
      <c r="D2151" s="160" t="s">
        <v>1242</v>
      </c>
      <c r="E2151" s="161">
        <f>SUMIF(Lanç!$C$3:$C$114,C2151,Lanç!$F$3:$F$114)</f>
        <v>0</v>
      </c>
      <c r="F2151" s="161">
        <f>SUMIF(Lanç!$C$115:$C$6504,C2151,Lanç!$F$115:$F$6504)</f>
        <v>0</v>
      </c>
      <c r="G2151" s="161">
        <f>SUMIF(Lanç!$C$115:$C$6504,C2151,Lanç!$G$115:$G$6504)</f>
        <v>0</v>
      </c>
      <c r="H2151" s="162">
        <f t="shared" si="123"/>
        <v>0</v>
      </c>
      <c r="I2151" s="162">
        <f t="shared" si="124"/>
        <v>0</v>
      </c>
      <c r="J2151" s="1"/>
      <c r="K2151" s="1"/>
      <c r="L2151" s="1"/>
      <c r="M2151" s="1"/>
      <c r="N2151" s="1"/>
    </row>
    <row r="2152" spans="1:14" hidden="1">
      <c r="A2152" s="151">
        <f t="shared" si="125"/>
        <v>1</v>
      </c>
      <c r="B2152" s="155" t="s">
        <v>204</v>
      </c>
      <c r="C2152" s="156">
        <v>7802</v>
      </c>
      <c r="D2152" s="157" t="s">
        <v>1480</v>
      </c>
      <c r="E2152" s="158">
        <f>SUM(E2153:E2154)</f>
        <v>0</v>
      </c>
      <c r="F2152" s="158">
        <f>SUM(F2153:F2154)</f>
        <v>0</v>
      </c>
      <c r="G2152" s="158">
        <f>SUM(G2153:G2154)</f>
        <v>0</v>
      </c>
      <c r="H2152" s="154">
        <f t="shared" ref="H2152:H2215" si="126">(F2152)-(G2152)</f>
        <v>0</v>
      </c>
      <c r="I2152" s="154">
        <f t="shared" ref="I2152:I2215" si="127">(E2152)+(H2152)</f>
        <v>0</v>
      </c>
    </row>
    <row r="2153" spans="1:14" hidden="1">
      <c r="A2153" s="151">
        <f t="shared" si="125"/>
        <v>1</v>
      </c>
      <c r="B2153" s="151" t="s">
        <v>206</v>
      </c>
      <c r="C2153" s="159">
        <v>78021</v>
      </c>
      <c r="D2153" s="160" t="s">
        <v>283</v>
      </c>
      <c r="E2153" s="161">
        <f>SUMIF(Lanç!$C$3:$C$114,C2153,Lanç!$F$3:$F$114)</f>
        <v>0</v>
      </c>
      <c r="F2153" s="161">
        <f>SUMIF(Lanç!$C$115:$C$6504,C2153,Lanç!$F$115:$F$6504)</f>
        <v>0</v>
      </c>
      <c r="G2153" s="161">
        <f>SUMIF(Lanç!$C$115:$C$6504,C2153,Lanç!$G$115:$G$6504)</f>
        <v>0</v>
      </c>
      <c r="H2153" s="162">
        <f t="shared" si="126"/>
        <v>0</v>
      </c>
      <c r="I2153" s="162">
        <f t="shared" si="127"/>
        <v>0</v>
      </c>
    </row>
    <row r="2154" spans="1:14" hidden="1">
      <c r="A2154" s="151">
        <f t="shared" si="125"/>
        <v>1</v>
      </c>
      <c r="B2154" s="151" t="s">
        <v>206</v>
      </c>
      <c r="C2154" s="159">
        <v>78022</v>
      </c>
      <c r="D2154" s="160" t="s">
        <v>287</v>
      </c>
      <c r="E2154" s="161">
        <f>SUMIF(Lanç!$C$3:$C$114,C2154,Lanç!$F$3:$F$114)</f>
        <v>0</v>
      </c>
      <c r="F2154" s="161">
        <f>SUMIF(Lanç!$C$115:$C$6504,C2154,Lanç!$F$115:$F$6504)</f>
        <v>0</v>
      </c>
      <c r="G2154" s="161">
        <f>SUMIF(Lanç!$C$115:$C$6504,C2154,Lanç!$G$115:$G$6504)</f>
        <v>0</v>
      </c>
      <c r="H2154" s="162">
        <f t="shared" si="126"/>
        <v>0</v>
      </c>
      <c r="I2154" s="162">
        <f t="shared" si="127"/>
        <v>0</v>
      </c>
      <c r="J2154" s="1"/>
      <c r="K2154" s="1"/>
      <c r="L2154" s="1"/>
      <c r="M2154" s="1"/>
      <c r="N2154" s="1"/>
    </row>
    <row r="2155" spans="1:14" hidden="1">
      <c r="A2155" s="151">
        <f t="shared" si="125"/>
        <v>1</v>
      </c>
      <c r="B2155" s="155" t="s">
        <v>204</v>
      </c>
      <c r="C2155" s="156">
        <v>7803</v>
      </c>
      <c r="D2155" s="157" t="s">
        <v>1481</v>
      </c>
      <c r="E2155" s="158">
        <f>SUM(E2156:E2159)</f>
        <v>0</v>
      </c>
      <c r="F2155" s="158">
        <f>SUM(F2156:F2159)</f>
        <v>0</v>
      </c>
      <c r="G2155" s="158">
        <f>SUM(G2156:G2159)</f>
        <v>0</v>
      </c>
      <c r="H2155" s="154">
        <f t="shared" si="126"/>
        <v>0</v>
      </c>
      <c r="I2155" s="154">
        <f t="shared" si="127"/>
        <v>0</v>
      </c>
    </row>
    <row r="2156" spans="1:14" hidden="1">
      <c r="A2156" s="151">
        <f t="shared" si="125"/>
        <v>1</v>
      </c>
      <c r="B2156" s="151" t="s">
        <v>206</v>
      </c>
      <c r="C2156" s="159">
        <v>78031</v>
      </c>
      <c r="D2156" s="160" t="s">
        <v>1482</v>
      </c>
      <c r="E2156" s="161">
        <f>SUMIF(Lanç!$C$3:$C$114,C2156,Lanç!$F$3:$F$114)</f>
        <v>0</v>
      </c>
      <c r="F2156" s="161">
        <f>SUMIF(Lanç!$C$115:$C$6504,C2156,Lanç!$F$115:$F$6504)</f>
        <v>0</v>
      </c>
      <c r="G2156" s="161">
        <f>SUMIF(Lanç!$C$115:$C$6504,C2156,Lanç!$G$115:$G$6504)</f>
        <v>0</v>
      </c>
      <c r="H2156" s="162">
        <f t="shared" si="126"/>
        <v>0</v>
      </c>
      <c r="I2156" s="162">
        <f t="shared" si="127"/>
        <v>0</v>
      </c>
    </row>
    <row r="2157" spans="1:14" hidden="1">
      <c r="A2157" s="151">
        <f t="shared" ref="A2157:A2224" si="128">IF(E2157+F2157+G2157+H2157+I2157=0,1,0)</f>
        <v>1</v>
      </c>
      <c r="B2157" s="151" t="s">
        <v>206</v>
      </c>
      <c r="C2157" s="159">
        <v>78032</v>
      </c>
      <c r="D2157" s="160" t="s">
        <v>1483</v>
      </c>
      <c r="E2157" s="161">
        <f>SUMIF(Lanç!$C$3:$C$114,C2157,Lanç!$F$3:$F$114)</f>
        <v>0</v>
      </c>
      <c r="F2157" s="161">
        <f>SUMIF(Lanç!$C$115:$C$6504,C2157,Lanç!$F$115:$F$6504)</f>
        <v>0</v>
      </c>
      <c r="G2157" s="161">
        <f>SUMIF(Lanç!$C$115:$C$6504,C2157,Lanç!$G$115:$G$6504)</f>
        <v>0</v>
      </c>
      <c r="H2157" s="162">
        <f t="shared" si="126"/>
        <v>0</v>
      </c>
      <c r="I2157" s="162">
        <f t="shared" si="127"/>
        <v>0</v>
      </c>
    </row>
    <row r="2158" spans="1:14" hidden="1">
      <c r="A2158" s="151">
        <f t="shared" si="128"/>
        <v>1</v>
      </c>
      <c r="B2158" s="151" t="s">
        <v>206</v>
      </c>
      <c r="C2158" s="159">
        <v>78033</v>
      </c>
      <c r="D2158" s="160" t="s">
        <v>1484</v>
      </c>
      <c r="E2158" s="161">
        <f>SUMIF(Lanç!$C$3:$C$114,C2158,Lanç!$F$3:$F$114)</f>
        <v>0</v>
      </c>
      <c r="F2158" s="161">
        <f>SUMIF(Lanç!$C$115:$C$6504,C2158,Lanç!$F$115:$F$6504)</f>
        <v>0</v>
      </c>
      <c r="G2158" s="161">
        <f>SUMIF(Lanç!$C$115:$C$6504,C2158,Lanç!$G$115:$G$6504)</f>
        <v>0</v>
      </c>
      <c r="H2158" s="162">
        <f t="shared" si="126"/>
        <v>0</v>
      </c>
      <c r="I2158" s="162">
        <f t="shared" si="127"/>
        <v>0</v>
      </c>
    </row>
    <row r="2159" spans="1:14" hidden="1">
      <c r="A2159" s="151">
        <f t="shared" si="128"/>
        <v>1</v>
      </c>
      <c r="B2159" s="151" t="s">
        <v>206</v>
      </c>
      <c r="C2159" s="159">
        <v>78034</v>
      </c>
      <c r="D2159" s="160" t="s">
        <v>1485</v>
      </c>
      <c r="E2159" s="161">
        <f>SUMIF(Lanç!$C$3:$C$114,C2159,Lanç!$F$3:$F$114)</f>
        <v>0</v>
      </c>
      <c r="F2159" s="161">
        <f>SUMIF(Lanç!$C$115:$C$6504,C2159,Lanç!$F$115:$F$6504)</f>
        <v>0</v>
      </c>
      <c r="G2159" s="161">
        <f>SUMIF(Lanç!$C$115:$C$6504,C2159,Lanç!$G$115:$G$6504)</f>
        <v>0</v>
      </c>
      <c r="H2159" s="162">
        <f t="shared" si="126"/>
        <v>0</v>
      </c>
      <c r="I2159" s="162">
        <f t="shared" si="127"/>
        <v>0</v>
      </c>
    </row>
    <row r="2160" spans="1:14" hidden="1">
      <c r="A2160" s="151">
        <f t="shared" si="128"/>
        <v>1</v>
      </c>
      <c r="B2160" s="155" t="s">
        <v>204</v>
      </c>
      <c r="C2160" s="156">
        <v>7804</v>
      </c>
      <c r="D2160" s="157" t="s">
        <v>1486</v>
      </c>
      <c r="E2160" s="158">
        <f>SUM(E2161:E2162)</f>
        <v>0</v>
      </c>
      <c r="F2160" s="158">
        <f>SUM(F2161:F2162)</f>
        <v>0</v>
      </c>
      <c r="G2160" s="158">
        <f>SUM(G2161:G2162)</f>
        <v>0</v>
      </c>
      <c r="H2160" s="154">
        <f t="shared" si="126"/>
        <v>0</v>
      </c>
      <c r="I2160" s="154">
        <f t="shared" si="127"/>
        <v>0</v>
      </c>
    </row>
    <row r="2161" spans="1:14" hidden="1">
      <c r="A2161" s="151">
        <f t="shared" si="128"/>
        <v>1</v>
      </c>
      <c r="B2161" s="151" t="s">
        <v>206</v>
      </c>
      <c r="C2161" s="159">
        <v>78041</v>
      </c>
      <c r="D2161" s="160" t="s">
        <v>1487</v>
      </c>
      <c r="E2161" s="161">
        <f>SUMIF(Lanç!$C$3:$C$114,C2161,Lanç!$F$3:$F$114)</f>
        <v>0</v>
      </c>
      <c r="F2161" s="161">
        <f>SUMIF(Lanç!$C$115:$C$6504,C2161,Lanç!$F$115:$F$6504)</f>
        <v>0</v>
      </c>
      <c r="G2161" s="161">
        <f>SUMIF(Lanç!$C$115:$C$6504,C2161,Lanç!$G$115:$G$6504)</f>
        <v>0</v>
      </c>
      <c r="H2161" s="162">
        <f t="shared" si="126"/>
        <v>0</v>
      </c>
      <c r="I2161" s="162">
        <f t="shared" si="127"/>
        <v>0</v>
      </c>
    </row>
    <row r="2162" spans="1:14" hidden="1">
      <c r="A2162" s="151">
        <f t="shared" si="128"/>
        <v>1</v>
      </c>
      <c r="B2162" s="151" t="s">
        <v>206</v>
      </c>
      <c r="C2162" s="159">
        <v>7805</v>
      </c>
      <c r="D2162" s="160" t="s">
        <v>1488</v>
      </c>
      <c r="E2162" s="161">
        <f>SUMIF(Lanç!$C$3:$C$114,C2162,Lanç!$F$3:$F$114)</f>
        <v>0</v>
      </c>
      <c r="F2162" s="161">
        <f>SUMIF(Lanç!$C$115:$C$6504,C2162,Lanç!$F$115:$F$6504)</f>
        <v>0</v>
      </c>
      <c r="G2162" s="161">
        <f>SUMIF(Lanç!$C$115:$C$6504,C2162,Lanç!$G$115:$G$6504)</f>
        <v>0</v>
      </c>
      <c r="H2162" s="162">
        <f t="shared" si="126"/>
        <v>0</v>
      </c>
      <c r="I2162" s="162">
        <f t="shared" si="127"/>
        <v>0</v>
      </c>
      <c r="J2162" s="2"/>
      <c r="K2162" s="2"/>
      <c r="L2162" s="2"/>
      <c r="M2162" s="2"/>
      <c r="N2162" s="2"/>
    </row>
    <row r="2163" spans="1:14" hidden="1">
      <c r="A2163" s="151">
        <f t="shared" si="128"/>
        <v>1</v>
      </c>
      <c r="B2163" s="155" t="s">
        <v>204</v>
      </c>
      <c r="C2163" s="156">
        <v>7806</v>
      </c>
      <c r="D2163" s="157" t="s">
        <v>1489</v>
      </c>
      <c r="E2163" s="158">
        <f>SUM(E2164:E2166)</f>
        <v>0</v>
      </c>
      <c r="F2163" s="158">
        <f>SUM(F2164:F2166)</f>
        <v>0</v>
      </c>
      <c r="G2163" s="158">
        <f>SUM(G2164:G2166)</f>
        <v>0</v>
      </c>
      <c r="H2163" s="154">
        <f t="shared" si="126"/>
        <v>0</v>
      </c>
      <c r="I2163" s="154">
        <f t="shared" si="127"/>
        <v>0</v>
      </c>
    </row>
    <row r="2164" spans="1:14" hidden="1">
      <c r="A2164" s="151">
        <f t="shared" si="128"/>
        <v>1</v>
      </c>
      <c r="B2164" s="151" t="s">
        <v>206</v>
      </c>
      <c r="C2164" s="159">
        <v>78061</v>
      </c>
      <c r="D2164" s="160" t="s">
        <v>1490</v>
      </c>
      <c r="E2164" s="161">
        <f>SUMIF(Lanç!$C$3:$C$114,C2164,Lanç!$F$3:$F$114)</f>
        <v>0</v>
      </c>
      <c r="F2164" s="161">
        <f>SUMIF(Lanç!$C$115:$C$6504,C2164,Lanç!$F$115:$F$6504)</f>
        <v>0</v>
      </c>
      <c r="G2164" s="161">
        <f>SUMIF(Lanç!$C$115:$C$6504,C2164,Lanç!$G$115:$G$6504)</f>
        <v>0</v>
      </c>
      <c r="H2164" s="162">
        <f t="shared" si="126"/>
        <v>0</v>
      </c>
      <c r="I2164" s="162">
        <f t="shared" si="127"/>
        <v>0</v>
      </c>
    </row>
    <row r="2165" spans="1:14" hidden="1">
      <c r="A2165" s="151">
        <f t="shared" si="128"/>
        <v>1</v>
      </c>
      <c r="B2165" s="151" t="s">
        <v>206</v>
      </c>
      <c r="C2165" s="159">
        <v>78062</v>
      </c>
      <c r="D2165" s="160" t="s">
        <v>1491</v>
      </c>
      <c r="E2165" s="161">
        <f>SUMIF(Lanç!$C$3:$C$114,C2165,Lanç!$F$3:$F$114)</f>
        <v>0</v>
      </c>
      <c r="F2165" s="161">
        <f>SUMIF(Lanç!$C$115:$C$6504,C2165,Lanç!$F$115:$F$6504)</f>
        <v>0</v>
      </c>
      <c r="G2165" s="161">
        <f>SUMIF(Lanç!$C$115:$C$6504,C2165,Lanç!$G$115:$G$6504)</f>
        <v>0</v>
      </c>
      <c r="H2165" s="162">
        <f t="shared" si="126"/>
        <v>0</v>
      </c>
      <c r="I2165" s="162">
        <f t="shared" si="127"/>
        <v>0</v>
      </c>
    </row>
    <row r="2166" spans="1:14" hidden="1">
      <c r="A2166" s="151">
        <f t="shared" si="128"/>
        <v>1</v>
      </c>
      <c r="B2166" s="151" t="s">
        <v>206</v>
      </c>
      <c r="C2166" s="159">
        <v>78063</v>
      </c>
      <c r="D2166" s="160" t="s">
        <v>1492</v>
      </c>
      <c r="E2166" s="161">
        <f>SUMIF(Lanç!$C$3:$C$114,C2166,Lanç!$F$3:$F$114)</f>
        <v>0</v>
      </c>
      <c r="F2166" s="161">
        <f>SUMIF(Lanç!$C$115:$C$6504,C2166,Lanç!$F$115:$F$6504)</f>
        <v>0</v>
      </c>
      <c r="G2166" s="161">
        <f>SUMIF(Lanç!$C$115:$C$6504,C2166,Lanç!$G$115:$G$6504)</f>
        <v>0</v>
      </c>
      <c r="H2166" s="162">
        <f t="shared" si="126"/>
        <v>0</v>
      </c>
      <c r="I2166" s="162">
        <f t="shared" si="127"/>
        <v>0</v>
      </c>
      <c r="J2166" s="1"/>
      <c r="K2166" s="1"/>
      <c r="L2166" s="1"/>
      <c r="M2166" s="1"/>
      <c r="N2166" s="1"/>
    </row>
    <row r="2167" spans="1:14" hidden="1">
      <c r="A2167" s="151">
        <f t="shared" si="128"/>
        <v>1</v>
      </c>
      <c r="B2167" s="151" t="s">
        <v>206</v>
      </c>
      <c r="C2167" s="159">
        <v>7807</v>
      </c>
      <c r="D2167" s="160" t="s">
        <v>1493</v>
      </c>
      <c r="E2167" s="161">
        <f>SUMIF(Lanç!$C$3:$C$114,C2167,Lanç!$F$3:$F$114)</f>
        <v>0</v>
      </c>
      <c r="F2167" s="161">
        <f>SUMIF(Lanç!$C$115:$C$6504,C2167,Lanç!$F$115:$F$6504)</f>
        <v>0</v>
      </c>
      <c r="G2167" s="161">
        <f>SUMIF(Lanç!$C$115:$C$6504,C2167,Lanç!$G$115:$G$6504)</f>
        <v>0</v>
      </c>
      <c r="H2167" s="162">
        <f t="shared" si="126"/>
        <v>0</v>
      </c>
      <c r="I2167" s="162">
        <f t="shared" si="127"/>
        <v>0</v>
      </c>
    </row>
    <row r="2168" spans="1:14" hidden="1">
      <c r="A2168" s="151">
        <f t="shared" si="128"/>
        <v>1</v>
      </c>
      <c r="B2168" s="151" t="s">
        <v>206</v>
      </c>
      <c r="C2168" s="159">
        <v>7808</v>
      </c>
      <c r="D2168" s="160" t="s">
        <v>1252</v>
      </c>
      <c r="E2168" s="161">
        <f>SUMIF(Lanç!$C$3:$C$114,C2168,Lanç!$F$3:$F$114)</f>
        <v>0</v>
      </c>
      <c r="F2168" s="161">
        <f>SUMIF(Lanç!$C$115:$C$6504,C2168,Lanç!$F$115:$F$6504)</f>
        <v>0</v>
      </c>
      <c r="G2168" s="161">
        <f>SUMIF(Lanç!$C$115:$C$6504,C2168,Lanç!$G$115:$G$6504)</f>
        <v>0</v>
      </c>
      <c r="H2168" s="162">
        <f t="shared" si="126"/>
        <v>0</v>
      </c>
      <c r="I2168" s="162">
        <f t="shared" si="127"/>
        <v>0</v>
      </c>
    </row>
    <row r="2169" spans="1:14" hidden="1">
      <c r="A2169" s="151">
        <f t="shared" si="128"/>
        <v>1</v>
      </c>
      <c r="B2169" s="151" t="s">
        <v>206</v>
      </c>
      <c r="C2169" s="159">
        <v>7809</v>
      </c>
      <c r="D2169" s="160" t="s">
        <v>1494</v>
      </c>
      <c r="E2169" s="161">
        <f>SUMIF(Lanç!$C$3:$C$114,C2169,Lanç!$F$3:$F$114)</f>
        <v>0</v>
      </c>
      <c r="F2169" s="161">
        <f>SUMIF(Lanç!$C$115:$C$6504,C2169,Lanç!$F$115:$F$6504)</f>
        <v>0</v>
      </c>
      <c r="G2169" s="161">
        <f>SUMIF(Lanç!$C$115:$C$6504,C2169,Lanç!$G$115:$G$6504)</f>
        <v>0</v>
      </c>
      <c r="H2169" s="162">
        <f t="shared" si="126"/>
        <v>0</v>
      </c>
      <c r="I2169" s="162">
        <f t="shared" si="127"/>
        <v>0</v>
      </c>
    </row>
    <row r="2170" spans="1:14" hidden="1">
      <c r="A2170" s="151">
        <f t="shared" si="128"/>
        <v>1</v>
      </c>
      <c r="B2170" s="155" t="s">
        <v>204</v>
      </c>
      <c r="C2170" s="156">
        <v>78010</v>
      </c>
      <c r="D2170" s="157" t="s">
        <v>1254</v>
      </c>
      <c r="E2170" s="158">
        <f>SUM(E2171:E2174)</f>
        <v>0</v>
      </c>
      <c r="F2170" s="158">
        <f>SUM(F2171:F2174)</f>
        <v>0</v>
      </c>
      <c r="G2170" s="158">
        <f>SUM(G2171:G2174)</f>
        <v>0</v>
      </c>
      <c r="H2170" s="154">
        <f t="shared" si="126"/>
        <v>0</v>
      </c>
      <c r="I2170" s="154">
        <f t="shared" si="127"/>
        <v>0</v>
      </c>
    </row>
    <row r="2171" spans="1:14" hidden="1">
      <c r="A2171" s="151">
        <f t="shared" si="128"/>
        <v>1</v>
      </c>
      <c r="B2171" s="151" t="s">
        <v>206</v>
      </c>
      <c r="C2171" s="159">
        <v>780101</v>
      </c>
      <c r="D2171" s="160" t="s">
        <v>1495</v>
      </c>
      <c r="E2171" s="161">
        <f>SUMIF(Lanç!$C$3:$C$114,C2171,Lanç!$F$3:$F$114)</f>
        <v>0</v>
      </c>
      <c r="F2171" s="161">
        <f>SUMIF(Lanç!$C$115:$C$6504,C2171,Lanç!$F$115:$F$6504)</f>
        <v>0</v>
      </c>
      <c r="G2171" s="161">
        <f>SUMIF(Lanç!$C$115:$C$6504,C2171,Lanç!$G$115:$G$6504)</f>
        <v>0</v>
      </c>
      <c r="H2171" s="162">
        <f t="shared" si="126"/>
        <v>0</v>
      </c>
      <c r="I2171" s="162">
        <f t="shared" si="127"/>
        <v>0</v>
      </c>
      <c r="J2171" s="1"/>
      <c r="K2171" s="1"/>
      <c r="L2171" s="1"/>
      <c r="M2171" s="1"/>
      <c r="N2171" s="1"/>
    </row>
    <row r="2172" spans="1:14" hidden="1">
      <c r="A2172" s="151">
        <f t="shared" si="128"/>
        <v>1</v>
      </c>
      <c r="B2172" s="151" t="s">
        <v>206</v>
      </c>
      <c r="C2172" s="159">
        <v>780102</v>
      </c>
      <c r="D2172" s="160" t="s">
        <v>1427</v>
      </c>
      <c r="E2172" s="161">
        <f>SUMIF(Lanç!$C$3:$C$114,C2172,Lanç!$F$3:$F$114)</f>
        <v>0</v>
      </c>
      <c r="F2172" s="161">
        <f>SUMIF(Lanç!$C$115:$C$6504,C2172,Lanç!$F$115:$F$6504)</f>
        <v>0</v>
      </c>
      <c r="G2172" s="161">
        <f>SUMIF(Lanç!$C$115:$C$6504,C2172,Lanç!$G$115:$G$6504)</f>
        <v>0</v>
      </c>
      <c r="H2172" s="162">
        <f t="shared" si="126"/>
        <v>0</v>
      </c>
      <c r="I2172" s="162">
        <f t="shared" si="127"/>
        <v>0</v>
      </c>
      <c r="J2172" s="1"/>
      <c r="K2172" s="1"/>
      <c r="L2172" s="1"/>
      <c r="M2172" s="1"/>
      <c r="N2172" s="1"/>
    </row>
    <row r="2173" spans="1:14" hidden="1">
      <c r="A2173" s="151">
        <f t="shared" si="128"/>
        <v>1</v>
      </c>
      <c r="B2173" s="151" t="s">
        <v>206</v>
      </c>
      <c r="C2173" s="159">
        <v>780103</v>
      </c>
      <c r="D2173" s="160" t="s">
        <v>1881</v>
      </c>
      <c r="E2173" s="161">
        <f>SUMIF(Lanç!$C$3:$C$114,C2173,Lanç!$F$3:$F$114)</f>
        <v>0</v>
      </c>
      <c r="F2173" s="161">
        <f>SUMIF(Lanç!$C$115:$C$6504,C2173,Lanç!$F$115:$F$6504)</f>
        <v>0</v>
      </c>
      <c r="G2173" s="161">
        <f>SUMIF(Lanç!$C$115:$C$6504,C2173,Lanç!$G$115:$G$6504)</f>
        <v>0</v>
      </c>
      <c r="H2173" s="162">
        <f t="shared" si="126"/>
        <v>0</v>
      </c>
      <c r="I2173" s="162">
        <f t="shared" si="127"/>
        <v>0</v>
      </c>
      <c r="J2173" s="1"/>
      <c r="K2173" s="1"/>
      <c r="L2173" s="1"/>
      <c r="M2173" s="1"/>
      <c r="N2173" s="1"/>
    </row>
    <row r="2174" spans="1:14" hidden="1">
      <c r="A2174" s="151">
        <f t="shared" si="128"/>
        <v>1</v>
      </c>
      <c r="B2174" s="151" t="s">
        <v>206</v>
      </c>
      <c r="C2174" s="159">
        <v>780109</v>
      </c>
      <c r="D2174" s="160" t="s">
        <v>1259</v>
      </c>
      <c r="E2174" s="161">
        <f>SUMIF(Lanç!$C$3:$C$114,C2174,Lanç!$F$3:$F$114)</f>
        <v>0</v>
      </c>
      <c r="F2174" s="161">
        <f>SUMIF(Lanç!$C$115:$C$6504,C2174,Lanç!$F$115:$F$6504)</f>
        <v>0</v>
      </c>
      <c r="G2174" s="161">
        <f>SUMIF(Lanç!$C$115:$C$6504,C2174,Lanç!$G$115:$G$6504)</f>
        <v>0</v>
      </c>
      <c r="H2174" s="162">
        <f t="shared" si="126"/>
        <v>0</v>
      </c>
      <c r="I2174" s="162">
        <f t="shared" si="127"/>
        <v>0</v>
      </c>
      <c r="J2174" s="1"/>
      <c r="K2174" s="1"/>
      <c r="L2174" s="1"/>
      <c r="M2174" s="1"/>
      <c r="N2174" s="1"/>
    </row>
    <row r="2175" spans="1:14" hidden="1">
      <c r="A2175" s="151">
        <f t="shared" si="128"/>
        <v>1</v>
      </c>
      <c r="B2175" s="155" t="s">
        <v>204</v>
      </c>
      <c r="C2175" s="156">
        <v>7811</v>
      </c>
      <c r="D2175" s="157" t="s">
        <v>1496</v>
      </c>
      <c r="E2175" s="158">
        <f>SUM(E2176,E2179:E2181)</f>
        <v>0</v>
      </c>
      <c r="F2175" s="158">
        <f>SUM(F2176,F2179:F2181)</f>
        <v>0</v>
      </c>
      <c r="G2175" s="158">
        <f>SUM(G2176,G2179:G2181)</f>
        <v>0</v>
      </c>
      <c r="H2175" s="154">
        <f t="shared" si="126"/>
        <v>0</v>
      </c>
      <c r="I2175" s="154">
        <f t="shared" si="127"/>
        <v>0</v>
      </c>
    </row>
    <row r="2176" spans="1:14" hidden="1">
      <c r="A2176" s="151">
        <f t="shared" si="128"/>
        <v>1</v>
      </c>
      <c r="B2176" s="155" t="s">
        <v>204</v>
      </c>
      <c r="C2176" s="156">
        <v>78111</v>
      </c>
      <c r="D2176" s="157" t="s">
        <v>1261</v>
      </c>
      <c r="E2176" s="158">
        <f>SUM(E2177:E2178)</f>
        <v>0</v>
      </c>
      <c r="F2176" s="158">
        <f>SUM(F2177:F2181)</f>
        <v>0</v>
      </c>
      <c r="G2176" s="158">
        <f>SUM(G2177:G2181)</f>
        <v>0</v>
      </c>
      <c r="H2176" s="154">
        <f t="shared" si="126"/>
        <v>0</v>
      </c>
      <c r="I2176" s="154">
        <f t="shared" si="127"/>
        <v>0</v>
      </c>
    </row>
    <row r="2177" spans="1:14" hidden="1">
      <c r="A2177" s="151">
        <f t="shared" si="128"/>
        <v>1</v>
      </c>
      <c r="B2177" s="151" t="s">
        <v>206</v>
      </c>
      <c r="C2177" s="159">
        <v>781111</v>
      </c>
      <c r="D2177" s="160" t="s">
        <v>1497</v>
      </c>
      <c r="E2177" s="161">
        <f>SUMIF(Lanç!$C$3:$C$114,C2177,Lanç!$F$3:$F$114)</f>
        <v>0</v>
      </c>
      <c r="F2177" s="161">
        <f>SUMIF(Lanç!$C$115:$C$6504,C2177,Lanç!$F$115:$F$6504)</f>
        <v>0</v>
      </c>
      <c r="G2177" s="161">
        <f>SUMIF(Lanç!$C$115:$C$6504,C2177,Lanç!$G$115:$G$6504)</f>
        <v>0</v>
      </c>
      <c r="H2177" s="162">
        <f t="shared" si="126"/>
        <v>0</v>
      </c>
      <c r="I2177" s="162">
        <f t="shared" si="127"/>
        <v>0</v>
      </c>
    </row>
    <row r="2178" spans="1:14" hidden="1">
      <c r="A2178" s="151">
        <f t="shared" si="128"/>
        <v>1</v>
      </c>
      <c r="B2178" s="151" t="s">
        <v>206</v>
      </c>
      <c r="C2178" s="159">
        <v>781112</v>
      </c>
      <c r="D2178" s="160" t="s">
        <v>1498</v>
      </c>
      <c r="E2178" s="161">
        <f>SUMIF(Lanç!$C$3:$C$114,C2178,Lanç!$F$3:$F$114)</f>
        <v>0</v>
      </c>
      <c r="F2178" s="161">
        <f>SUMIF(Lanç!$C$115:$C$6504,C2178,Lanç!$F$115:$F$6504)</f>
        <v>0</v>
      </c>
      <c r="G2178" s="161">
        <f>SUMIF(Lanç!$C$115:$C$6504,C2178,Lanç!$G$115:$G$6504)</f>
        <v>0</v>
      </c>
      <c r="H2178" s="162">
        <f t="shared" si="126"/>
        <v>0</v>
      </c>
      <c r="I2178" s="162">
        <f t="shared" si="127"/>
        <v>0</v>
      </c>
    </row>
    <row r="2179" spans="1:14" hidden="1">
      <c r="A2179" s="151">
        <f t="shared" si="128"/>
        <v>1</v>
      </c>
      <c r="B2179" s="151" t="s">
        <v>206</v>
      </c>
      <c r="C2179" s="159">
        <v>78112</v>
      </c>
      <c r="D2179" s="160" t="s">
        <v>1499</v>
      </c>
      <c r="E2179" s="161">
        <f>SUMIF(Lanç!$C$3:$C$114,C2179,Lanç!$F$3:$F$114)</f>
        <v>0</v>
      </c>
      <c r="F2179" s="161">
        <f>SUMIF(Lanç!$C$115:$C$6504,C2179,Lanç!$F$115:$F$6504)</f>
        <v>0</v>
      </c>
      <c r="G2179" s="161">
        <f>SUMIF(Lanç!$C$115:$C$6504,C2179,Lanç!$G$115:$G$6504)</f>
        <v>0</v>
      </c>
      <c r="H2179" s="162">
        <f t="shared" si="126"/>
        <v>0</v>
      </c>
      <c r="I2179" s="162">
        <f t="shared" si="127"/>
        <v>0</v>
      </c>
    </row>
    <row r="2180" spans="1:14" hidden="1">
      <c r="A2180" s="151">
        <f t="shared" si="128"/>
        <v>1</v>
      </c>
      <c r="B2180" s="151" t="s">
        <v>206</v>
      </c>
      <c r="C2180" s="159">
        <v>78113</v>
      </c>
      <c r="D2180" s="160" t="s">
        <v>1500</v>
      </c>
      <c r="E2180" s="161">
        <f>SUMIF(Lanç!$C$3:$C$114,C2180,Lanç!$F$3:$F$114)</f>
        <v>0</v>
      </c>
      <c r="F2180" s="161">
        <f>SUMIF(Lanç!$C$115:$C$6504,C2180,Lanç!$F$115:$F$6504)</f>
        <v>0</v>
      </c>
      <c r="G2180" s="161">
        <f>SUMIF(Lanç!$C$115:$C$6504,C2180,Lanç!$G$115:$G$6504)</f>
        <v>0</v>
      </c>
      <c r="H2180" s="162">
        <f t="shared" si="126"/>
        <v>0</v>
      </c>
      <c r="I2180" s="162">
        <f t="shared" si="127"/>
        <v>0</v>
      </c>
    </row>
    <row r="2181" spans="1:14" hidden="1">
      <c r="A2181" s="151">
        <f t="shared" si="128"/>
        <v>1</v>
      </c>
      <c r="B2181" s="151" t="s">
        <v>206</v>
      </c>
      <c r="C2181" s="159">
        <v>78119</v>
      </c>
      <c r="D2181" s="160" t="s">
        <v>1501</v>
      </c>
      <c r="E2181" s="161">
        <f>SUMIF(Lanç!$C$3:$C$114,C2181,Lanç!$F$3:$F$114)</f>
        <v>0</v>
      </c>
      <c r="F2181" s="161">
        <f>SUMIF(Lanç!$C$115:$C$6504,C2181,Lanç!$F$115:$F$6504)</f>
        <v>0</v>
      </c>
      <c r="G2181" s="161">
        <f>SUMIF(Lanç!$C$115:$C$6504,C2181,Lanç!$G$115:$G$6504)</f>
        <v>0</v>
      </c>
      <c r="H2181" s="162">
        <f t="shared" si="126"/>
        <v>0</v>
      </c>
      <c r="I2181" s="162">
        <f t="shared" si="127"/>
        <v>0</v>
      </c>
      <c r="J2181" s="2"/>
      <c r="K2181" s="2"/>
      <c r="L2181" s="2"/>
      <c r="M2181" s="2"/>
      <c r="N2181" s="2"/>
    </row>
    <row r="2182" spans="1:14" hidden="1">
      <c r="A2182" s="151">
        <f t="shared" si="128"/>
        <v>1</v>
      </c>
      <c r="B2182" s="155" t="s">
        <v>1166</v>
      </c>
      <c r="C2182" s="156">
        <v>789</v>
      </c>
      <c r="D2182" s="157" t="s">
        <v>1266</v>
      </c>
      <c r="E2182" s="158">
        <f>SUMIF(Lanç!$C$3:$C$114,C2182,Lanç!$F$3:$F$114)</f>
        <v>0</v>
      </c>
      <c r="F2182" s="158">
        <f>SUMIF(Lanç!$C$115:$C$6504,B2182,Lanç!$G$115:$G$6504)</f>
        <v>0</v>
      </c>
      <c r="G2182" s="158">
        <f>F2130</f>
        <v>0</v>
      </c>
      <c r="H2182" s="154">
        <f t="shared" si="126"/>
        <v>0</v>
      </c>
      <c r="I2182" s="154">
        <f t="shared" si="127"/>
        <v>0</v>
      </c>
    </row>
    <row r="2183" spans="1:14" hidden="1">
      <c r="A2183" s="151">
        <f t="shared" si="128"/>
        <v>1</v>
      </c>
      <c r="B2183" s="155" t="s">
        <v>202</v>
      </c>
      <c r="C2183" s="156">
        <v>79</v>
      </c>
      <c r="D2183" s="157" t="s">
        <v>1502</v>
      </c>
      <c r="E2183" s="158">
        <f>SUM(E2184,E2186,E2188,E2190,E2192)</f>
        <v>0</v>
      </c>
      <c r="F2183" s="158">
        <f>SUM(F2184,F2186,F2188,F2190,F2192)</f>
        <v>0</v>
      </c>
      <c r="G2183" s="158">
        <f>SUM(G2184,G2186,G2188,G2190,G2192)</f>
        <v>0</v>
      </c>
      <c r="H2183" s="154">
        <f t="shared" si="126"/>
        <v>0</v>
      </c>
      <c r="I2183" s="154">
        <f t="shared" si="127"/>
        <v>0</v>
      </c>
    </row>
    <row r="2184" spans="1:14" hidden="1">
      <c r="A2184" s="151">
        <f t="shared" si="128"/>
        <v>1</v>
      </c>
      <c r="B2184" s="155" t="s">
        <v>204</v>
      </c>
      <c r="C2184" s="156">
        <v>791</v>
      </c>
      <c r="D2184" s="157" t="s">
        <v>1503</v>
      </c>
      <c r="E2184" s="158">
        <f>SUM(E2185)</f>
        <v>0</v>
      </c>
      <c r="F2184" s="158">
        <f>SUM(F2185)</f>
        <v>0</v>
      </c>
      <c r="G2184" s="158">
        <f>SUM(G2185)</f>
        <v>0</v>
      </c>
      <c r="H2184" s="154">
        <f t="shared" si="126"/>
        <v>0</v>
      </c>
      <c r="I2184" s="154">
        <f t="shared" si="127"/>
        <v>0</v>
      </c>
    </row>
    <row r="2185" spans="1:14" hidden="1">
      <c r="A2185" s="151">
        <f t="shared" si="128"/>
        <v>1</v>
      </c>
      <c r="B2185" s="151" t="s">
        <v>206</v>
      </c>
      <c r="C2185" s="159">
        <v>7911</v>
      </c>
      <c r="D2185" s="160" t="s">
        <v>269</v>
      </c>
      <c r="E2185" s="161">
        <f>SUMIF(Lanç!$C$3:$C$114,C2185,Lanç!$F$3:$F$114)</f>
        <v>0</v>
      </c>
      <c r="F2185" s="161">
        <f>SUMIF(Lanç!$C$115:$C$6504,C2185,Lanç!$F$115:$F$6504)</f>
        <v>0</v>
      </c>
      <c r="G2185" s="161">
        <f>SUMIF(Lanç!$C$115:$C$6504,C2185,Lanç!$G$115:$G$6504)</f>
        <v>0</v>
      </c>
      <c r="H2185" s="162">
        <f t="shared" si="126"/>
        <v>0</v>
      </c>
      <c r="I2185" s="162">
        <f t="shared" si="127"/>
        <v>0</v>
      </c>
      <c r="J2185" s="1"/>
      <c r="K2185" s="1"/>
      <c r="L2185" s="1"/>
      <c r="M2185" s="1"/>
      <c r="N2185" s="1"/>
    </row>
    <row r="2186" spans="1:14" hidden="1">
      <c r="A2186" s="151">
        <f t="shared" si="128"/>
        <v>1</v>
      </c>
      <c r="B2186" s="155" t="s">
        <v>204</v>
      </c>
      <c r="C2186" s="156">
        <v>792</v>
      </c>
      <c r="D2186" s="157" t="s">
        <v>1504</v>
      </c>
      <c r="E2186" s="158">
        <f>SUM(E2187)</f>
        <v>0</v>
      </c>
      <c r="F2186" s="158">
        <f>SUM(F2187)</f>
        <v>0</v>
      </c>
      <c r="G2186" s="158">
        <f>SUM(G2187)</f>
        <v>0</v>
      </c>
      <c r="H2186" s="154">
        <f t="shared" si="126"/>
        <v>0</v>
      </c>
      <c r="I2186" s="154">
        <f t="shared" si="127"/>
        <v>0</v>
      </c>
    </row>
    <row r="2187" spans="1:14" hidden="1">
      <c r="A2187" s="151">
        <f t="shared" si="128"/>
        <v>1</v>
      </c>
      <c r="B2187" s="151" t="s">
        <v>206</v>
      </c>
      <c r="C2187" s="159">
        <v>7921</v>
      </c>
      <c r="D2187" s="160" t="s">
        <v>269</v>
      </c>
      <c r="E2187" s="161">
        <f>SUMIF(Lanç!$C$3:$C$114,C2187,Lanç!$F$3:$F$114)</f>
        <v>0</v>
      </c>
      <c r="F2187" s="161">
        <f>SUMIF(Lanç!$C$115:$C$6504,C2187,Lanç!$F$115:$F$6504)</f>
        <v>0</v>
      </c>
      <c r="G2187" s="161">
        <f>SUMIF(Lanç!$C$115:$C$6504,C2187,Lanç!$G$115:$G$6504)</f>
        <v>0</v>
      </c>
      <c r="H2187" s="162">
        <f t="shared" si="126"/>
        <v>0</v>
      </c>
      <c r="I2187" s="162">
        <f t="shared" si="127"/>
        <v>0</v>
      </c>
      <c r="J2187" s="1"/>
      <c r="K2187" s="1"/>
      <c r="L2187" s="1"/>
      <c r="M2187" s="1"/>
      <c r="N2187" s="1"/>
    </row>
    <row r="2188" spans="1:14" hidden="1">
      <c r="A2188" s="151">
        <f t="shared" si="128"/>
        <v>1</v>
      </c>
      <c r="B2188" s="155" t="s">
        <v>204</v>
      </c>
      <c r="C2188" s="156">
        <v>793</v>
      </c>
      <c r="D2188" s="157" t="s">
        <v>1505</v>
      </c>
      <c r="E2188" s="158">
        <f>SUM(E2189)</f>
        <v>0</v>
      </c>
      <c r="F2188" s="158">
        <f>SUM(F2189)</f>
        <v>0</v>
      </c>
      <c r="G2188" s="158">
        <f>SUM(G2189)</f>
        <v>0</v>
      </c>
      <c r="H2188" s="154">
        <f t="shared" si="126"/>
        <v>0</v>
      </c>
      <c r="I2188" s="154">
        <f t="shared" si="127"/>
        <v>0</v>
      </c>
    </row>
    <row r="2189" spans="1:14" hidden="1">
      <c r="A2189" s="151">
        <f t="shared" si="128"/>
        <v>1</v>
      </c>
      <c r="B2189" s="151" t="s">
        <v>206</v>
      </c>
      <c r="C2189" s="159">
        <v>7931</v>
      </c>
      <c r="D2189" s="160" t="s">
        <v>269</v>
      </c>
      <c r="E2189" s="161">
        <f>SUMIF(Lanç!$C$3:$C$114,C2189,Lanç!$F$3:$F$114)</f>
        <v>0</v>
      </c>
      <c r="F2189" s="161">
        <f>SUMIF(Lanç!$C$115:$C$6504,C2189,Lanç!$F$115:$F$6504)</f>
        <v>0</v>
      </c>
      <c r="G2189" s="161">
        <f>SUMIF(Lanç!$C$115:$C$6504,C2189,Lanç!$G$115:$G$6504)</f>
        <v>0</v>
      </c>
      <c r="H2189" s="162">
        <f t="shared" si="126"/>
        <v>0</v>
      </c>
      <c r="I2189" s="162">
        <f t="shared" si="127"/>
        <v>0</v>
      </c>
      <c r="J2189" s="1"/>
      <c r="K2189" s="1"/>
      <c r="L2189" s="1"/>
      <c r="M2189" s="1"/>
      <c r="N2189" s="1"/>
    </row>
    <row r="2190" spans="1:14" hidden="1">
      <c r="A2190" s="151">
        <f t="shared" si="128"/>
        <v>1</v>
      </c>
      <c r="B2190" s="155" t="s">
        <v>204</v>
      </c>
      <c r="C2190" s="156">
        <v>794</v>
      </c>
      <c r="D2190" s="157" t="s">
        <v>1506</v>
      </c>
      <c r="E2190" s="158">
        <f>SUM(E2191)</f>
        <v>0</v>
      </c>
      <c r="F2190" s="158">
        <f>SUM(F2191)</f>
        <v>0</v>
      </c>
      <c r="G2190" s="158">
        <f>SUM(G2191)</f>
        <v>0</v>
      </c>
      <c r="H2190" s="154">
        <f t="shared" si="126"/>
        <v>0</v>
      </c>
      <c r="I2190" s="154">
        <f t="shared" si="127"/>
        <v>0</v>
      </c>
    </row>
    <row r="2191" spans="1:14" hidden="1">
      <c r="A2191" s="151">
        <f t="shared" si="128"/>
        <v>1</v>
      </c>
      <c r="B2191" s="151" t="s">
        <v>206</v>
      </c>
      <c r="C2191" s="159">
        <v>7941</v>
      </c>
      <c r="D2191" s="160" t="s">
        <v>269</v>
      </c>
      <c r="E2191" s="161">
        <f>SUMIF(Lanç!$C$3:$C$114,C2191,Lanç!$F$3:$F$114)</f>
        <v>0</v>
      </c>
      <c r="F2191" s="161">
        <f>SUMIF(Lanç!$C$115:$C$6504,C2191,Lanç!$F$115:$F$6504)</f>
        <v>0</v>
      </c>
      <c r="G2191" s="161">
        <f>SUMIF(Lanç!$C$115:$C$6504,C2191,Lanç!$G$115:$G$6504)</f>
        <v>0</v>
      </c>
      <c r="H2191" s="162">
        <f t="shared" si="126"/>
        <v>0</v>
      </c>
      <c r="I2191" s="162">
        <f t="shared" si="127"/>
        <v>0</v>
      </c>
      <c r="J2191" s="1"/>
      <c r="K2191" s="1"/>
      <c r="L2191" s="1"/>
      <c r="M2191" s="1"/>
      <c r="N2191" s="1"/>
    </row>
    <row r="2192" spans="1:14" hidden="1">
      <c r="A2192" s="151">
        <f t="shared" si="128"/>
        <v>1</v>
      </c>
      <c r="B2192" s="155" t="s">
        <v>1166</v>
      </c>
      <c r="C2192" s="156">
        <v>799</v>
      </c>
      <c r="D2192" s="157" t="s">
        <v>1276</v>
      </c>
      <c r="E2192" s="158">
        <f>SUMIF(Lanç!$C$3:$C$114,C2192,Lanç!$F$3:$F$114)</f>
        <v>0</v>
      </c>
      <c r="F2192" s="158">
        <f>SUMIF(Lanç!$C$115:$C$6504,C2192,Lanç!$F$115:$F$6504)</f>
        <v>0</v>
      </c>
      <c r="G2192" s="158">
        <f>F2183</f>
        <v>0</v>
      </c>
      <c r="H2192" s="154">
        <f t="shared" si="126"/>
        <v>0</v>
      </c>
      <c r="I2192" s="154">
        <f t="shared" si="127"/>
        <v>0</v>
      </c>
      <c r="J2192" s="58"/>
      <c r="K2192" s="58"/>
      <c r="L2192" s="58"/>
      <c r="M2192" s="58"/>
      <c r="N2192" s="58"/>
    </row>
    <row r="2193" spans="1:14">
      <c r="A2193" s="151">
        <f t="shared" ca="1" si="128"/>
        <v>0</v>
      </c>
      <c r="B2193" s="152" t="s">
        <v>200</v>
      </c>
      <c r="C2193" s="153">
        <v>8</v>
      </c>
      <c r="D2193" s="164" t="s">
        <v>1507</v>
      </c>
      <c r="E2193" s="165">
        <f ca="1">SUM(E2194,E2221,E2232,E2236,E2240,E2244,E2248,E2252,E2261)</f>
        <v>22179622.113639005</v>
      </c>
      <c r="F2193" s="165">
        <f>SUM(F2194,F2221,F2232,F2236,F2240,F2244,F2248,F2252,F2261)</f>
        <v>340929851.21000004</v>
      </c>
      <c r="G2193" s="165">
        <f ca="1">SUM(G2194,G2221,G2232,G2236,G2240,G2244,G2248,G2252,G2261)</f>
        <v>326428686.53000003</v>
      </c>
      <c r="H2193" s="154">
        <f t="shared" ca="1" si="126"/>
        <v>14501164.680000007</v>
      </c>
      <c r="I2193" s="154">
        <f t="shared" ca="1" si="127"/>
        <v>36680786.793639012</v>
      </c>
      <c r="J2193" s="1"/>
      <c r="K2193" s="1"/>
      <c r="L2193" s="1"/>
      <c r="M2193" s="1"/>
      <c r="N2193" s="1"/>
    </row>
    <row r="2194" spans="1:14">
      <c r="A2194" s="151">
        <f t="shared" si="128"/>
        <v>0</v>
      </c>
      <c r="B2194" s="155" t="s">
        <v>202</v>
      </c>
      <c r="C2194" s="156">
        <v>81</v>
      </c>
      <c r="D2194" s="157" t="s">
        <v>1508</v>
      </c>
      <c r="E2194" s="158">
        <f>SUM(E2195,E2201,E2207,E2213,E2215,E2217,E2219)</f>
        <v>22179622.113639005</v>
      </c>
      <c r="F2194" s="158">
        <f>SUM(F2195,F2201,F2207,F2213,F2215,F2217,F2219)</f>
        <v>0</v>
      </c>
      <c r="G2194" s="158">
        <f>SUM(G2195,G2201,G2207,G2213,G2215,G2217,G2219)</f>
        <v>0</v>
      </c>
      <c r="H2194" s="154">
        <f t="shared" si="126"/>
        <v>0</v>
      </c>
      <c r="I2194" s="154">
        <f t="shared" si="127"/>
        <v>22179622.113639005</v>
      </c>
    </row>
    <row r="2195" spans="1:14" hidden="1">
      <c r="A2195" s="151">
        <f t="shared" si="128"/>
        <v>1</v>
      </c>
      <c r="B2195" s="155" t="s">
        <v>204</v>
      </c>
      <c r="C2195" s="156">
        <v>811</v>
      </c>
      <c r="D2195" s="157" t="s">
        <v>1509</v>
      </c>
      <c r="E2195" s="158">
        <f>SUM(E2196:E2200)</f>
        <v>0</v>
      </c>
      <c r="F2195" s="158">
        <f>SUM(F2196:F2200)</f>
        <v>0</v>
      </c>
      <c r="G2195" s="158">
        <f>SUM(G2196:G2200)</f>
        <v>0</v>
      </c>
      <c r="H2195" s="154">
        <f t="shared" si="126"/>
        <v>0</v>
      </c>
      <c r="I2195" s="154">
        <f t="shared" si="127"/>
        <v>0</v>
      </c>
    </row>
    <row r="2196" spans="1:14" hidden="1">
      <c r="A2196" s="151">
        <f t="shared" si="128"/>
        <v>1</v>
      </c>
      <c r="B2196" s="151" t="s">
        <v>206</v>
      </c>
      <c r="C2196" s="159">
        <v>8111</v>
      </c>
      <c r="D2196" s="160" t="s">
        <v>1510</v>
      </c>
      <c r="E2196" s="161">
        <f>SUMIF(Lanç!C3:C114,C2196,Lanç!F3:F114)</f>
        <v>0</v>
      </c>
      <c r="F2196" s="161">
        <f>SUMIF(Lanç!C115:C6504,C2196,Lanç!F115:F6504)</f>
        <v>0</v>
      </c>
      <c r="G2196" s="161">
        <f>SUMIF(Lanç!C115:C6504,C2196,Lanç!G115:G6504)</f>
        <v>0</v>
      </c>
      <c r="H2196" s="162">
        <f t="shared" si="126"/>
        <v>0</v>
      </c>
      <c r="I2196" s="162">
        <f t="shared" si="127"/>
        <v>0</v>
      </c>
    </row>
    <row r="2197" spans="1:14" hidden="1">
      <c r="A2197" s="151">
        <f t="shared" si="128"/>
        <v>1</v>
      </c>
      <c r="B2197" s="151" t="s">
        <v>206</v>
      </c>
      <c r="C2197" s="159">
        <v>8112</v>
      </c>
      <c r="D2197" s="160" t="s">
        <v>1511</v>
      </c>
      <c r="E2197" s="161">
        <f>SUMIF(Lanç!$C$3:$C$114,C2197,Lanç!$F$3:$F$114)</f>
        <v>0</v>
      </c>
      <c r="F2197" s="161">
        <f>SUMIF(Lanç!$C$115:$C$6504,C2197,Lanç!$F$115:$F$6504)</f>
        <v>0</v>
      </c>
      <c r="G2197" s="161">
        <f>SUMIF(Lanç!$C$115:$C$6504,C2197,Lanç!$G$115:$G$6504)</f>
        <v>0</v>
      </c>
      <c r="H2197" s="162">
        <f t="shared" si="126"/>
        <v>0</v>
      </c>
      <c r="I2197" s="162">
        <f t="shared" si="127"/>
        <v>0</v>
      </c>
    </row>
    <row r="2198" spans="1:14" hidden="1">
      <c r="A2198" s="151">
        <f t="shared" si="128"/>
        <v>1</v>
      </c>
      <c r="B2198" s="151" t="s">
        <v>206</v>
      </c>
      <c r="C2198" s="159">
        <v>8113</v>
      </c>
      <c r="D2198" s="160" t="s">
        <v>1512</v>
      </c>
      <c r="E2198" s="161">
        <f>SUMIF(Lanç!$C$3:$C$114,C2198,Lanç!$F$3:$F$114)</f>
        <v>0</v>
      </c>
      <c r="F2198" s="161">
        <f>SUMIF(Lanç!$C$115:$C$6504,C2198,Lanç!$F$115:$F$6504)</f>
        <v>0</v>
      </c>
      <c r="G2198" s="161">
        <f>SUMIF(Lanç!$C$115:$C$6504,C2198,Lanç!$G$115:$G$6504)</f>
        <v>0</v>
      </c>
      <c r="H2198" s="162">
        <f t="shared" si="126"/>
        <v>0</v>
      </c>
      <c r="I2198" s="162">
        <f t="shared" si="127"/>
        <v>0</v>
      </c>
    </row>
    <row r="2199" spans="1:14" hidden="1">
      <c r="A2199" s="151">
        <f t="shared" si="128"/>
        <v>1</v>
      </c>
      <c r="B2199" s="151" t="s">
        <v>206</v>
      </c>
      <c r="C2199" s="159">
        <v>8114</v>
      </c>
      <c r="D2199" s="160" t="s">
        <v>1513</v>
      </c>
      <c r="E2199" s="161">
        <f>SUMIF(Lanç!$C$3:$C$114,C2199,Lanç!$F$3:$F$114)</f>
        <v>0</v>
      </c>
      <c r="F2199" s="161">
        <f>SUMIF(Lanç!$C$115:$C$6504,C2199,Lanç!$F$115:$F$6504)</f>
        <v>0</v>
      </c>
      <c r="G2199" s="161">
        <f>SUMIF(Lanç!$C$115:$C$6504,C2199,Lanç!$G$115:$G$6504)</f>
        <v>0</v>
      </c>
      <c r="H2199" s="162">
        <f t="shared" si="126"/>
        <v>0</v>
      </c>
      <c r="I2199" s="162">
        <f t="shared" si="127"/>
        <v>0</v>
      </c>
    </row>
    <row r="2200" spans="1:14" hidden="1">
      <c r="A2200" s="151">
        <f t="shared" si="128"/>
        <v>1</v>
      </c>
      <c r="B2200" s="151" t="s">
        <v>206</v>
      </c>
      <c r="C2200" s="159">
        <v>8115</v>
      </c>
      <c r="D2200" s="160" t="s">
        <v>1514</v>
      </c>
      <c r="E2200" s="161">
        <f>SUMIF(Lanç!$C$3:$C$114,C2200,Lanç!$F$3:$F$114)</f>
        <v>0</v>
      </c>
      <c r="F2200" s="161">
        <f>SUMIF(Lanç!$C$115:$C$6504,C2200,Lanç!$F$115:$F$6504)</f>
        <v>0</v>
      </c>
      <c r="G2200" s="161">
        <f>SUMIF(Lanç!$C$115:$C$6504,C2200,Lanç!$G$115:$G$6504)</f>
        <v>0</v>
      </c>
      <c r="H2200" s="162">
        <f t="shared" si="126"/>
        <v>0</v>
      </c>
      <c r="I2200" s="162">
        <f t="shared" si="127"/>
        <v>0</v>
      </c>
      <c r="J2200" s="1"/>
      <c r="K2200" s="1"/>
      <c r="L2200" s="1"/>
      <c r="M2200" s="1"/>
      <c r="N2200" s="1"/>
    </row>
    <row r="2201" spans="1:14" hidden="1">
      <c r="A2201" s="151">
        <f t="shared" si="128"/>
        <v>1</v>
      </c>
      <c r="B2201" s="155" t="s">
        <v>204</v>
      </c>
      <c r="C2201" s="156">
        <v>812</v>
      </c>
      <c r="D2201" s="157" t="s">
        <v>1515</v>
      </c>
      <c r="E2201" s="158">
        <f>SUM(E2202:E2206)</f>
        <v>0</v>
      </c>
      <c r="F2201" s="158">
        <f>SUM(F2202:F2206)</f>
        <v>0</v>
      </c>
      <c r="G2201" s="158">
        <f>SUM(G2202:G2206)</f>
        <v>0</v>
      </c>
      <c r="H2201" s="154">
        <f t="shared" si="126"/>
        <v>0</v>
      </c>
      <c r="I2201" s="154">
        <f t="shared" si="127"/>
        <v>0</v>
      </c>
    </row>
    <row r="2202" spans="1:14" hidden="1">
      <c r="A2202" s="151">
        <f t="shared" si="128"/>
        <v>1</v>
      </c>
      <c r="B2202" s="151" t="s">
        <v>206</v>
      </c>
      <c r="C2202" s="159">
        <v>8121</v>
      </c>
      <c r="D2202" s="160" t="s">
        <v>1510</v>
      </c>
      <c r="E2202" s="161">
        <f>SUMIF(Lanç!C3:C114,C2202,Lanç!F3:F114)</f>
        <v>0</v>
      </c>
      <c r="F2202" s="161">
        <f>SUMIF(Lanç!C115:C6504,C2202,Lanç!F115:F6504)</f>
        <v>0</v>
      </c>
      <c r="G2202" s="161">
        <f>SUMIF(Lanç!C115:C6504,C2202,Lanç!G115:G6504)</f>
        <v>0</v>
      </c>
      <c r="H2202" s="162">
        <f t="shared" si="126"/>
        <v>0</v>
      </c>
      <c r="I2202" s="162">
        <f t="shared" si="127"/>
        <v>0</v>
      </c>
    </row>
    <row r="2203" spans="1:14" hidden="1">
      <c r="A2203" s="151">
        <f t="shared" si="128"/>
        <v>1</v>
      </c>
      <c r="B2203" s="151" t="s">
        <v>206</v>
      </c>
      <c r="C2203" s="159">
        <v>8122</v>
      </c>
      <c r="D2203" s="160" t="s">
        <v>1511</v>
      </c>
      <c r="E2203" s="161">
        <f>SUMIF(Lanç!$C$3:$C$114,C2203,Lanç!$F$3:$F$114)</f>
        <v>0</v>
      </c>
      <c r="F2203" s="161">
        <f>SUMIF(Lanç!$C$115:$C$6504,C2203,Lanç!$F$115:$F$6504)</f>
        <v>0</v>
      </c>
      <c r="G2203" s="161">
        <f>SUMIF(Lanç!$C$115:$C$6504,C2203,Lanç!$G$115:$G$6504)</f>
        <v>0</v>
      </c>
      <c r="H2203" s="162">
        <f t="shared" si="126"/>
        <v>0</v>
      </c>
      <c r="I2203" s="162">
        <f t="shared" si="127"/>
        <v>0</v>
      </c>
    </row>
    <row r="2204" spans="1:14" hidden="1">
      <c r="A2204" s="151">
        <f t="shared" si="128"/>
        <v>1</v>
      </c>
      <c r="B2204" s="151" t="s">
        <v>206</v>
      </c>
      <c r="C2204" s="159">
        <v>8123</v>
      </c>
      <c r="D2204" s="160" t="s">
        <v>1512</v>
      </c>
      <c r="E2204" s="161">
        <f>SUMIF(Lanç!$C$3:$C$114,C2204,Lanç!$F$3:$F$114)</f>
        <v>0</v>
      </c>
      <c r="F2204" s="161">
        <f>SUMIF(Lanç!$C$115:$C$6504,C2204,Lanç!$F$115:$F$6504)</f>
        <v>0</v>
      </c>
      <c r="G2204" s="161">
        <f>SUMIF(Lanç!$C$115:$C$6504,C2204,Lanç!$G$115:$G$6504)</f>
        <v>0</v>
      </c>
      <c r="H2204" s="162">
        <f t="shared" si="126"/>
        <v>0</v>
      </c>
      <c r="I2204" s="162">
        <f t="shared" si="127"/>
        <v>0</v>
      </c>
    </row>
    <row r="2205" spans="1:14" hidden="1">
      <c r="A2205" s="151">
        <f t="shared" si="128"/>
        <v>1</v>
      </c>
      <c r="B2205" s="151" t="s">
        <v>206</v>
      </c>
      <c r="C2205" s="159">
        <v>8124</v>
      </c>
      <c r="D2205" s="160" t="s">
        <v>1513</v>
      </c>
      <c r="E2205" s="161">
        <f>SUMIF(Lanç!$C$3:$C$114,C2205,Lanç!$F$3:$F$114)</f>
        <v>0</v>
      </c>
      <c r="F2205" s="161">
        <f>SUMIF(Lanç!$C$115:$C$6504,C2205,Lanç!$F$115:$F$6504)</f>
        <v>0</v>
      </c>
      <c r="G2205" s="161">
        <f>SUMIF(Lanç!$C$115:$C$6504,C2205,Lanç!$G$115:$G$6504)</f>
        <v>0</v>
      </c>
      <c r="H2205" s="162">
        <f t="shared" si="126"/>
        <v>0</v>
      </c>
      <c r="I2205" s="162">
        <f t="shared" si="127"/>
        <v>0</v>
      </c>
    </row>
    <row r="2206" spans="1:14" hidden="1">
      <c r="A2206" s="151">
        <f t="shared" si="128"/>
        <v>1</v>
      </c>
      <c r="B2206" s="151" t="s">
        <v>206</v>
      </c>
      <c r="C2206" s="159">
        <v>8125</v>
      </c>
      <c r="D2206" s="160" t="s">
        <v>1514</v>
      </c>
      <c r="E2206" s="161">
        <f>SUMIF(Lanç!$C$3:$C$114,C2206,Lanç!$F$3:$F$114)</f>
        <v>0</v>
      </c>
      <c r="F2206" s="161">
        <f>SUMIF(Lanç!$C$115:$C$6504,C2206,Lanç!$F$115:$F$6504)</f>
        <v>0</v>
      </c>
      <c r="G2206" s="161">
        <f>SUMIF(Lanç!$C$115:$C$6504,C2206,Lanç!$G$115:$G$6504)</f>
        <v>0</v>
      </c>
      <c r="H2206" s="162">
        <f t="shared" si="126"/>
        <v>0</v>
      </c>
      <c r="I2206" s="162">
        <f t="shared" si="127"/>
        <v>0</v>
      </c>
      <c r="J2206" s="1"/>
      <c r="K2206" s="1"/>
      <c r="L2206" s="1"/>
      <c r="M2206" s="1"/>
      <c r="N2206" s="1"/>
    </row>
    <row r="2207" spans="1:14" s="57" customFormat="1" hidden="1">
      <c r="A2207" s="155">
        <f t="shared" si="128"/>
        <v>1</v>
      </c>
      <c r="B2207" s="155" t="s">
        <v>204</v>
      </c>
      <c r="C2207" s="156">
        <v>813</v>
      </c>
      <c r="D2207" s="157" t="s">
        <v>1515</v>
      </c>
      <c r="E2207" s="158">
        <f>SUM(E2208:E2212)</f>
        <v>0</v>
      </c>
      <c r="F2207" s="158">
        <f>SUM(F2208:F2212)</f>
        <v>0</v>
      </c>
      <c r="G2207" s="158">
        <f>SUM(G2208:G2212)</f>
        <v>0</v>
      </c>
      <c r="H2207" s="163">
        <f t="shared" si="126"/>
        <v>0</v>
      </c>
      <c r="I2207" s="163">
        <f t="shared" si="127"/>
        <v>0</v>
      </c>
      <c r="J2207" s="1"/>
      <c r="K2207" s="1"/>
      <c r="L2207" s="1"/>
      <c r="M2207" s="1"/>
      <c r="N2207" s="1"/>
    </row>
    <row r="2208" spans="1:14" hidden="1">
      <c r="A2208" s="151">
        <f t="shared" si="128"/>
        <v>1</v>
      </c>
      <c r="B2208" s="151" t="s">
        <v>206</v>
      </c>
      <c r="C2208" s="159">
        <v>8131</v>
      </c>
      <c r="D2208" s="160" t="s">
        <v>1510</v>
      </c>
      <c r="E2208" s="161">
        <f>SUMIF(Lanç!C3:C114,C2208,Lanç!F3:F114)</f>
        <v>0</v>
      </c>
      <c r="F2208" s="161">
        <f>SUMIF(Lanç!C115:C6504,C2208,Lanç!F115:F6504)</f>
        <v>0</v>
      </c>
      <c r="G2208" s="161">
        <f>SUMIF(Lanç!C115:C6504,C2208,Lanç!G115:G6504)</f>
        <v>0</v>
      </c>
      <c r="H2208" s="162">
        <f t="shared" si="126"/>
        <v>0</v>
      </c>
      <c r="I2208" s="162">
        <f t="shared" si="127"/>
        <v>0</v>
      </c>
      <c r="J2208" s="1"/>
      <c r="K2208" s="1"/>
      <c r="L2208" s="1"/>
      <c r="M2208" s="1"/>
      <c r="N2208" s="1"/>
    </row>
    <row r="2209" spans="1:14" hidden="1">
      <c r="A2209" s="151">
        <f t="shared" si="128"/>
        <v>1</v>
      </c>
      <c r="B2209" s="151" t="s">
        <v>206</v>
      </c>
      <c r="C2209" s="159">
        <v>8132</v>
      </c>
      <c r="D2209" s="160" t="s">
        <v>1511</v>
      </c>
      <c r="E2209" s="161">
        <f>SUMIF(Lanç!C3:C114,C2209,Lanç!F3:F114)</f>
        <v>0</v>
      </c>
      <c r="F2209" s="161">
        <f>SUMIF(Lanç!C115:C6504,C2209,Lanç!F115:F6504)</f>
        <v>0</v>
      </c>
      <c r="G2209" s="161">
        <f>SUMIF(Lanç!C115:C6504,C2209,Lanç!G115:G6504)</f>
        <v>0</v>
      </c>
      <c r="H2209" s="162">
        <f t="shared" si="126"/>
        <v>0</v>
      </c>
      <c r="I2209" s="162">
        <f t="shared" si="127"/>
        <v>0</v>
      </c>
      <c r="J2209" s="1"/>
      <c r="K2209" s="1"/>
      <c r="L2209" s="1"/>
      <c r="M2209" s="1"/>
      <c r="N2209" s="1"/>
    </row>
    <row r="2210" spans="1:14" hidden="1">
      <c r="A2210" s="151">
        <f t="shared" si="128"/>
        <v>1</v>
      </c>
      <c r="B2210" s="151" t="s">
        <v>206</v>
      </c>
      <c r="C2210" s="159">
        <v>8133</v>
      </c>
      <c r="D2210" s="160" t="s">
        <v>1512</v>
      </c>
      <c r="E2210" s="161">
        <f>SUMIF(Lanç!$C$3:$C$114,C2210,Lanç!$F$3:$F$114)</f>
        <v>0</v>
      </c>
      <c r="F2210" s="161">
        <f>SUMIF(Lanç!$C$115:$C$6504,C2210,Lanç!$F$115:$F$6504)</f>
        <v>0</v>
      </c>
      <c r="G2210" s="161">
        <f>SUMIF(Lanç!$C$115:$C$6504,C2210,Lanç!$G$115:$G$6504)</f>
        <v>0</v>
      </c>
      <c r="H2210" s="162">
        <f t="shared" si="126"/>
        <v>0</v>
      </c>
      <c r="I2210" s="162">
        <f t="shared" si="127"/>
        <v>0</v>
      </c>
      <c r="J2210" s="1"/>
      <c r="K2210" s="1"/>
      <c r="L2210" s="1"/>
      <c r="M2210" s="1"/>
      <c r="N2210" s="1"/>
    </row>
    <row r="2211" spans="1:14" hidden="1">
      <c r="A2211" s="151">
        <f t="shared" si="128"/>
        <v>1</v>
      </c>
      <c r="B2211" s="151" t="s">
        <v>206</v>
      </c>
      <c r="C2211" s="159">
        <v>8134</v>
      </c>
      <c r="D2211" s="160" t="s">
        <v>1513</v>
      </c>
      <c r="E2211" s="161">
        <f>SUMIF(Lanç!$C$3:$C$114,C2211,Lanç!$F$3:$F$114)</f>
        <v>0</v>
      </c>
      <c r="F2211" s="161">
        <f>SUMIF(Lanç!$C$115:$C$6504,C2211,Lanç!$F$115:$F$6504)</f>
        <v>0</v>
      </c>
      <c r="G2211" s="161">
        <f>SUMIF(Lanç!$C$115:$C$6504,C2211,Lanç!$G$115:$G$6504)</f>
        <v>0</v>
      </c>
      <c r="H2211" s="162">
        <f t="shared" si="126"/>
        <v>0</v>
      </c>
      <c r="I2211" s="162">
        <f t="shared" si="127"/>
        <v>0</v>
      </c>
      <c r="J2211" s="1"/>
      <c r="K2211" s="1"/>
      <c r="L2211" s="1"/>
      <c r="M2211" s="1"/>
      <c r="N2211" s="1"/>
    </row>
    <row r="2212" spans="1:14" hidden="1">
      <c r="A2212" s="151">
        <f t="shared" si="128"/>
        <v>1</v>
      </c>
      <c r="B2212" s="151" t="s">
        <v>206</v>
      </c>
      <c r="C2212" s="159">
        <v>8135</v>
      </c>
      <c r="D2212" s="160" t="s">
        <v>1514</v>
      </c>
      <c r="E2212" s="161">
        <f>SUMIF(Lanç!$C$3:$C$114,C2212,Lanç!$F$3:$F$114)</f>
        <v>0</v>
      </c>
      <c r="F2212" s="161">
        <f>SUMIF(Lanç!$C$115:$C$6504,C2212,Lanç!$F$115:$F$6504)</f>
        <v>0</v>
      </c>
      <c r="G2212" s="161">
        <f>SUMIF(Lanç!$C$115:$C$6504,C2212,Lanç!$G$115:$G$6504)</f>
        <v>0</v>
      </c>
      <c r="H2212" s="162">
        <f t="shared" si="126"/>
        <v>0</v>
      </c>
      <c r="I2212" s="162">
        <f t="shared" si="127"/>
        <v>0</v>
      </c>
      <c r="J2212" s="1"/>
      <c r="K2212" s="1"/>
      <c r="L2212" s="1"/>
      <c r="M2212" s="1"/>
      <c r="N2212" s="1"/>
    </row>
    <row r="2213" spans="1:14">
      <c r="A2213" s="155">
        <f t="shared" si="128"/>
        <v>0</v>
      </c>
      <c r="B2213" s="155" t="s">
        <v>204</v>
      </c>
      <c r="C2213" s="156">
        <v>814</v>
      </c>
      <c r="D2213" s="157" t="s">
        <v>1834</v>
      </c>
      <c r="E2213" s="158">
        <f>SUM(E2214)</f>
        <v>41674709.093639001</v>
      </c>
      <c r="F2213" s="158">
        <f>SUM(F2214)</f>
        <v>0</v>
      </c>
      <c r="G2213" s="158">
        <f>SUM(G2214)</f>
        <v>0</v>
      </c>
      <c r="H2213" s="163">
        <f t="shared" si="126"/>
        <v>0</v>
      </c>
      <c r="I2213" s="163">
        <f t="shared" si="127"/>
        <v>41674709.093639001</v>
      </c>
      <c r="J2213" s="1"/>
      <c r="K2213" s="1"/>
      <c r="L2213" s="1"/>
      <c r="M2213" s="1"/>
      <c r="N2213" s="1"/>
    </row>
    <row r="2214" spans="1:14">
      <c r="A2214" s="151">
        <f t="shared" si="128"/>
        <v>0</v>
      </c>
      <c r="B2214" s="151" t="s">
        <v>206</v>
      </c>
      <c r="C2214" s="159">
        <v>8141</v>
      </c>
      <c r="D2214" s="160" t="s">
        <v>1833</v>
      </c>
      <c r="E2214" s="161">
        <f>SUMIF(Lanç!C3:C114,C2214,Lanç!F3:F114)</f>
        <v>41674709.093639001</v>
      </c>
      <c r="F2214" s="161">
        <f>SUMIF(Lanç!C115:C6504,C2214,Lanç!F115:F6504)</f>
        <v>0</v>
      </c>
      <c r="G2214" s="161">
        <f>SUMIF(Lanç!C115:C6504,C2214,Lanç!G115:G6504)</f>
        <v>0</v>
      </c>
      <c r="H2214" s="162">
        <f t="shared" si="126"/>
        <v>0</v>
      </c>
      <c r="I2214" s="162">
        <f t="shared" si="127"/>
        <v>41674709.093639001</v>
      </c>
      <c r="J2214" s="1"/>
      <c r="K2214" s="1"/>
      <c r="L2214" s="1"/>
      <c r="M2214" s="1"/>
      <c r="N2214" s="1"/>
    </row>
    <row r="2215" spans="1:14">
      <c r="A2215" s="155">
        <f t="shared" si="128"/>
        <v>0</v>
      </c>
      <c r="B2215" s="155" t="s">
        <v>204</v>
      </c>
      <c r="C2215" s="156">
        <v>815</v>
      </c>
      <c r="D2215" s="157" t="s">
        <v>1864</v>
      </c>
      <c r="E2215" s="158">
        <f>SUM(E2216)</f>
        <v>-7932798.8300000001</v>
      </c>
      <c r="F2215" s="158">
        <f>SUM(F2216)</f>
        <v>0</v>
      </c>
      <c r="G2215" s="158">
        <f>SUM(G2216)</f>
        <v>0</v>
      </c>
      <c r="H2215" s="163">
        <f t="shared" si="126"/>
        <v>0</v>
      </c>
      <c r="I2215" s="163">
        <f t="shared" si="127"/>
        <v>-7932798.8300000001</v>
      </c>
      <c r="J2215" s="1"/>
      <c r="K2215" s="1"/>
      <c r="L2215" s="1"/>
      <c r="M2215" s="1"/>
      <c r="N2215" s="1"/>
    </row>
    <row r="2216" spans="1:14">
      <c r="A2216" s="151">
        <f t="shared" si="128"/>
        <v>0</v>
      </c>
      <c r="B2216" s="151" t="s">
        <v>206</v>
      </c>
      <c r="C2216" s="159">
        <v>8151</v>
      </c>
      <c r="D2216" s="160" t="s">
        <v>1865</v>
      </c>
      <c r="E2216" s="161">
        <f>SUMIF(Lanç!C3:C114,C2216,Lanç!F3:F114)</f>
        <v>-7932798.8300000001</v>
      </c>
      <c r="F2216" s="161">
        <f>SUMIF(Lanç!C115:C6504,C2216,Lanç!F115:F6504)</f>
        <v>0</v>
      </c>
      <c r="G2216" s="161">
        <f>SUMIF(Lanç!C115:C6504,C2216,Lanç!G115:G6504)</f>
        <v>0</v>
      </c>
      <c r="H2216" s="162">
        <f t="shared" ref="H2216:H2252" si="129">(F2216)-(G2216)</f>
        <v>0</v>
      </c>
      <c r="I2216" s="162">
        <f t="shared" ref="I2216:I2262" si="130">(E2216)+(H2216)</f>
        <v>-7932798.8300000001</v>
      </c>
      <c r="J2216" s="1"/>
      <c r="K2216" s="1"/>
      <c r="L2216" s="1"/>
      <c r="M2216" s="1"/>
      <c r="N2216" s="1"/>
    </row>
    <row r="2217" spans="1:14">
      <c r="A2217" s="155">
        <f>IF(E2217+F2217+G2217+H2217+I2217=0,1,0)</f>
        <v>0</v>
      </c>
      <c r="B2217" s="155" t="s">
        <v>204</v>
      </c>
      <c r="C2217" s="156">
        <v>816</v>
      </c>
      <c r="D2217" s="157" t="s">
        <v>1725</v>
      </c>
      <c r="E2217" s="158">
        <f>SUM(E2218)</f>
        <v>-9418869.4000000004</v>
      </c>
      <c r="F2217" s="158">
        <f>SUM(F2218)</f>
        <v>0</v>
      </c>
      <c r="G2217" s="158">
        <f>SUM(G2218)</f>
        <v>0</v>
      </c>
      <c r="H2217" s="163">
        <f t="shared" si="129"/>
        <v>0</v>
      </c>
      <c r="I2217" s="163">
        <f t="shared" si="130"/>
        <v>-9418869.4000000004</v>
      </c>
      <c r="J2217" s="1"/>
      <c r="K2217" s="1"/>
      <c r="L2217" s="1"/>
      <c r="M2217" s="1"/>
      <c r="N2217" s="1"/>
    </row>
    <row r="2218" spans="1:14">
      <c r="A2218" s="151">
        <f>IF(E2218+F2218+G2218+H2218+I2218=0,1,0)</f>
        <v>0</v>
      </c>
      <c r="B2218" s="151" t="s">
        <v>206</v>
      </c>
      <c r="C2218" s="159">
        <v>8161</v>
      </c>
      <c r="D2218" s="160" t="s">
        <v>1727</v>
      </c>
      <c r="E2218" s="161">
        <f>SUMIF(Lanç!C5:C121,C2218,Lanç!F5:F121)</f>
        <v>-9418869.4000000004</v>
      </c>
      <c r="F2218" s="161">
        <f>SUMIF(Lanç!C116:C6506,C2218,Lanç!F116:F6506)</f>
        <v>0</v>
      </c>
      <c r="G2218" s="161">
        <f>SUMIF(Lanç!C116:C6506,C2218,Lanç!G116:G6506)</f>
        <v>0</v>
      </c>
      <c r="H2218" s="162">
        <f>(F2218)-(G2218)</f>
        <v>0</v>
      </c>
      <c r="I2218" s="162">
        <f>(E2218)+(H2218)</f>
        <v>-9418869.4000000004</v>
      </c>
      <c r="J2218" s="1"/>
      <c r="K2218" s="1"/>
      <c r="L2218" s="1"/>
      <c r="M2218" s="1"/>
      <c r="N2218" s="1"/>
    </row>
    <row r="2219" spans="1:14">
      <c r="A2219" s="155">
        <f>IF(E2219+F2219+G2219+H2219+I2219=0,1,0)</f>
        <v>0</v>
      </c>
      <c r="B2219" s="155" t="s">
        <v>204</v>
      </c>
      <c r="C2219" s="156">
        <v>817</v>
      </c>
      <c r="D2219" s="157" t="s">
        <v>1791</v>
      </c>
      <c r="E2219" s="158">
        <f>SUM(E2220)</f>
        <v>-2143418.75</v>
      </c>
      <c r="F2219" s="158">
        <f>SUM(F2220)</f>
        <v>0</v>
      </c>
      <c r="G2219" s="158">
        <f>SUM(G2220)</f>
        <v>0</v>
      </c>
      <c r="H2219" s="163">
        <f>(F2219)-(G2219)</f>
        <v>0</v>
      </c>
      <c r="I2219" s="163">
        <f>(E2219)+(H2219)</f>
        <v>-2143418.75</v>
      </c>
      <c r="J2219" s="1"/>
      <c r="K2219" s="1"/>
      <c r="L2219" s="1"/>
      <c r="M2219" s="1"/>
      <c r="N2219" s="1"/>
    </row>
    <row r="2220" spans="1:14">
      <c r="A2220" s="151">
        <f>IF(E2220+F2220+G2220+H2220+I2220=0,1,0)</f>
        <v>0</v>
      </c>
      <c r="B2220" s="151" t="s">
        <v>206</v>
      </c>
      <c r="C2220" s="159">
        <v>8171</v>
      </c>
      <c r="D2220" s="160" t="s">
        <v>1792</v>
      </c>
      <c r="E2220" s="161">
        <f>SUMIF(Lanç!C3:C121,C2220,Lanç!F3:F121)</f>
        <v>-2143418.75</v>
      </c>
      <c r="F2220" s="161">
        <f>SUMIF(Lanç!C114:C6508,C2220,Lanç!F114:F6508)</f>
        <v>0</v>
      </c>
      <c r="G2220" s="161">
        <f>SUMIF(Lanç!D114:D6508,D2220,Lanç!G114:G6508)</f>
        <v>0</v>
      </c>
      <c r="H2220" s="162">
        <f>(F2220)-(G2220)</f>
        <v>0</v>
      </c>
      <c r="I2220" s="162">
        <f>(E2220)+(H2220)</f>
        <v>-2143418.75</v>
      </c>
      <c r="J2220" s="1"/>
      <c r="K2220" s="1"/>
      <c r="L2220" s="1"/>
      <c r="M2220" s="1"/>
      <c r="N2220" s="1"/>
    </row>
    <row r="2221" spans="1:14">
      <c r="A2221" s="151">
        <f t="shared" si="128"/>
        <v>0</v>
      </c>
      <c r="B2221" s="155" t="s">
        <v>202</v>
      </c>
      <c r="C2221" s="156">
        <v>82</v>
      </c>
      <c r="D2221" s="157" t="s">
        <v>1516</v>
      </c>
      <c r="E2221" s="158">
        <f>SUM(E2222:E2231)</f>
        <v>0</v>
      </c>
      <c r="F2221" s="158">
        <f>SUM(F2222:F2231)</f>
        <v>312287276.12</v>
      </c>
      <c r="G2221" s="158">
        <f>SUM(G2222:G2231)</f>
        <v>312287276.12</v>
      </c>
      <c r="H2221" s="154">
        <f t="shared" si="129"/>
        <v>0</v>
      </c>
      <c r="I2221" s="154">
        <f t="shared" si="130"/>
        <v>0</v>
      </c>
    </row>
    <row r="2222" spans="1:14">
      <c r="A2222" s="151">
        <f t="shared" si="128"/>
        <v>0</v>
      </c>
      <c r="B2222" s="151" t="s">
        <v>1166</v>
      </c>
      <c r="C2222" s="159">
        <v>8201</v>
      </c>
      <c r="D2222" s="160" t="s">
        <v>943</v>
      </c>
      <c r="E2222" s="161">
        <f>SUMIF(Lanç!$C$3:$C$114,C2222,Lanç!$F$3:$F$114)</f>
        <v>0</v>
      </c>
      <c r="F2222" s="161">
        <f>G1633</f>
        <v>6400000</v>
      </c>
      <c r="G2222" s="161">
        <f>F1633</f>
        <v>88953814.710000008</v>
      </c>
      <c r="H2222" s="154">
        <f t="shared" si="129"/>
        <v>-82553814.710000008</v>
      </c>
      <c r="I2222" s="154">
        <f t="shared" si="130"/>
        <v>-82553814.710000008</v>
      </c>
    </row>
    <row r="2223" spans="1:14">
      <c r="A2223" s="151">
        <f t="shared" si="128"/>
        <v>0</v>
      </c>
      <c r="B2223" s="151" t="s">
        <v>1166</v>
      </c>
      <c r="C2223" s="159">
        <v>8202</v>
      </c>
      <c r="D2223" s="160" t="s">
        <v>1517</v>
      </c>
      <c r="E2223" s="161">
        <f>SUMIF(Lanç!$C$3:$C$114,C2223,Lanç!$F$3:$F$114)</f>
        <v>0</v>
      </c>
      <c r="F2223" s="161">
        <f>SUMIF(Lanç!$C$115:$C$6504,C2223,Lanç!$F$115:$F$6504)</f>
        <v>0</v>
      </c>
      <c r="G2223" s="161">
        <f>F1650</f>
        <v>218473707.13999999</v>
      </c>
      <c r="H2223" s="154">
        <f t="shared" si="129"/>
        <v>-218473707.13999999</v>
      </c>
      <c r="I2223" s="154">
        <f t="shared" si="130"/>
        <v>-218473707.13999999</v>
      </c>
    </row>
    <row r="2224" spans="1:14" hidden="1">
      <c r="A2224" s="151">
        <f t="shared" si="128"/>
        <v>1</v>
      </c>
      <c r="B2224" s="151" t="s">
        <v>1166</v>
      </c>
      <c r="C2224" s="159">
        <v>8203</v>
      </c>
      <c r="D2224" s="160" t="s">
        <v>1518</v>
      </c>
      <c r="E2224" s="161">
        <f>SUMIF(Lanç!$C$3:$C$114,C2224,Lanç!$F$3:$F$114)</f>
        <v>0</v>
      </c>
      <c r="F2224" s="161">
        <f>G1664</f>
        <v>0</v>
      </c>
      <c r="G2224" s="161">
        <f>F1664</f>
        <v>0</v>
      </c>
      <c r="H2224" s="154">
        <f t="shared" si="129"/>
        <v>0</v>
      </c>
      <c r="I2224" s="154">
        <f t="shared" si="130"/>
        <v>0</v>
      </c>
    </row>
    <row r="2225" spans="1:14" hidden="1">
      <c r="A2225" s="151">
        <f t="shared" ref="A2225:A2262" si="131">IF(E2225+F2225+G2225+H2225+I2225=0,1,0)</f>
        <v>1</v>
      </c>
      <c r="B2225" s="151" t="s">
        <v>1166</v>
      </c>
      <c r="C2225" s="159">
        <v>8204</v>
      </c>
      <c r="D2225" s="160" t="s">
        <v>1519</v>
      </c>
      <c r="E2225" s="161">
        <f>SUMIF(Lanç!$C$3:$C$114,C2225,Lanç!$F$3:$F$114)</f>
        <v>0</v>
      </c>
      <c r="F2225" s="161">
        <f>G1677</f>
        <v>0</v>
      </c>
      <c r="G2225" s="161">
        <f>F1677</f>
        <v>0</v>
      </c>
      <c r="H2225" s="154">
        <f t="shared" si="129"/>
        <v>0</v>
      </c>
      <c r="I2225" s="154">
        <f t="shared" si="130"/>
        <v>0</v>
      </c>
    </row>
    <row r="2226" spans="1:14" hidden="1">
      <c r="A2226" s="151">
        <f t="shared" si="131"/>
        <v>1</v>
      </c>
      <c r="B2226" s="151" t="s">
        <v>1166</v>
      </c>
      <c r="C2226" s="159">
        <v>8205</v>
      </c>
      <c r="D2226" s="160" t="s">
        <v>1520</v>
      </c>
      <c r="E2226" s="161">
        <f>SUMIF(Lanç!$C$3:$C$114,C2226,Lanç!$F$3:$F$114)</f>
        <v>0</v>
      </c>
      <c r="F2226" s="161">
        <f>G1678</f>
        <v>0</v>
      </c>
      <c r="G2226" s="161">
        <f>F1678</f>
        <v>0</v>
      </c>
      <c r="H2226" s="154">
        <f t="shared" si="129"/>
        <v>0</v>
      </c>
      <c r="I2226" s="154">
        <f t="shared" si="130"/>
        <v>0</v>
      </c>
    </row>
    <row r="2227" spans="1:14">
      <c r="A2227" s="151">
        <f t="shared" si="131"/>
        <v>0</v>
      </c>
      <c r="B2227" s="151" t="s">
        <v>1166</v>
      </c>
      <c r="C2227" s="159">
        <v>8206</v>
      </c>
      <c r="D2227" s="160" t="s">
        <v>1521</v>
      </c>
      <c r="E2227" s="161">
        <f>SUMIF(Lanç!$C$3:$C$114,C2227,Lanç!$F$3:$F$114)</f>
        <v>0</v>
      </c>
      <c r="F2227" s="161">
        <f>G1819</f>
        <v>52996258.18999999</v>
      </c>
      <c r="G2227" s="161">
        <f>F1819</f>
        <v>4500000</v>
      </c>
      <c r="H2227" s="154">
        <f t="shared" si="129"/>
        <v>48496258.18999999</v>
      </c>
      <c r="I2227" s="154">
        <f t="shared" si="130"/>
        <v>48496258.18999999</v>
      </c>
    </row>
    <row r="2228" spans="1:14">
      <c r="A2228" s="151">
        <f t="shared" si="131"/>
        <v>0</v>
      </c>
      <c r="B2228" s="151" t="s">
        <v>1166</v>
      </c>
      <c r="C2228" s="159">
        <v>8207</v>
      </c>
      <c r="D2228" s="160" t="s">
        <v>1522</v>
      </c>
      <c r="E2228" s="161">
        <f>SUMIF(Lanç!$C$3:$C$114,C2228,Lanç!$F$3:$F$114)</f>
        <v>0</v>
      </c>
      <c r="F2228" s="161">
        <f>G1917</f>
        <v>33038302.689999998</v>
      </c>
      <c r="G2228" s="161">
        <f>SUMIF(Lanç!$C$115:$C$6504,C2228,Lanç!$G$115:$G$6504)</f>
        <v>0</v>
      </c>
      <c r="H2228" s="154">
        <f t="shared" si="129"/>
        <v>33038302.689999998</v>
      </c>
      <c r="I2228" s="154">
        <f t="shared" si="130"/>
        <v>33038302.689999998</v>
      </c>
    </row>
    <row r="2229" spans="1:14" hidden="1">
      <c r="A2229" s="151">
        <f t="shared" si="131"/>
        <v>1</v>
      </c>
      <c r="B2229" s="151" t="s">
        <v>1166</v>
      </c>
      <c r="C2229" s="159">
        <v>8208</v>
      </c>
      <c r="D2229" s="160" t="s">
        <v>1523</v>
      </c>
      <c r="E2229" s="161">
        <f>SUMIF(Lanç!$C$3:$C$114,C2229,Lanç!$F$3:$F$114)</f>
        <v>0</v>
      </c>
      <c r="F2229" s="161">
        <f>G1932</f>
        <v>0</v>
      </c>
      <c r="G2229" s="161">
        <f>SUMIF(Lanç!$C$115:$C$6504,C2229,Lanç!$G$115:$G$6504)</f>
        <v>0</v>
      </c>
      <c r="H2229" s="154">
        <f t="shared" si="129"/>
        <v>0</v>
      </c>
      <c r="I2229" s="154">
        <f t="shared" si="130"/>
        <v>0</v>
      </c>
    </row>
    <row r="2230" spans="1:14">
      <c r="A2230" s="151">
        <f t="shared" si="131"/>
        <v>0</v>
      </c>
      <c r="B2230" s="151" t="s">
        <v>1166</v>
      </c>
      <c r="C2230" s="159">
        <v>8209</v>
      </c>
      <c r="D2230" s="160" t="s">
        <v>1524</v>
      </c>
      <c r="E2230" s="161">
        <f>SUMIF(Lanç!$C$3:$C$114,C2230,Lanç!$F$3:$F$114)</f>
        <v>0</v>
      </c>
      <c r="F2230" s="161">
        <f>G2065</f>
        <v>219852715.24000001</v>
      </c>
      <c r="G2230" s="161">
        <f>SUMIF(Lanç!$C$115:$C$6504,C2230,Lanç!$G$115:$G$6504)</f>
        <v>0</v>
      </c>
      <c r="H2230" s="154">
        <f t="shared" si="129"/>
        <v>219852715.24000001</v>
      </c>
      <c r="I2230" s="154">
        <f t="shared" si="130"/>
        <v>219852715.24000001</v>
      </c>
      <c r="J2230" s="1"/>
      <c r="K2230" s="1"/>
      <c r="L2230" s="1"/>
      <c r="M2230" s="1"/>
      <c r="N2230" s="1"/>
    </row>
    <row r="2231" spans="1:14">
      <c r="A2231" s="151">
        <f t="shared" si="131"/>
        <v>0</v>
      </c>
      <c r="B2231" s="155" t="s">
        <v>1166</v>
      </c>
      <c r="C2231" s="156">
        <v>8219</v>
      </c>
      <c r="D2231" s="157" t="s">
        <v>1525</v>
      </c>
      <c r="E2231" s="158">
        <f>SUMIF(Lanç!$C$3:$C$114,C2231,Lanç!$F$3:$F$114)</f>
        <v>0</v>
      </c>
      <c r="F2231" s="158">
        <f>-IF((SUM(F2222:F2230))-(SUM(G2222:G2230))&lt;0,(SUM(F2222:F2230))-(SUM(G2222:G2230)),0)</f>
        <v>0</v>
      </c>
      <c r="G2231" s="158">
        <f>IF((SUM(F2222:F2230))-(SUM(G2222:G2230))&gt;0,(SUM(F2222:F2230))-(SUM(G2222:G2230)),0)</f>
        <v>359754.26999998093</v>
      </c>
      <c r="H2231" s="154">
        <f t="shared" si="129"/>
        <v>-359754.26999998093</v>
      </c>
      <c r="I2231" s="154">
        <f t="shared" si="130"/>
        <v>-359754.26999998093</v>
      </c>
    </row>
    <row r="2232" spans="1:14">
      <c r="A2232" s="151">
        <f t="shared" si="131"/>
        <v>0</v>
      </c>
      <c r="B2232" s="155" t="s">
        <v>202</v>
      </c>
      <c r="C2232" s="156">
        <v>83</v>
      </c>
      <c r="D2232" s="157" t="s">
        <v>1526</v>
      </c>
      <c r="E2232" s="158">
        <f>SUM(E2233:E2235)</f>
        <v>0</v>
      </c>
      <c r="F2232" s="158">
        <f>SUM(F2233:F2235)</f>
        <v>89656</v>
      </c>
      <c r="G2232" s="158">
        <f>SUM(G2233:G2235)</f>
        <v>89656</v>
      </c>
      <c r="H2232" s="154">
        <f>(F2232)-(G2232)</f>
        <v>0</v>
      </c>
      <c r="I2232" s="154">
        <f t="shared" si="130"/>
        <v>0</v>
      </c>
    </row>
    <row r="2233" spans="1:14" hidden="1">
      <c r="A2233" s="151">
        <f t="shared" si="131"/>
        <v>1</v>
      </c>
      <c r="B2233" s="151" t="s">
        <v>1166</v>
      </c>
      <c r="C2233" s="159">
        <v>831</v>
      </c>
      <c r="D2233" s="160" t="s">
        <v>1527</v>
      </c>
      <c r="E2233" s="161">
        <f>SUMIF(Lanç!$C$3:$C$114,C2233,Lanç!$F$3:$F$114)</f>
        <v>0</v>
      </c>
      <c r="F2233" s="161">
        <f>G1640</f>
        <v>0</v>
      </c>
      <c r="G2233" s="161">
        <f>F1733</f>
        <v>0</v>
      </c>
      <c r="H2233" s="154">
        <f t="shared" si="129"/>
        <v>0</v>
      </c>
      <c r="I2233" s="154">
        <f t="shared" si="130"/>
        <v>0</v>
      </c>
    </row>
    <row r="2234" spans="1:14">
      <c r="A2234" s="151">
        <f t="shared" si="131"/>
        <v>0</v>
      </c>
      <c r="B2234" s="151" t="s">
        <v>1166</v>
      </c>
      <c r="C2234" s="159">
        <v>832</v>
      </c>
      <c r="D2234" s="160" t="s">
        <v>1528</v>
      </c>
      <c r="E2234" s="161">
        <f>SUMIF(Lanç!$C$3:$C$114,C2234,Lanç!$F$3:$F$114)</f>
        <v>0</v>
      </c>
      <c r="F2234" s="161">
        <f>G2127</f>
        <v>89656</v>
      </c>
      <c r="G2234" s="161">
        <f>F2127</f>
        <v>0</v>
      </c>
      <c r="H2234" s="154">
        <f t="shared" si="129"/>
        <v>89656</v>
      </c>
      <c r="I2234" s="154">
        <f t="shared" si="130"/>
        <v>89656</v>
      </c>
      <c r="J2234" s="1"/>
      <c r="K2234" s="1"/>
      <c r="L2234" s="1"/>
      <c r="M2234" s="1"/>
      <c r="N2234" s="1"/>
    </row>
    <row r="2235" spans="1:14">
      <c r="A2235" s="151">
        <f t="shared" si="131"/>
        <v>0</v>
      </c>
      <c r="B2235" s="155" t="s">
        <v>1166</v>
      </c>
      <c r="C2235" s="156">
        <v>839</v>
      </c>
      <c r="D2235" s="157" t="s">
        <v>1529</v>
      </c>
      <c r="E2235" s="158">
        <f>SUMIF(Lanç!$C$3:$C$114,C2235,Lanç!$F$3:$F$114)</f>
        <v>0</v>
      </c>
      <c r="F2235" s="158">
        <f>IF((F2233+F2234)-(G2233+G2234)&lt;0,(F2233+F2234)-(G2233+G2234),0)</f>
        <v>0</v>
      </c>
      <c r="G2235" s="158">
        <f>IF((F2233+F2234)-(G2233+G2234)&gt;0,(F2233+F2234)-(G2233+G2234),0)</f>
        <v>89656</v>
      </c>
      <c r="H2235" s="154">
        <f t="shared" si="129"/>
        <v>-89656</v>
      </c>
      <c r="I2235" s="154">
        <f t="shared" si="130"/>
        <v>-89656</v>
      </c>
    </row>
    <row r="2236" spans="1:14" hidden="1">
      <c r="A2236" s="151">
        <f t="shared" si="131"/>
        <v>1</v>
      </c>
      <c r="B2236" s="155" t="s">
        <v>202</v>
      </c>
      <c r="C2236" s="156">
        <v>84</v>
      </c>
      <c r="D2236" s="157" t="s">
        <v>1530</v>
      </c>
      <c r="E2236" s="158">
        <f>SUM(E2237:E2239)</f>
        <v>0</v>
      </c>
      <c r="F2236" s="158">
        <f>SUM(F2237:F2239)</f>
        <v>0</v>
      </c>
      <c r="G2236" s="158">
        <f>SUM(G2237:G2239)</f>
        <v>0</v>
      </c>
      <c r="H2236" s="154">
        <f t="shared" si="129"/>
        <v>0</v>
      </c>
      <c r="I2236" s="154">
        <f t="shared" si="130"/>
        <v>0</v>
      </c>
    </row>
    <row r="2237" spans="1:14" hidden="1">
      <c r="A2237" s="151">
        <f t="shared" si="131"/>
        <v>1</v>
      </c>
      <c r="B2237" s="151" t="s">
        <v>1166</v>
      </c>
      <c r="C2237" s="159">
        <v>841</v>
      </c>
      <c r="D2237" s="160" t="s">
        <v>1531</v>
      </c>
      <c r="E2237" s="161">
        <f>SUMIF(Lanç!$C$3:$C$114,C2237,Lanç!$F$3:$F$114)</f>
        <v>0</v>
      </c>
      <c r="F2237" s="161">
        <f>G1738</f>
        <v>0</v>
      </c>
      <c r="G2237" s="161">
        <f>F1738</f>
        <v>0</v>
      </c>
      <c r="H2237" s="154">
        <f t="shared" si="129"/>
        <v>0</v>
      </c>
      <c r="I2237" s="154">
        <f t="shared" si="130"/>
        <v>0</v>
      </c>
    </row>
    <row r="2238" spans="1:14" hidden="1">
      <c r="A2238" s="151">
        <f t="shared" si="131"/>
        <v>1</v>
      </c>
      <c r="B2238" s="151" t="s">
        <v>1166</v>
      </c>
      <c r="C2238" s="159">
        <v>842</v>
      </c>
      <c r="D2238" s="160" t="s">
        <v>1532</v>
      </c>
      <c r="E2238" s="161">
        <f>SUMIF(Lanç!$C$3:$C$114,C2238,Lanç!$F$3:$F$114)</f>
        <v>0</v>
      </c>
      <c r="F2238" s="161">
        <f>G2129</f>
        <v>0</v>
      </c>
      <c r="G2238" s="161">
        <f>F2129</f>
        <v>0</v>
      </c>
      <c r="H2238" s="154">
        <f t="shared" si="129"/>
        <v>0</v>
      </c>
      <c r="I2238" s="154">
        <f t="shared" si="130"/>
        <v>0</v>
      </c>
      <c r="J2238" s="1"/>
      <c r="K2238" s="1"/>
      <c r="L2238" s="1"/>
      <c r="M2238" s="1"/>
      <c r="N2238" s="1"/>
    </row>
    <row r="2239" spans="1:14" hidden="1">
      <c r="A2239" s="151">
        <f t="shared" si="131"/>
        <v>1</v>
      </c>
      <c r="B2239" s="155" t="s">
        <v>1166</v>
      </c>
      <c r="C2239" s="156">
        <v>849</v>
      </c>
      <c r="D2239" s="157" t="s">
        <v>1529</v>
      </c>
      <c r="E2239" s="158">
        <f>SUMIF(Lanç!$C$3:$C$114,C2239,Lanç!$F$3:$F$114)</f>
        <v>0</v>
      </c>
      <c r="F2239" s="158">
        <f>IF((F2237+F2238)-(G2237+G2238)&lt;0,(F2237+F2238)-(G2237+G2238),0)</f>
        <v>0</v>
      </c>
      <c r="G2239" s="158">
        <f>IF((G2237+G2238)-(H2237+H2238)&gt;0,(F2237+F2238)-(G2237+G2238),0)</f>
        <v>0</v>
      </c>
      <c r="H2239" s="154">
        <f t="shared" si="129"/>
        <v>0</v>
      </c>
      <c r="I2239" s="154">
        <f t="shared" si="130"/>
        <v>0</v>
      </c>
    </row>
    <row r="2240" spans="1:14">
      <c r="A2240" s="151">
        <f t="shared" si="131"/>
        <v>0</v>
      </c>
      <c r="B2240" s="155" t="s">
        <v>202</v>
      </c>
      <c r="C2240" s="156">
        <v>85</v>
      </c>
      <c r="D2240" s="157" t="s">
        <v>1533</v>
      </c>
      <c r="E2240" s="158">
        <f>SUM(E2241:E2243)</f>
        <v>0</v>
      </c>
      <c r="F2240" s="158">
        <f>SUM(F2241:F2243)</f>
        <v>14051754.41</v>
      </c>
      <c r="G2240" s="158">
        <f>SUM(G2241:G2243)</f>
        <v>14051754.41</v>
      </c>
      <c r="H2240" s="154">
        <f t="shared" si="129"/>
        <v>0</v>
      </c>
      <c r="I2240" s="154">
        <f t="shared" si="130"/>
        <v>0</v>
      </c>
    </row>
    <row r="2241" spans="1:14">
      <c r="A2241" s="151">
        <f t="shared" si="131"/>
        <v>0</v>
      </c>
      <c r="B2241" s="151" t="s">
        <v>1166</v>
      </c>
      <c r="C2241" s="159">
        <v>851</v>
      </c>
      <c r="D2241" s="160" t="s">
        <v>1534</v>
      </c>
      <c r="E2241" s="161">
        <f>SUMIF(Lanç!$C$3:$C$114,C2241,Lanç!$F$3:$F$114)</f>
        <v>0</v>
      </c>
      <c r="F2241" s="161">
        <f>G1788</f>
        <v>14051754.41</v>
      </c>
      <c r="G2241" s="161">
        <f>F1788</f>
        <v>0</v>
      </c>
      <c r="H2241" s="154">
        <f t="shared" si="129"/>
        <v>14051754.41</v>
      </c>
      <c r="I2241" s="154">
        <f t="shared" si="130"/>
        <v>14051754.41</v>
      </c>
    </row>
    <row r="2242" spans="1:14" hidden="1">
      <c r="A2242" s="151">
        <f t="shared" si="131"/>
        <v>1</v>
      </c>
      <c r="B2242" s="151" t="s">
        <v>1166</v>
      </c>
      <c r="C2242" s="159">
        <v>852</v>
      </c>
      <c r="D2242" s="160" t="s">
        <v>1535</v>
      </c>
      <c r="E2242" s="161">
        <f>SUMIF(Lanç!$C$3:$C$114,C2242,Lanç!$F$3:$F$114)</f>
        <v>0</v>
      </c>
      <c r="F2242" s="161">
        <f>G2182</f>
        <v>0</v>
      </c>
      <c r="G2242" s="161">
        <f>F2182</f>
        <v>0</v>
      </c>
      <c r="H2242" s="154">
        <f t="shared" si="129"/>
        <v>0</v>
      </c>
      <c r="I2242" s="154">
        <f t="shared" si="130"/>
        <v>0</v>
      </c>
      <c r="J2242" s="1"/>
      <c r="K2242" s="1"/>
      <c r="L2242" s="1"/>
      <c r="M2242" s="1"/>
      <c r="N2242" s="1"/>
    </row>
    <row r="2243" spans="1:14">
      <c r="A2243" s="151">
        <f t="shared" si="131"/>
        <v>0</v>
      </c>
      <c r="B2243" s="155" t="s">
        <v>1166</v>
      </c>
      <c r="C2243" s="156">
        <v>859</v>
      </c>
      <c r="D2243" s="157" t="s">
        <v>1529</v>
      </c>
      <c r="E2243" s="158">
        <f>SUMIF(Lanç!$C$3:$C$114,C2243,Lanç!$F$3:$F$114)</f>
        <v>0</v>
      </c>
      <c r="F2243" s="158">
        <f>IF((F2241+F2242)-(G2241+G2242)&lt;0,(F2241-F2242)+(G2241+G2242),0)</f>
        <v>0</v>
      </c>
      <c r="G2243" s="158">
        <f>IF((F2241+F2242)-(G2241+G2242)&gt;0,(F2241+F2242)-(G2241+G2242),0)</f>
        <v>14051754.41</v>
      </c>
      <c r="H2243" s="154">
        <f t="shared" si="129"/>
        <v>-14051754.41</v>
      </c>
      <c r="I2243" s="154">
        <f t="shared" si="130"/>
        <v>-14051754.41</v>
      </c>
    </row>
    <row r="2244" spans="1:14" hidden="1">
      <c r="A2244" s="151">
        <f t="shared" si="131"/>
        <v>1</v>
      </c>
      <c r="B2244" s="155" t="s">
        <v>202</v>
      </c>
      <c r="C2244" s="156">
        <v>86</v>
      </c>
      <c r="D2244" s="157" t="s">
        <v>1536</v>
      </c>
      <c r="E2244" s="158">
        <f>SUM(E2245:E2247)</f>
        <v>0</v>
      </c>
      <c r="F2244" s="158">
        <f>SUM(F2245:F2247)</f>
        <v>0</v>
      </c>
      <c r="G2244" s="158">
        <f>SUM(G2245:G2247)</f>
        <v>0</v>
      </c>
      <c r="H2244" s="154">
        <f t="shared" si="129"/>
        <v>0</v>
      </c>
      <c r="I2244" s="154">
        <f t="shared" si="130"/>
        <v>0</v>
      </c>
    </row>
    <row r="2245" spans="1:14" hidden="1">
      <c r="A2245" s="151">
        <f t="shared" si="131"/>
        <v>1</v>
      </c>
      <c r="B2245" s="151" t="s">
        <v>1166</v>
      </c>
      <c r="C2245" s="159">
        <v>861</v>
      </c>
      <c r="D2245" s="160" t="s">
        <v>1537</v>
      </c>
      <c r="E2245" s="161">
        <f>SUMIF(Lanç!$C$3:$C$114,C2245,Lanç!$F$3:$F$114)</f>
        <v>0</v>
      </c>
      <c r="F2245" s="161">
        <f>G1804</f>
        <v>0</v>
      </c>
      <c r="G2245" s="161">
        <f>F1804</f>
        <v>0</v>
      </c>
      <c r="H2245" s="154">
        <f t="shared" si="129"/>
        <v>0</v>
      </c>
      <c r="I2245" s="154">
        <f t="shared" si="130"/>
        <v>0</v>
      </c>
    </row>
    <row r="2246" spans="1:14" hidden="1">
      <c r="A2246" s="151">
        <f t="shared" si="131"/>
        <v>1</v>
      </c>
      <c r="B2246" s="151" t="s">
        <v>1166</v>
      </c>
      <c r="C2246" s="159">
        <v>862</v>
      </c>
      <c r="D2246" s="160" t="s">
        <v>1538</v>
      </c>
      <c r="E2246" s="161">
        <f>SUMIF(Lanç!$C$3:$C$114,C2246,Lanç!$F$3:$F$114)</f>
        <v>0</v>
      </c>
      <c r="F2246" s="161">
        <f>G2192</f>
        <v>0</v>
      </c>
      <c r="G2246" s="161">
        <f>F2192</f>
        <v>0</v>
      </c>
      <c r="H2246" s="154">
        <f t="shared" si="129"/>
        <v>0</v>
      </c>
      <c r="I2246" s="154">
        <f t="shared" si="130"/>
        <v>0</v>
      </c>
      <c r="J2246" s="1"/>
      <c r="K2246" s="1"/>
      <c r="L2246" s="1"/>
      <c r="M2246" s="1"/>
      <c r="N2246" s="1"/>
    </row>
    <row r="2247" spans="1:14" hidden="1">
      <c r="A2247" s="151">
        <f t="shared" si="131"/>
        <v>1</v>
      </c>
      <c r="B2247" s="155" t="s">
        <v>1166</v>
      </c>
      <c r="C2247" s="156">
        <v>869</v>
      </c>
      <c r="D2247" s="157" t="s">
        <v>1529</v>
      </c>
      <c r="E2247" s="161">
        <f>SUMIF(Lanç!$C$3:$C$114,C2247,Lanç!$F$3:$F$114)</f>
        <v>0</v>
      </c>
      <c r="F2247" s="158">
        <f>IF((F2245+F2246)-(G2245+G2246)&lt;0,(F2245+F2246)-(G2245+G2246),0)</f>
        <v>0</v>
      </c>
      <c r="G2247" s="158">
        <f>IF((G2245+G2246)-(H2245+H2246)&gt;0,(F2245+F2246)-(G2245+G2246),0)</f>
        <v>0</v>
      </c>
      <c r="H2247" s="154">
        <f t="shared" si="129"/>
        <v>0</v>
      </c>
      <c r="I2247" s="154">
        <f t="shared" si="130"/>
        <v>0</v>
      </c>
    </row>
    <row r="2248" spans="1:14" hidden="1">
      <c r="A2248" s="151">
        <f t="shared" si="131"/>
        <v>1</v>
      </c>
      <c r="B2248" s="155" t="s">
        <v>202</v>
      </c>
      <c r="C2248" s="156">
        <v>87</v>
      </c>
      <c r="D2248" s="157" t="s">
        <v>1539</v>
      </c>
      <c r="E2248" s="158">
        <f>SUM(E2249:E2251)</f>
        <v>0</v>
      </c>
      <c r="F2248" s="158">
        <f>SUM(F2249:F2251)</f>
        <v>0</v>
      </c>
      <c r="G2248" s="158">
        <f>SUM(G2249:G2251)</f>
        <v>0</v>
      </c>
      <c r="H2248" s="154">
        <f t="shared" si="129"/>
        <v>0</v>
      </c>
      <c r="I2248" s="154">
        <f t="shared" si="130"/>
        <v>0</v>
      </c>
    </row>
    <row r="2249" spans="1:14" hidden="1">
      <c r="A2249" s="151">
        <f t="shared" si="131"/>
        <v>1</v>
      </c>
      <c r="B2249" s="151" t="s">
        <v>206</v>
      </c>
      <c r="C2249" s="159">
        <v>871</v>
      </c>
      <c r="D2249" s="160" t="s">
        <v>1540</v>
      </c>
      <c r="E2249" s="161">
        <f>SUMIF(Lanç!$C$3:$C$114,C2249,Lanç!$F$3:$F$114)</f>
        <v>0</v>
      </c>
      <c r="F2249" s="161">
        <f>SUMIF(Lanç!$C$115:$C$6504,C2249,Lanç!$F$115:$F$6504)</f>
        <v>0</v>
      </c>
      <c r="G2249" s="161">
        <f>SUMIF(Lanç!$C$115:$C$6504,C2249,Lanç!$G$115:$G$6504)</f>
        <v>0</v>
      </c>
      <c r="H2249" s="154">
        <f t="shared" si="129"/>
        <v>0</v>
      </c>
      <c r="I2249" s="154">
        <f t="shared" si="130"/>
        <v>0</v>
      </c>
    </row>
    <row r="2250" spans="1:14" hidden="1">
      <c r="A2250" s="151">
        <f t="shared" si="131"/>
        <v>1</v>
      </c>
      <c r="B2250" s="151" t="s">
        <v>206</v>
      </c>
      <c r="C2250" s="159">
        <v>872</v>
      </c>
      <c r="D2250" s="160" t="s">
        <v>1541</v>
      </c>
      <c r="E2250" s="161">
        <f>SUMIF(Lanç!$C$3:$C$114,C2250,Lanç!$F$3:$F$114)</f>
        <v>0</v>
      </c>
      <c r="F2250" s="161">
        <f>SUMIF(Lanç!$C$115:$C$6504,C2250,Lanç!$F$115:$F$6504)</f>
        <v>0</v>
      </c>
      <c r="G2250" s="161">
        <f>SUMIF(Lanç!$C$115:$C$6504,C2250,Lanç!$G$115:$G$6504)</f>
        <v>0</v>
      </c>
      <c r="H2250" s="154">
        <f t="shared" si="129"/>
        <v>0</v>
      </c>
      <c r="I2250" s="154">
        <f t="shared" si="130"/>
        <v>0</v>
      </c>
      <c r="J2250" s="1"/>
      <c r="K2250" s="1"/>
      <c r="L2250" s="1"/>
      <c r="M2250" s="1"/>
      <c r="N2250" s="1"/>
    </row>
    <row r="2251" spans="1:14" hidden="1">
      <c r="A2251" s="151">
        <f t="shared" si="131"/>
        <v>1</v>
      </c>
      <c r="B2251" s="155" t="s">
        <v>1166</v>
      </c>
      <c r="C2251" s="156">
        <v>879</v>
      </c>
      <c r="D2251" s="157" t="s">
        <v>1529</v>
      </c>
      <c r="E2251" s="158">
        <f>SUMIF(Lanç!$C$3:$C$114,C2251,Lanç!$F$3:$F$114)</f>
        <v>0</v>
      </c>
      <c r="F2251" s="158">
        <f>IF((F2249+F2250)-(G2249+G2250)&lt;0,(F2249+F2250)-(G2249+G2250),0)</f>
        <v>0</v>
      </c>
      <c r="G2251" s="158">
        <f>IF((F2249+F2250)-(G2249+G2250)&gt;0,(F2249+F2250)-(G2249+G2250),0)</f>
        <v>0</v>
      </c>
      <c r="H2251" s="163">
        <f t="shared" si="129"/>
        <v>0</v>
      </c>
      <c r="I2251" s="163">
        <f t="shared" si="130"/>
        <v>0</v>
      </c>
    </row>
    <row r="2252" spans="1:14">
      <c r="A2252" s="151">
        <f t="shared" si="131"/>
        <v>0</v>
      </c>
      <c r="B2252" s="155" t="s">
        <v>202</v>
      </c>
      <c r="C2252" s="156">
        <v>88</v>
      </c>
      <c r="D2252" s="157" t="s">
        <v>1542</v>
      </c>
      <c r="E2252" s="158">
        <f>SUM(E2253:E2260)</f>
        <v>0</v>
      </c>
      <c r="F2252" s="158">
        <f>SUM(F2253:F2261)</f>
        <v>14501164.679999981</v>
      </c>
      <c r="G2252" s="158">
        <f>SUM(G2253:G2260)</f>
        <v>0</v>
      </c>
      <c r="H2252" s="154">
        <f t="shared" si="129"/>
        <v>14501164.679999981</v>
      </c>
      <c r="I2252" s="154">
        <f t="shared" si="130"/>
        <v>14501164.679999981</v>
      </c>
    </row>
    <row r="2253" spans="1:14">
      <c r="A2253" s="151">
        <f t="shared" si="131"/>
        <v>0</v>
      </c>
      <c r="B2253" s="151" t="s">
        <v>1166</v>
      </c>
      <c r="C2253" s="159">
        <v>881</v>
      </c>
      <c r="D2253" s="160" t="s">
        <v>1726</v>
      </c>
      <c r="E2253" s="161">
        <f>SUMIF(Lanç!C3:C114,C2253,Lanç!F3:F114)</f>
        <v>0</v>
      </c>
      <c r="F2253" s="161">
        <f>G2231</f>
        <v>359754.26999998093</v>
      </c>
      <c r="G2253" s="161">
        <f>F2231</f>
        <v>0</v>
      </c>
      <c r="H2253" s="154">
        <f>F2253-G2253</f>
        <v>359754.26999998093</v>
      </c>
      <c r="I2253" s="154">
        <f t="shared" si="130"/>
        <v>359754.26999998093</v>
      </c>
    </row>
    <row r="2254" spans="1:14">
      <c r="A2254" s="151">
        <f t="shared" si="131"/>
        <v>0</v>
      </c>
      <c r="B2254" s="151" t="s">
        <v>1166</v>
      </c>
      <c r="C2254" s="159">
        <v>882</v>
      </c>
      <c r="D2254" s="160" t="s">
        <v>1543</v>
      </c>
      <c r="E2254" s="161">
        <f>SUMIF(Lanç!C3:C114,C2254,Lanç!F3:F114)</f>
        <v>0</v>
      </c>
      <c r="F2254" s="161">
        <f>G2235</f>
        <v>89656</v>
      </c>
      <c r="G2254" s="161">
        <f>F2235</f>
        <v>0</v>
      </c>
      <c r="H2254" s="154">
        <f>F2254+G2254</f>
        <v>89656</v>
      </c>
      <c r="I2254" s="154">
        <f t="shared" si="130"/>
        <v>89656</v>
      </c>
    </row>
    <row r="2255" spans="1:14" hidden="1">
      <c r="A2255" s="151">
        <f t="shared" si="131"/>
        <v>1</v>
      </c>
      <c r="B2255" s="151" t="s">
        <v>1166</v>
      </c>
      <c r="C2255" s="159">
        <v>883</v>
      </c>
      <c r="D2255" s="160" t="s">
        <v>1544</v>
      </c>
      <c r="E2255" s="161">
        <f>SUMIF(Lanç!$C$3:$C$114,C2255,Lanç!$F$3:$F$114)</f>
        <v>0</v>
      </c>
      <c r="F2255" s="161">
        <f>G2239</f>
        <v>0</v>
      </c>
      <c r="G2255" s="161">
        <f>F2239</f>
        <v>0</v>
      </c>
      <c r="H2255" s="154">
        <f>(G2255)-(F2255)</f>
        <v>0</v>
      </c>
      <c r="I2255" s="154">
        <f t="shared" si="130"/>
        <v>0</v>
      </c>
    </row>
    <row r="2256" spans="1:14">
      <c r="A2256" s="151">
        <f t="shared" si="131"/>
        <v>0</v>
      </c>
      <c r="B2256" s="151" t="s">
        <v>1166</v>
      </c>
      <c r="C2256" s="159">
        <v>884</v>
      </c>
      <c r="D2256" s="160" t="s">
        <v>1545</v>
      </c>
      <c r="E2256" s="161">
        <f>SUMIF(Lanç!C3:C114,C2256,Lanç!F3:F114)</f>
        <v>0</v>
      </c>
      <c r="F2256" s="161">
        <f>G2243</f>
        <v>14051754.41</v>
      </c>
      <c r="G2256" s="161">
        <f>F2243</f>
        <v>0</v>
      </c>
      <c r="H2256" s="154">
        <f>(F2256)-(G2256)</f>
        <v>14051754.41</v>
      </c>
      <c r="I2256" s="154">
        <f t="shared" si="130"/>
        <v>14051754.41</v>
      </c>
    </row>
    <row r="2257" spans="1:14" hidden="1">
      <c r="A2257" s="151">
        <f t="shared" si="131"/>
        <v>1</v>
      </c>
      <c r="B2257" s="151" t="s">
        <v>1166</v>
      </c>
      <c r="C2257" s="159">
        <v>885</v>
      </c>
      <c r="D2257" s="160" t="s">
        <v>1546</v>
      </c>
      <c r="E2257" s="161">
        <f>SUMIF(Lanç!C3:C114,C2257,Lanç!F3:F114)</f>
        <v>0</v>
      </c>
      <c r="F2257" s="161">
        <f>G2251</f>
        <v>0</v>
      </c>
      <c r="G2257" s="161">
        <f>F2251</f>
        <v>0</v>
      </c>
      <c r="H2257" s="154">
        <f>(F2257)-(G2257)</f>
        <v>0</v>
      </c>
      <c r="I2257" s="154">
        <f t="shared" si="130"/>
        <v>0</v>
      </c>
    </row>
    <row r="2258" spans="1:14" hidden="1">
      <c r="A2258" s="151">
        <f t="shared" si="131"/>
        <v>1</v>
      </c>
      <c r="B2258" s="151" t="s">
        <v>1166</v>
      </c>
      <c r="C2258" s="159">
        <v>886</v>
      </c>
      <c r="D2258" s="160" t="s">
        <v>1547</v>
      </c>
      <c r="E2258" s="161">
        <f>SUMIF(Lanç!C3:C114,C2258,Lanç!F3:F114)</f>
        <v>0</v>
      </c>
      <c r="F2258" s="161">
        <f>G2247</f>
        <v>0</v>
      </c>
      <c r="G2258" s="161">
        <f>F2247</f>
        <v>0</v>
      </c>
      <c r="H2258" s="154">
        <f>(G2258)-(F2258)</f>
        <v>0</v>
      </c>
      <c r="I2258" s="154">
        <f t="shared" si="130"/>
        <v>0</v>
      </c>
    </row>
    <row r="2259" spans="1:14" hidden="1">
      <c r="A2259" s="151">
        <f t="shared" si="131"/>
        <v>1</v>
      </c>
      <c r="B2259" s="151" t="s">
        <v>1166</v>
      </c>
      <c r="C2259" s="159">
        <v>887</v>
      </c>
      <c r="D2259" s="160" t="s">
        <v>1548</v>
      </c>
      <c r="E2259" s="161">
        <f>SUMIF(Lanç!$C$3:$C$114,C2259,Lanç!$F$3:$F$114)</f>
        <v>0</v>
      </c>
      <c r="F2259" s="161">
        <v>0</v>
      </c>
      <c r="G2259" s="161">
        <v>0</v>
      </c>
      <c r="H2259" s="154">
        <f>(G2259)-(F2259)</f>
        <v>0</v>
      </c>
      <c r="I2259" s="154">
        <f t="shared" si="130"/>
        <v>0</v>
      </c>
      <c r="J2259" s="1"/>
      <c r="K2259" s="1"/>
      <c r="L2259" s="1"/>
      <c r="M2259" s="1"/>
      <c r="N2259" s="1"/>
    </row>
    <row r="2260" spans="1:14" hidden="1">
      <c r="A2260" s="151">
        <f t="shared" si="131"/>
        <v>1</v>
      </c>
      <c r="B2260" s="155" t="s">
        <v>1166</v>
      </c>
      <c r="C2260" s="156">
        <v>889</v>
      </c>
      <c r="D2260" s="157" t="s">
        <v>1549</v>
      </c>
      <c r="E2260" s="158">
        <v>0</v>
      </c>
      <c r="F2260" s="158">
        <f>SUMIF(Lanç!$C$114:$C$121,C2260,Lanç!$F$114:$F$121)</f>
        <v>0</v>
      </c>
      <c r="G2260" s="158">
        <v>0</v>
      </c>
      <c r="H2260" s="154">
        <v>0</v>
      </c>
      <c r="I2260" s="154">
        <f t="shared" si="130"/>
        <v>0</v>
      </c>
      <c r="J2260" s="59"/>
      <c r="K2260" s="59"/>
      <c r="L2260" s="59"/>
      <c r="M2260" s="59"/>
      <c r="N2260" s="59"/>
    </row>
    <row r="2261" spans="1:14" hidden="1">
      <c r="A2261" s="151">
        <f t="shared" ca="1" si="131"/>
        <v>1</v>
      </c>
      <c r="B2261" s="155" t="s">
        <v>202</v>
      </c>
      <c r="C2261" s="156">
        <v>89</v>
      </c>
      <c r="D2261" s="157" t="s">
        <v>1550</v>
      </c>
      <c r="E2261" s="158">
        <f ca="1">SUM(E2262)</f>
        <v>0</v>
      </c>
      <c r="F2261" s="158">
        <f>SUM(F2262)</f>
        <v>0</v>
      </c>
      <c r="G2261" s="158">
        <f ca="1">SUM(G2262)</f>
        <v>0</v>
      </c>
      <c r="H2261" s="154">
        <f ca="1">(F2261)-(G2261)</f>
        <v>0</v>
      </c>
      <c r="I2261" s="154">
        <f t="shared" ca="1" si="130"/>
        <v>0</v>
      </c>
      <c r="J2261" s="59"/>
      <c r="K2261" s="59"/>
      <c r="L2261" s="59"/>
      <c r="M2261" s="59"/>
      <c r="N2261" s="59"/>
    </row>
    <row r="2262" spans="1:14" hidden="1">
      <c r="A2262" s="151">
        <f t="shared" ca="1" si="131"/>
        <v>1</v>
      </c>
      <c r="B2262" s="151" t="s">
        <v>1166</v>
      </c>
      <c r="C2262" s="159">
        <v>899</v>
      </c>
      <c r="D2262" s="160" t="s">
        <v>1549</v>
      </c>
      <c r="E2262" s="161">
        <f ca="1">SUMIF(Lanç!$C$121:$C$2718,C2262,Lanç!$F$114:$F$121)</f>
        <v>0</v>
      </c>
      <c r="F2262" s="161">
        <v>0</v>
      </c>
      <c r="G2262" s="161">
        <f ca="1">SUMIF(Lanç!$C$3:$C$114,E2262,Lanç!$F$3:$F$121)</f>
        <v>0</v>
      </c>
      <c r="H2262" s="154">
        <v>0</v>
      </c>
      <c r="I2262" s="154">
        <f t="shared" ca="1" si="130"/>
        <v>0</v>
      </c>
      <c r="J2262" s="59"/>
      <c r="K2262" s="59"/>
      <c r="L2262" s="59"/>
      <c r="M2262" s="59"/>
      <c r="N2262" s="59"/>
    </row>
    <row r="2263" spans="1:14">
      <c r="A2263" s="54"/>
      <c r="B2263" s="59"/>
      <c r="C2263" s="3"/>
      <c r="D2263" s="59"/>
      <c r="E2263" s="56"/>
      <c r="J2263" s="59"/>
      <c r="K2263" s="59"/>
      <c r="L2263" s="59"/>
      <c r="M2263" s="59"/>
      <c r="N2263" s="59"/>
    </row>
    <row r="2264" spans="1:14" ht="15.6">
      <c r="A2264" s="59"/>
      <c r="B2264" s="59"/>
      <c r="C2264" s="59"/>
      <c r="D2264" s="59"/>
      <c r="E2264" s="257">
        <f ca="1">E5+E147+E387+E1453+E1537+E1570+E1805+E2193</f>
        <v>6.1094760894775391E-7</v>
      </c>
      <c r="F2264" s="257">
        <f>F5+F147+F387+F1453+F1537+F1570+F1805+F2193</f>
        <v>1719312787.1399999</v>
      </c>
      <c r="G2264" s="257">
        <f ca="1">G5+G147+G387+G1453+G1537+G1570+G1805+G2193</f>
        <v>1719312787.1400001</v>
      </c>
      <c r="H2264" s="257">
        <f ca="1">H5+H147+H387+H1453+H1537+H1570+H1805+H2193</f>
        <v>-2.9802322387695313E-8</v>
      </c>
      <c r="I2264" s="257">
        <f ca="1">I5+I147+I387+I1453+I1537+I1570+I1805+I2193</f>
        <v>5.9604644775390625E-7</v>
      </c>
      <c r="J2264" s="59"/>
      <c r="K2264" s="59"/>
      <c r="L2264" s="59"/>
      <c r="M2264" s="59"/>
      <c r="N2264" s="59"/>
    </row>
    <row r="2265" spans="1:14">
      <c r="A2265" s="59"/>
      <c r="B2265" s="59"/>
      <c r="C2265" s="59"/>
      <c r="D2265" s="59"/>
      <c r="E2265" s="258"/>
      <c r="F2265" s="258"/>
      <c r="G2265" s="258"/>
      <c r="H2265" s="258"/>
      <c r="I2265" s="258"/>
      <c r="J2265" s="59"/>
      <c r="K2265" s="59"/>
      <c r="L2265" s="59"/>
      <c r="M2265" s="59"/>
      <c r="N2265" s="59"/>
    </row>
    <row r="2266" spans="1:14" ht="15.6">
      <c r="A2266" s="59"/>
      <c r="B2266" s="59"/>
      <c r="C2266" s="59"/>
      <c r="D2266" s="59"/>
      <c r="E2266" s="258"/>
      <c r="F2266" s="259"/>
      <c r="G2266" s="260">
        <f ca="1">F2264-G2264</f>
        <v>0</v>
      </c>
      <c r="H2266" s="261"/>
      <c r="I2266" s="260">
        <f ca="1">H2264-I2264</f>
        <v>-6.2584877014160156E-7</v>
      </c>
      <c r="J2266" s="59"/>
      <c r="K2266" s="59"/>
      <c r="L2266" s="59"/>
      <c r="M2266" s="59"/>
      <c r="N2266" s="59"/>
    </row>
    <row r="2267" spans="1:14">
      <c r="A2267" s="59"/>
    </row>
  </sheetData>
  <autoFilter ref="A4:B2262" xr:uid="{CBF9D672-0986-40C6-99C3-0C83A9B3C356}">
    <filterColumn colId="0">
      <filters>
        <filter val="0"/>
      </filters>
    </filterColumn>
  </autoFilter>
  <mergeCells count="1">
    <mergeCell ref="C2:I2"/>
  </mergeCells>
  <phoneticPr fontId="36" type="noConversion"/>
  <printOptions horizontalCentered="1"/>
  <pageMargins left="0.70833333333333304" right="0.70833333333333304" top="0.74791666666666701" bottom="0.74861111111111101" header="0.51180555555555496" footer="0.31527777777777799"/>
  <pageSetup paperSize="9" scale="62" firstPageNumber="0" fitToHeight="0" orientation="portrait" horizontalDpi="300" verticalDpi="300" r:id="rId1"/>
  <headerFooter>
    <oddFooter>&amp;C &amp;P</oddFooter>
  </headerFooter>
  <rowBreaks count="4" manualBreakCount="4">
    <brk id="513" min="2" max="8" man="1"/>
    <brk id="1095" min="2" max="8" man="1"/>
    <brk id="1536" min="2" max="8" man="1"/>
    <brk id="1973" min="2" max="8" man="1"/>
  </rowBreaks>
  <ignoredErrors>
    <ignoredError sqref="E11:G11 E15:G15 E21:G21 E27:G27 E37:G37 E46:G46 E55:G55 E68:G68 E60:G65 E75:G75 E79:G79 E87:G87 E91:G91 E94:G94 E97:G97 E99:G99 E116:G116 E133:G133 E137:G137 E83:G85 E141:G141 E143:G143 E216:G216 E227:G227 F230:G230 E234:G234 E203:G203 E237:G239 E242:G244 E247:G249 E252:G254 E259:G260 F270:G270 F295:G295 E305:G305 E311:G311 E314:G314 E317:G317 E320:G320 E323:G323 E325:G325 E330:G333 E337:G338 E344:F344 E346:F346 E357:G357 E158:G158 E170:G170 E181:G181 E192:G192 E263:G265 E274:G276 E279:G281 E284:G286 E289:G291 E296:G297 E300:G302 E361:G361 E370:G370 F375:G375 E396:G396 E399:G399 E412:G412 F413:G413 F416:G416 E423:G423 E428:G428 E440:G440 E467:G467 E474:G474 E480:G480 E499:G499 E520:G520 E376:G385 E532:G532 E535:G535 E538:G538 E546:G546 E549:G549 E604:G604 E611:G611 E683:G683 E704:G704 E713:G713 E722:G722 E732:G732 E743:G743 E746:G746 E748:G749 E767:G767 E772:G772 E815 E851:G851 E858:G863 E906:G908 E838:G840 E827:G829 E793:G794 E929:G929 F932:G932 E934:G934 E949:G949 E975:G975 E1017:G1017 E1023:G1023 E1026:G1026 E1033:G1033 E1066:G1066 E1070:G1070 E1076:G1076 E1079:G1079 E1142:G1142 E1147:G1147 E1152:G1152 E1158:G1158 F1161:G1161 E1166:G1166 E1171:G1171 E1176:G1176 E1184:G1184 E1204:G1204 F1215:G1215 E1216:G1218 E1242:G1242 E1250:G1250 E1257:G1258 E1280:G1280 E1289:G1289 E1309:G1309 E1311:G1311 E1314:G1314 E1334:G1334 E1341:G1341 E1379:G1379 E1424:G1424 E1427:G1427 E1430:G1430 E1432:G1432 E1435:G1435 E1443:G1443 E1459:G1464 E1481:G1481 F1494:G1494 E1497:G1497 E1507:G1507 E1517:G1524 E1535:G1536 E1545:G1556 E1561:G1567 E1574:G1589 E1592:G1592 E1611:G1611 E1628:G1628 E1640:G1647 E1670:G1685 E1700:G1707 E1718:G1728 E1748:G1756 E1762:G1776 E1846:G1858 E1883:G1883 E1885:G1890 E1911:G1912 E1926:G1932 E2079:G2093 E2105:G2110 E2128:G2138 E2146:G2160 E2163:G2170 E2232:E2248 E2214:G2216 E2255 E2261 E2184:G2190 F1542:G1542 F1159:G1159 E1011:G1012 E1444 E2218:G2218 E553:G553 E1091:G1095 E1099:G1099 E1097:G1097 E1101 E1103:E1104 E1105:G1106 E1112:G1112 E1115:G1115 F1107:G1107 E1636:G1637 E1662:G1668 E1782:G1787 E1118:G1118 E1121:G1121 E1125:G1125 E1128:G1128 E1133:G1133 E1445:G1455 E1955:G1955 E1979:G1982 E2006:G2016 E2026:G2033 E2038:G2039 E2041 E2050:G2051 E1942:G1942 E1993:G1995 E1976:G1976 E1966:G1973 E1866:G1881 E2042:G2047 E1934:G1934 E1936:G1936 E2061:G2061 E1538:G1541 F1537:G1537 F232:G233 F150 E1284 E1398:G1398 E1905:G1909 E1949:G1953 E1987:G1991 E2040 G2040 G815 F1284:G1284 F2252 F1571 F1103:G1103 E1789:G1817 E1788 E1100 F1100:G1100 F1101:G1101 E1974:G1974 E1937:G1937 E29:G29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2"/>
  <sheetViews>
    <sheetView showGridLines="0" topLeftCell="A28" zoomScale="80" zoomScaleNormal="80" workbookViewId="0">
      <selection activeCell="J30" sqref="J30"/>
    </sheetView>
  </sheetViews>
  <sheetFormatPr defaultRowHeight="14.4"/>
  <cols>
    <col min="1" max="1" width="9.109375" customWidth="1"/>
    <col min="2" max="4" width="14.77734375" customWidth="1"/>
    <col min="5" max="5" width="8.77734375" customWidth="1"/>
    <col min="6" max="7" width="17.77734375" customWidth="1"/>
    <col min="8" max="8" width="9.109375" customWidth="1"/>
    <col min="9" max="10" width="19.6640625" bestFit="1" customWidth="1"/>
    <col min="11" max="1025" width="9.109375" customWidth="1"/>
  </cols>
  <sheetData>
    <row r="1" spans="1:10">
      <c r="G1" s="170" t="str">
        <f>DBase!C6</f>
        <v>Mbolo Yeto</v>
      </c>
    </row>
    <row r="2" spans="1:10" ht="8.1" customHeight="1"/>
    <row r="3" spans="1:10" ht="18">
      <c r="B3" s="377" t="str">
        <f>DBase!B15</f>
        <v>BALANÇO EM</v>
      </c>
      <c r="C3" s="377"/>
      <c r="D3" s="377"/>
      <c r="E3" s="377"/>
      <c r="F3" s="377"/>
      <c r="G3" s="377"/>
    </row>
    <row r="4" spans="1:10" ht="18">
      <c r="B4" s="378">
        <f>DBase!F15</f>
        <v>46022</v>
      </c>
      <c r="C4" s="378"/>
      <c r="D4" s="378"/>
      <c r="E4" s="378"/>
      <c r="F4" s="378"/>
      <c r="G4" s="378"/>
    </row>
    <row r="5" spans="1:10" ht="8.1" customHeight="1"/>
    <row r="6" spans="1:10">
      <c r="G6" s="171" t="s">
        <v>1551</v>
      </c>
    </row>
    <row r="7" spans="1:10" ht="15.6">
      <c r="B7" s="379" t="s">
        <v>1552</v>
      </c>
      <c r="C7" s="380"/>
      <c r="D7" s="380"/>
      <c r="E7" s="383" t="s">
        <v>1553</v>
      </c>
      <c r="F7" s="383" t="s">
        <v>1554</v>
      </c>
      <c r="G7" s="383"/>
    </row>
    <row r="8" spans="1:10" ht="15.6">
      <c r="B8" s="381"/>
      <c r="C8" s="382"/>
      <c r="D8" s="382"/>
      <c r="E8" s="384"/>
      <c r="F8" s="350">
        <f>DBase!C4</f>
        <v>45658</v>
      </c>
      <c r="G8" s="350">
        <f>F8-1</f>
        <v>45657</v>
      </c>
    </row>
    <row r="9" spans="1:10" ht="16.05" customHeight="1">
      <c r="B9" s="343" t="s">
        <v>1555</v>
      </c>
      <c r="C9" s="172"/>
      <c r="D9" s="172"/>
      <c r="E9" s="177"/>
      <c r="F9" s="351"/>
      <c r="G9" s="182"/>
    </row>
    <row r="10" spans="1:10" ht="16.05" customHeight="1">
      <c r="B10" s="385" t="s">
        <v>1556</v>
      </c>
      <c r="C10" s="386"/>
      <c r="D10" s="386"/>
      <c r="E10" s="177"/>
      <c r="F10" s="182"/>
      <c r="G10" s="182"/>
    </row>
    <row r="11" spans="1:10" ht="16.05" customHeight="1">
      <c r="B11" s="197" t="s">
        <v>1244</v>
      </c>
      <c r="C11" s="172"/>
      <c r="D11" s="172"/>
      <c r="E11" s="181">
        <v>4</v>
      </c>
      <c r="F11" s="184">
        <f>'Blnct AR'!I6</f>
        <v>102025694.83000001</v>
      </c>
      <c r="G11" s="176">
        <f>'Blnct AR'!E6</f>
        <v>86785921.350000009</v>
      </c>
    </row>
    <row r="12" spans="1:10" ht="16.05" customHeight="1">
      <c r="B12" s="197" t="s">
        <v>1245</v>
      </c>
      <c r="C12" s="172"/>
      <c r="D12" s="172"/>
      <c r="E12" s="181">
        <v>5</v>
      </c>
      <c r="F12" s="184">
        <f>'Blnct AR'!I58</f>
        <v>5897900</v>
      </c>
      <c r="G12" s="176">
        <f>'Blnct AR'!E58</f>
        <v>5897900</v>
      </c>
    </row>
    <row r="13" spans="1:10" ht="16.05" customHeight="1">
      <c r="B13" s="197" t="s">
        <v>1557</v>
      </c>
      <c r="C13" s="172"/>
      <c r="D13" s="172"/>
      <c r="E13" s="181"/>
      <c r="F13" s="184">
        <f>'Blnct AR'!I102</f>
        <v>-68622217.429625258</v>
      </c>
      <c r="G13" s="176">
        <f>'Blnct AR'!E102</f>
        <v>-68622217.429625258</v>
      </c>
    </row>
    <row r="14" spans="1:10" ht="16.05" customHeight="1">
      <c r="B14" s="197" t="s">
        <v>1558</v>
      </c>
      <c r="C14" s="172"/>
      <c r="D14" s="172"/>
      <c r="E14" s="181">
        <v>7</v>
      </c>
      <c r="F14" s="184">
        <v>0</v>
      </c>
      <c r="G14" s="176">
        <v>0</v>
      </c>
    </row>
    <row r="15" spans="1:10" ht="15.6">
      <c r="A15" s="61"/>
      <c r="B15" s="344"/>
      <c r="C15" s="290"/>
      <c r="D15" s="291" t="s">
        <v>1559</v>
      </c>
      <c r="E15" s="352"/>
      <c r="F15" s="353">
        <f>SUM(F11:F14)</f>
        <v>39301377.400374755</v>
      </c>
      <c r="G15" s="354">
        <f>SUM(G11:G14)</f>
        <v>24061603.920374751</v>
      </c>
      <c r="H15" s="61"/>
      <c r="I15" s="61"/>
      <c r="J15" s="61"/>
    </row>
    <row r="16" spans="1:10" ht="8.1" customHeight="1">
      <c r="B16" s="345"/>
      <c r="C16" s="172"/>
      <c r="D16" s="172"/>
      <c r="E16" s="177"/>
      <c r="F16" s="183"/>
      <c r="G16" s="183"/>
    </row>
    <row r="17" spans="1:10" ht="16.05" customHeight="1">
      <c r="B17" s="385" t="s">
        <v>1560</v>
      </c>
      <c r="C17" s="386"/>
      <c r="D17" s="386"/>
      <c r="E17" s="177"/>
      <c r="F17" s="183"/>
      <c r="G17" s="183"/>
    </row>
    <row r="18" spans="1:10" ht="16.05" customHeight="1">
      <c r="B18" s="198" t="s">
        <v>1471</v>
      </c>
      <c r="C18" s="172"/>
      <c r="D18" s="172"/>
      <c r="E18" s="178">
        <v>8</v>
      </c>
      <c r="F18" s="184">
        <f>'Blnct AR'!I147</f>
        <v>81037968.74000001</v>
      </c>
      <c r="G18" s="184">
        <f>'Blnct AR'!E147</f>
        <v>40682931.560000002</v>
      </c>
      <c r="J18" s="62"/>
    </row>
    <row r="19" spans="1:10" ht="16.05" customHeight="1">
      <c r="B19" s="198" t="s">
        <v>1561</v>
      </c>
      <c r="C19" s="172"/>
      <c r="D19" s="172"/>
      <c r="E19" s="178">
        <v>9</v>
      </c>
      <c r="F19" s="184">
        <f>IF('Blnct AR'!I388&gt;0,'Blnct AR'!I388,0)+IF('Blnct AR'!I1036&gt;0,'Blnct AR'!I1036,0)+IF('Blnct AR'!I1135&gt;0,'Blnct AR'!I1135,0)+IF('Blnct AR'!I1181&gt;0,'Blnct AR'!I1181,0)+IF('Blnct AR'!I1419&lt;0,'Blnct AR'!I1419,0)</f>
        <v>217876922.89233682</v>
      </c>
      <c r="G19" s="184">
        <f>IF('Blnct AR'!E388&gt;0,'Blnct AR'!E388,0)+IF('Blnct AR'!E1036&gt;0,'Blnct AR'!E1036,0)+IF('Blnct AR'!E1135&gt;0,'Blnct AR'!E1135,0)+IF('Blnct AR'!E1181&gt;0,'Blnct AR'!E1181,0)+IF('Blnct AR'!E1419&lt;0,'Blnct AR'!E1419,0)</f>
        <v>111351491.57233685</v>
      </c>
    </row>
    <row r="20" spans="1:10" ht="16.05" customHeight="1">
      <c r="B20" s="198" t="s">
        <v>1562</v>
      </c>
      <c r="C20" s="172"/>
      <c r="D20" s="172"/>
      <c r="E20" s="178">
        <v>10</v>
      </c>
      <c r="F20" s="183">
        <f>'Blnct AR'!I1453</f>
        <v>30063527.509999916</v>
      </c>
      <c r="G20" s="183">
        <f>'Blnct AR'!E1453</f>
        <v>99141178.139999971</v>
      </c>
    </row>
    <row r="21" spans="1:10" ht="16.05" customHeight="1">
      <c r="B21" s="198" t="s">
        <v>1563</v>
      </c>
      <c r="C21" s="172"/>
      <c r="D21" s="172"/>
      <c r="E21" s="178">
        <v>11</v>
      </c>
      <c r="F21" s="184">
        <f>+(IF('Blnct AR'!I1245&gt;0,'Blnct AR'!E1245,0)+(IF('Blnct AR'!I1267&gt;0,'Blnct AR'!I1267,0)+(IF('Blnct AR'!I1280&gt;0,'Blnct AR'!I1280,0)+IF('Blnct AR'!I1284&gt;0,'Blnct AR'!I1284,0))+IF('Blnct AR'!I1294&gt;0,'Blnct AR'!I1294,0)+IF('Blnct AR'!I1302&gt;0,'Blnct AR'!I1302,0)+IF('Blnct AR'!I1309&gt;0,'Blnct AR'!I1309,0)+IF('Blnct AR'!I1311&gt;0,'Blnct AR'!I1311,0)+IF('Blnct AR'!I1321&gt;0,'Blnct AR'!I1321,0)))</f>
        <v>0</v>
      </c>
      <c r="G21" s="184">
        <f>+(IF('Blnct AR'!E1245&gt;0,'Blnct AR'!E1245,0)+(IF('Blnct AR'!E1267&gt;0,'Blnct AR'!E1267,0)+(IF('Blnct AR'!E1280&gt;0,'Blnct AR'!E1280,0)+IF('Blnct AR'!E1284&gt;0,'Blnct AR'!E1284,0))+IF('Blnct AR'!E1294&gt;0,'Blnct AR'!E1294,0)+IF('Blnct AR'!E1302&gt;0,'Blnct AR'!E1302,0)+IF('Blnct AR'!E1309&gt;0,'Blnct AR'!E1309,0)+IF('Blnct AR'!E1311&gt;0,'Blnct AR'!E1311,0)+IF('Blnct AR'!E1321&gt;0,'Blnct AR'!E1321,0)))</f>
        <v>0</v>
      </c>
    </row>
    <row r="22" spans="1:10" ht="15.6">
      <c r="A22" s="61"/>
      <c r="B22" s="344"/>
      <c r="C22" s="290"/>
      <c r="D22" s="291" t="s">
        <v>1564</v>
      </c>
      <c r="E22" s="355"/>
      <c r="F22" s="356">
        <f>SUM(F18:F21)</f>
        <v>328978419.14233679</v>
      </c>
      <c r="G22" s="356">
        <f>SUM(G18:G21)</f>
        <v>251175601.27233684</v>
      </c>
      <c r="H22" s="61"/>
      <c r="I22" s="61"/>
      <c r="J22" s="61"/>
    </row>
    <row r="23" spans="1:10" ht="8.1" customHeight="1">
      <c r="B23" s="175"/>
      <c r="C23" s="172"/>
      <c r="D23" s="172"/>
      <c r="E23" s="177"/>
      <c r="F23" s="183"/>
      <c r="G23" s="183"/>
    </row>
    <row r="24" spans="1:10" ht="15.6">
      <c r="A24" s="61"/>
      <c r="B24" s="387" t="s">
        <v>1565</v>
      </c>
      <c r="C24" s="388"/>
      <c r="D24" s="388"/>
      <c r="E24" s="357"/>
      <c r="F24" s="358">
        <f>F15+F22</f>
        <v>368279796.54271156</v>
      </c>
      <c r="G24" s="358">
        <f>G15+G22</f>
        <v>275237205.19271159</v>
      </c>
      <c r="H24" s="61"/>
      <c r="I24" s="61"/>
      <c r="J24" s="61"/>
    </row>
    <row r="25" spans="1:10">
      <c r="B25" s="389" t="s">
        <v>1566</v>
      </c>
      <c r="C25" s="390"/>
      <c r="D25" s="390"/>
      <c r="E25" s="177"/>
      <c r="F25" s="359"/>
      <c r="G25" s="359"/>
    </row>
    <row r="26" spans="1:10" ht="8.1" customHeight="1">
      <c r="B26" s="389"/>
      <c r="C26" s="390"/>
      <c r="D26" s="390"/>
      <c r="E26" s="177"/>
      <c r="F26" s="183"/>
      <c r="G26" s="183"/>
    </row>
    <row r="27" spans="1:10">
      <c r="B27" s="385" t="s">
        <v>1567</v>
      </c>
      <c r="C27" s="386"/>
      <c r="D27" s="386"/>
      <c r="E27" s="177"/>
      <c r="F27" s="183"/>
      <c r="G27" s="183"/>
    </row>
    <row r="28" spans="1:10" ht="16.05" customHeight="1">
      <c r="B28" s="197" t="s">
        <v>1568</v>
      </c>
      <c r="C28" s="172"/>
      <c r="D28" s="172"/>
      <c r="E28" s="181">
        <v>12</v>
      </c>
      <c r="F28" s="184">
        <f>-'Blnct AR'!I1539-'Blnct AR'!I1552</f>
        <v>17532639.890000001</v>
      </c>
      <c r="G28" s="184">
        <f>-'Blnct AR'!E1539-'Blnct AR'!E1552</f>
        <v>17532639.890000001</v>
      </c>
    </row>
    <row r="29" spans="1:10" ht="16.05" customHeight="1">
      <c r="B29" s="197" t="s">
        <v>1569</v>
      </c>
      <c r="C29" s="172"/>
      <c r="D29" s="172"/>
      <c r="E29" s="181">
        <v>13</v>
      </c>
      <c r="F29" s="184">
        <f>-(IF('Blnct AR'!I1555&lt;&gt;0,'Blnct AR'!I1555,0)+IF('Blnct AR'!I1557&lt;&gt;0,'Blnct AR'!I1557,0)+IF('Blnct AR'!I1561&lt;&gt;0,'Blnct AR'!I1561,0)+IF('Blnct AR'!I1564&lt;&gt;0,'Blnct AR'!I1564,0)+IF('Blnct AR'!I1567&lt;&gt;0,'Blnct AR'!I1567,0))</f>
        <v>1309804.3999999999</v>
      </c>
      <c r="G29" s="184">
        <f>-(IF('Blnct AR'!E1555&lt;&gt;0,'Blnct AR'!E1555,0)+IF('Blnct AR'!E1557&lt;&gt;0,'Blnct AR'!E1557,0)+IF('Blnct AR'!E1561&lt;&gt;0,'Blnct AR'!E1561,0)+IF('Blnct AR'!E1564&lt;&gt;0,'Blnct AR'!E1564,0)+IF('Blnct AR'!E1567&lt;&gt;0,'Blnct AR'!E1567,0))</f>
        <v>1309804.3999999999</v>
      </c>
    </row>
    <row r="30" spans="1:10" ht="16.05" customHeight="1">
      <c r="B30" s="197" t="s">
        <v>1828</v>
      </c>
      <c r="C30" s="172"/>
      <c r="D30" s="172"/>
      <c r="E30" s="181">
        <v>14</v>
      </c>
      <c r="F30" s="184">
        <f>-'Blnct AR'!I2194</f>
        <v>-22179622.113639005</v>
      </c>
      <c r="G30" s="184">
        <f>-'Blnct AR'!E2213+-'Blnct AR'!E2217+-'Blnct AR'!E2219</f>
        <v>-30112420.943639003</v>
      </c>
    </row>
    <row r="31" spans="1:10" ht="16.05" customHeight="1">
      <c r="B31" s="197" t="s">
        <v>1570</v>
      </c>
      <c r="C31" s="172"/>
      <c r="D31" s="172"/>
      <c r="E31" s="181"/>
      <c r="F31" s="184">
        <f>-'Blnct AR'!I2252</f>
        <v>-14501164.679999981</v>
      </c>
      <c r="G31" s="184">
        <f>-'Blnct AR'!E2215</f>
        <v>7932798.8300000001</v>
      </c>
    </row>
    <row r="32" spans="1:10" ht="15.6">
      <c r="A32" s="61"/>
      <c r="B32" s="344"/>
      <c r="C32" s="290"/>
      <c r="D32" s="291" t="s">
        <v>1571</v>
      </c>
      <c r="E32" s="360"/>
      <c r="F32" s="353">
        <f>SUM(F28:F31)</f>
        <v>-17838342.503638986</v>
      </c>
      <c r="G32" s="356">
        <f>SUM(G28:G31)</f>
        <v>-3337177.8236390036</v>
      </c>
      <c r="H32" s="61"/>
      <c r="I32" s="61"/>
      <c r="J32" s="61"/>
    </row>
    <row r="33" spans="1:10" ht="8.1" customHeight="1">
      <c r="B33" s="175"/>
      <c r="C33" s="173"/>
      <c r="D33" s="173"/>
      <c r="E33" s="361"/>
      <c r="F33" s="183"/>
      <c r="G33" s="183"/>
    </row>
    <row r="34" spans="1:10" ht="15.6">
      <c r="B34" s="391" t="s">
        <v>1572</v>
      </c>
      <c r="C34" s="392"/>
      <c r="D34" s="392"/>
      <c r="E34" s="362"/>
      <c r="F34" s="363">
        <f>F32</f>
        <v>-17838342.503638986</v>
      </c>
      <c r="G34" s="363">
        <f>G32</f>
        <v>-3337177.8236390036</v>
      </c>
    </row>
    <row r="35" spans="1:10" ht="8.1" customHeight="1">
      <c r="B35" s="175"/>
      <c r="C35" s="172"/>
      <c r="D35" s="172"/>
      <c r="E35" s="177"/>
      <c r="F35" s="183"/>
      <c r="G35" s="183"/>
    </row>
    <row r="36" spans="1:10" ht="16.05" customHeight="1">
      <c r="B36" s="385" t="s">
        <v>1573</v>
      </c>
      <c r="C36" s="386"/>
      <c r="D36" s="386"/>
      <c r="E36" s="177"/>
      <c r="F36" s="183"/>
      <c r="G36" s="183"/>
    </row>
    <row r="37" spans="1:10" ht="16.05" customHeight="1">
      <c r="B37" s="198" t="s">
        <v>1574</v>
      </c>
      <c r="C37" s="172"/>
      <c r="D37" s="172"/>
      <c r="E37" s="178">
        <v>15</v>
      </c>
      <c r="F37" s="184">
        <f>-IF('Blnct AR'!I1014&lt;0,'Blnct AR'!I1014,0)</f>
        <v>0</v>
      </c>
      <c r="G37" s="184">
        <f>-IF('Blnct AR'!E1014&lt;0,'Blnct AR'!E1014,0)</f>
        <v>0</v>
      </c>
    </row>
    <row r="38" spans="1:10" ht="16.05" customHeight="1">
      <c r="B38" s="198" t="s">
        <v>1575</v>
      </c>
      <c r="C38" s="172"/>
      <c r="D38" s="172"/>
      <c r="E38" s="178">
        <v>16</v>
      </c>
      <c r="F38" s="184">
        <v>0</v>
      </c>
      <c r="G38" s="184">
        <v>0</v>
      </c>
    </row>
    <row r="39" spans="1:10" ht="16.05" customHeight="1">
      <c r="B39" s="198" t="s">
        <v>1061</v>
      </c>
      <c r="C39" s="172"/>
      <c r="D39" s="172"/>
      <c r="E39" s="178">
        <v>17</v>
      </c>
      <c r="F39" s="184">
        <f>-(IF('Blnct AR'!I1442&lt;0,'Blnct AR'!I1442,0))</f>
        <v>0</v>
      </c>
      <c r="G39" s="184">
        <f>-(IF('Blnct AR'!E1442&lt;0,'Blnct AR'!E1442,0))</f>
        <v>0</v>
      </c>
    </row>
    <row r="40" spans="1:10" ht="16.05" customHeight="1">
      <c r="B40" s="198" t="str">
        <f>'Blnct AR'!D1451</f>
        <v>Provisões p/ outros riscos e encargos</v>
      </c>
      <c r="C40" s="172"/>
      <c r="D40" s="172"/>
      <c r="E40" s="178">
        <v>18</v>
      </c>
      <c r="F40" s="184">
        <f>-(IF('Blnct AR'!I1451&lt;0,'Blnct AR'!I1451,0))</f>
        <v>0</v>
      </c>
      <c r="G40" s="184">
        <f>-(IF('Blnct AR'!E1451&lt;0,'Blnct AR'!E1451,0))</f>
        <v>0</v>
      </c>
    </row>
    <row r="41" spans="1:10" ht="16.05" customHeight="1">
      <c r="B41" s="198" t="s">
        <v>1576</v>
      </c>
      <c r="C41" s="172"/>
      <c r="D41" s="172"/>
      <c r="E41" s="178">
        <v>19</v>
      </c>
      <c r="F41" s="184">
        <v>0</v>
      </c>
      <c r="G41" s="184">
        <v>0</v>
      </c>
    </row>
    <row r="42" spans="1:10" ht="15.6">
      <c r="A42" s="61"/>
      <c r="B42" s="344"/>
      <c r="C42" s="290"/>
      <c r="D42" s="291" t="s">
        <v>1577</v>
      </c>
      <c r="E42" s="355"/>
      <c r="F42" s="356">
        <f>SUM(F37:F41)</f>
        <v>0</v>
      </c>
      <c r="G42" s="356">
        <f>SUM(G37:G41)</f>
        <v>0</v>
      </c>
      <c r="H42" s="61"/>
      <c r="I42" s="61"/>
      <c r="J42" s="61"/>
    </row>
    <row r="43" spans="1:10" ht="8.1" customHeight="1">
      <c r="B43" s="175"/>
      <c r="C43" s="172"/>
      <c r="D43" s="171"/>
      <c r="E43" s="210"/>
      <c r="F43" s="183"/>
      <c r="G43" s="183"/>
    </row>
    <row r="44" spans="1:10" ht="16.05" customHeight="1">
      <c r="B44" s="385" t="s">
        <v>1578</v>
      </c>
      <c r="C44" s="386"/>
      <c r="D44" s="386"/>
      <c r="E44" s="177"/>
      <c r="F44" s="183"/>
      <c r="G44" s="183"/>
    </row>
    <row r="45" spans="1:10" ht="16.05" customHeight="1">
      <c r="B45" s="197" t="s">
        <v>1579</v>
      </c>
      <c r="C45" s="172"/>
      <c r="D45" s="172"/>
      <c r="E45" s="181">
        <v>19</v>
      </c>
      <c r="F45" s="184">
        <f>-(IF('Blnct AR'!I694&lt;0,'Blnct AR'!I694,0)+IF('Blnct AR'!I1036&lt;0,'Blnct AR'!I1036,0)+IF('Blnct AR'!I1135&lt;0,'Blnct AR'!I1135,0)+IF('Blnct AR'!I1181&lt;0,'Blnct AR'!I1181,0))</f>
        <v>374445756.43634999</v>
      </c>
      <c r="G45" s="184">
        <f>-(IF('Blnct AR'!E694&lt;0,'Blnct AR'!E694,0)+IF('Blnct AR'!E1036&lt;0,'Blnct AR'!E1036,0)+IF('Blnct AR'!E1135&lt;0,'Blnct AR'!E1135,0)+IF('Blnct AR'!E1181&lt;0,'Blnct AR'!E1181,0))</f>
        <v>266902000.40634999</v>
      </c>
    </row>
    <row r="46" spans="1:10" ht="16.05" customHeight="1">
      <c r="B46" s="197" t="s">
        <v>1580</v>
      </c>
      <c r="C46" s="172"/>
      <c r="D46" s="172"/>
      <c r="E46" s="181">
        <v>20</v>
      </c>
      <c r="F46" s="184">
        <f>IF('Blnct AR'!E1009&lt;0,'Blnct AR'!E1009,0)</f>
        <v>0</v>
      </c>
      <c r="G46" s="184">
        <f>IF('Blnct AR'!E1009&lt;0,'Blnct AR'!E1009,0)</f>
        <v>0</v>
      </c>
    </row>
    <row r="47" spans="1:10" ht="16.05" customHeight="1">
      <c r="B47" s="197" t="s">
        <v>1581</v>
      </c>
      <c r="C47" s="172"/>
      <c r="D47" s="172"/>
      <c r="E47" s="188">
        <v>19</v>
      </c>
      <c r="F47" s="185">
        <f>-(IF('Blnct AR'!I1245&lt;0,'Blnct AR'!I1245,0)+IF('Blnct AR'!I1267&lt;0,'Blnct AR'!I1267,0)+IF('Blnct AR'!I1280&lt;0,'Blnct AR'!I1280,0)+IF('Blnct AR'!I1284&lt;0,'Blnct AR'!I1284,0)+IF('Blnct AR'!I1294&lt;0,'Blnct AR'!I1294,0)+IF('Blnct AR'!I1302&lt;0,'Blnct AR'!I1302,0)+IF('Blnct AR'!I1309&lt;0,'Blnct AR'!I1309,0)+IF('Blnct AR'!I1311&lt;0,'Blnct AR'!I1311,0+IF('Blnct AR'!I1321&lt;0,'Blnct AR'!I1321,0)))</f>
        <v>11672382.609999999</v>
      </c>
      <c r="G47" s="185">
        <f>-(IF('Blnct AR'!E1245&lt;0,'Blnct AR'!E1245,0)+IF('Blnct AR'!E1267&lt;0,'Blnct AR'!E1267,0)+IF('Blnct AR'!E1280&lt;0,'Blnct AR'!E1280,0)+IF('Blnct AR'!E1284&lt;0,'Blnct AR'!E1284,0)+IF('Blnct AR'!E1294&lt;0,'Blnct AR'!E1294,0)+IF('Blnct AR'!E1302&lt;0,'Blnct AR'!E1302,0)+IF('Blnct AR'!E1309&lt;0,'Blnct AR'!E1309,0)+IF('Blnct AR'!E1311&lt;0,'Blnct AR'!E1311,0+IF('Blnct AR'!E1321&lt;0,'Blnct AR'!E1321,0)))</f>
        <v>11672382.609999999</v>
      </c>
    </row>
    <row r="48" spans="1:10" ht="15.6">
      <c r="A48" s="61"/>
      <c r="B48" s="292"/>
      <c r="C48" s="293"/>
      <c r="D48" s="346" t="s">
        <v>1582</v>
      </c>
      <c r="E48" s="347"/>
      <c r="F48" s="348">
        <f>SUM(F45:F47)</f>
        <v>386118139.04635</v>
      </c>
      <c r="G48" s="349">
        <f>SUM(G45:G47)</f>
        <v>278574383.01634997</v>
      </c>
      <c r="H48" s="61"/>
      <c r="I48" s="61"/>
      <c r="J48" s="61"/>
    </row>
    <row r="49" spans="1:10" ht="8.1" customHeight="1">
      <c r="B49" s="172"/>
      <c r="C49" s="173"/>
      <c r="D49" s="173"/>
      <c r="E49" s="173"/>
      <c r="F49" s="186"/>
      <c r="G49" s="186"/>
    </row>
    <row r="50" spans="1:10" ht="15.6">
      <c r="A50" s="63"/>
      <c r="B50" s="393" t="s">
        <v>1583</v>
      </c>
      <c r="C50" s="393"/>
      <c r="D50" s="393"/>
      <c r="E50" s="294"/>
      <c r="F50" s="295">
        <f>F42+F48</f>
        <v>386118139.04635</v>
      </c>
      <c r="G50" s="295">
        <f>G42+G48</f>
        <v>278574383.01634997</v>
      </c>
      <c r="H50" s="63"/>
      <c r="I50" s="63"/>
      <c r="J50" s="63"/>
    </row>
    <row r="51" spans="1:10" ht="8.1" customHeight="1">
      <c r="B51" s="172"/>
      <c r="C51" s="173"/>
      <c r="D51" s="173"/>
      <c r="E51" s="173"/>
      <c r="F51" s="186"/>
      <c r="G51" s="186"/>
    </row>
    <row r="52" spans="1:10" ht="18">
      <c r="A52" s="64"/>
      <c r="B52" s="388" t="s">
        <v>1584</v>
      </c>
      <c r="C52" s="388"/>
      <c r="D52" s="388"/>
      <c r="E52" s="189"/>
      <c r="F52" s="190">
        <f>F34+F50</f>
        <v>368279796.54271102</v>
      </c>
      <c r="G52" s="190">
        <f>G34+G50</f>
        <v>275237205.192711</v>
      </c>
      <c r="H52" s="64"/>
      <c r="I52" s="174">
        <f>F24-F52</f>
        <v>5.3644180297851563E-7</v>
      </c>
      <c r="J52" s="174">
        <f>G24-G52</f>
        <v>5.9604644775390625E-7</v>
      </c>
    </row>
  </sheetData>
  <mergeCells count="15">
    <mergeCell ref="B34:D34"/>
    <mergeCell ref="B36:D36"/>
    <mergeCell ref="B44:D44"/>
    <mergeCell ref="B50:D50"/>
    <mergeCell ref="B52:D52"/>
    <mergeCell ref="B10:D10"/>
    <mergeCell ref="B17:D17"/>
    <mergeCell ref="B24:D24"/>
    <mergeCell ref="B25:D26"/>
    <mergeCell ref="B27:D27"/>
    <mergeCell ref="B3:G3"/>
    <mergeCell ref="B4:G4"/>
    <mergeCell ref="B7:D8"/>
    <mergeCell ref="E7:E8"/>
    <mergeCell ref="F7:G7"/>
  </mergeCells>
  <printOptions horizontalCentered="1"/>
  <pageMargins left="0.25" right="0.25" top="0.75" bottom="0.75" header="0.51180555555555496" footer="0.3"/>
  <pageSetup paperSize="9" scale="95" firstPageNumber="0" orientation="portrait" horizontalDpi="300" verticalDpi="300" r:id="rId1"/>
  <headerFooter>
    <oddFooter>&amp;C &amp;P</oddFooter>
  </headerFooter>
  <colBreaks count="1" manualBreakCount="1">
    <brk id="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34"/>
  <sheetViews>
    <sheetView showGridLines="0" topLeftCell="A19" zoomScale="80" zoomScaleNormal="80" workbookViewId="0">
      <selection activeCell="D29" sqref="D29"/>
    </sheetView>
  </sheetViews>
  <sheetFormatPr defaultRowHeight="14.4"/>
  <cols>
    <col min="1" max="1" width="3.77734375" customWidth="1"/>
    <col min="2" max="4" width="15.77734375" customWidth="1"/>
    <col min="5" max="5" width="8.77734375" customWidth="1"/>
    <col min="6" max="7" width="17.77734375" customWidth="1"/>
    <col min="8" max="8" width="3.77734375" customWidth="1"/>
    <col min="9" max="10" width="8.44140625" customWidth="1"/>
    <col min="11" max="11" width="15.77734375" customWidth="1"/>
    <col min="12" max="1025" width="8.44140625" customWidth="1"/>
  </cols>
  <sheetData>
    <row r="1" spans="1:8" ht="16.05" customHeight="1">
      <c r="A1" s="65"/>
      <c r="G1" s="170" t="str">
        <f>DBase!C6</f>
        <v>Mbolo Yeto</v>
      </c>
      <c r="H1" s="65"/>
    </row>
    <row r="2" spans="1:8" ht="16.05" customHeight="1">
      <c r="A2" s="65"/>
      <c r="G2" s="60"/>
      <c r="H2" s="65"/>
    </row>
    <row r="3" spans="1:8" ht="16.05" customHeight="1">
      <c r="A3" s="65"/>
      <c r="B3" s="377" t="str">
        <f>DBase!B17</f>
        <v>DEMONSTRAÇÃO DE RESULTADOS EM</v>
      </c>
      <c r="C3" s="377"/>
      <c r="D3" s="377"/>
      <c r="E3" s="377"/>
      <c r="F3" s="377"/>
      <c r="G3" s="377"/>
      <c r="H3" s="65"/>
    </row>
    <row r="4" spans="1:8" ht="16.05" customHeight="1">
      <c r="A4" s="65"/>
      <c r="B4" s="378">
        <f>DBase!F15</f>
        <v>46022</v>
      </c>
      <c r="C4" s="378"/>
      <c r="D4" s="378"/>
      <c r="E4" s="378"/>
      <c r="F4" s="378"/>
      <c r="G4" s="378"/>
      <c r="H4" s="65"/>
    </row>
    <row r="5" spans="1:8" ht="16.05" customHeight="1">
      <c r="A5" s="65"/>
      <c r="H5" s="65"/>
    </row>
    <row r="6" spans="1:8" ht="16.05" customHeight="1">
      <c r="A6" s="65"/>
      <c r="G6" s="171" t="s">
        <v>1551</v>
      </c>
      <c r="H6" s="65"/>
    </row>
    <row r="7" spans="1:8" ht="16.05" customHeight="1">
      <c r="A7" s="65"/>
      <c r="B7" s="396" t="s">
        <v>1552</v>
      </c>
      <c r="C7" s="396"/>
      <c r="D7" s="396"/>
      <c r="E7" s="396" t="s">
        <v>1553</v>
      </c>
      <c r="F7" s="397" t="s">
        <v>1554</v>
      </c>
      <c r="G7" s="397"/>
      <c r="H7" s="65"/>
    </row>
    <row r="8" spans="1:8" ht="16.05" customHeight="1">
      <c r="A8" s="65"/>
      <c r="B8" s="396"/>
      <c r="C8" s="396"/>
      <c r="D8" s="396"/>
      <c r="E8" s="396"/>
      <c r="F8" s="191">
        <f>DBase!C4</f>
        <v>45658</v>
      </c>
      <c r="G8" s="191">
        <f>F8-1</f>
        <v>45657</v>
      </c>
      <c r="H8" s="65"/>
    </row>
    <row r="9" spans="1:8" ht="20.100000000000001" customHeight="1">
      <c r="A9" s="65"/>
      <c r="B9" s="194"/>
      <c r="C9" s="195"/>
      <c r="D9" s="196"/>
      <c r="E9" s="177"/>
      <c r="F9" s="184"/>
      <c r="G9" s="192"/>
      <c r="H9" s="65"/>
    </row>
    <row r="10" spans="1:8" ht="20.100000000000001" customHeight="1">
      <c r="A10" s="65"/>
      <c r="B10" s="197" t="s">
        <v>943</v>
      </c>
      <c r="C10" s="195"/>
      <c r="D10" s="196"/>
      <c r="E10" s="181">
        <v>22</v>
      </c>
      <c r="F10" s="193">
        <f>-'Blnct AR'!H2222</f>
        <v>82553814.710000008</v>
      </c>
      <c r="G10" s="193">
        <v>155618225.12</v>
      </c>
      <c r="H10" s="65"/>
    </row>
    <row r="11" spans="1:8" ht="20.100000000000001" customHeight="1">
      <c r="A11" s="65"/>
      <c r="B11" s="197" t="s">
        <v>188</v>
      </c>
      <c r="C11" s="195"/>
      <c r="D11" s="196"/>
      <c r="E11" s="181">
        <v>23</v>
      </c>
      <c r="F11" s="193">
        <f>-'Blnct AR'!H2223</f>
        <v>218473707.13999999</v>
      </c>
      <c r="G11" s="193">
        <v>0</v>
      </c>
      <c r="H11" s="65"/>
    </row>
    <row r="12" spans="1:8" ht="20.100000000000001" customHeight="1">
      <c r="A12" s="65"/>
      <c r="B12" s="197" t="s">
        <v>1585</v>
      </c>
      <c r="C12" s="195"/>
      <c r="D12" s="196"/>
      <c r="E12" s="181">
        <v>24</v>
      </c>
      <c r="F12" s="193">
        <f>-'Blnct AR'!H2224</f>
        <v>0</v>
      </c>
      <c r="G12" s="193">
        <v>1033342.25</v>
      </c>
      <c r="H12" s="65"/>
    </row>
    <row r="13" spans="1:8" ht="20.100000000000001" customHeight="1">
      <c r="A13" s="65"/>
      <c r="B13" s="197"/>
      <c r="C13" s="195"/>
      <c r="D13" s="196"/>
      <c r="E13" s="181"/>
      <c r="F13" s="193"/>
      <c r="G13" s="193"/>
      <c r="H13" s="65"/>
    </row>
    <row r="14" spans="1:8" ht="20.100000000000001" customHeight="1">
      <c r="A14" s="65"/>
      <c r="B14" s="262"/>
      <c r="C14" s="263"/>
      <c r="D14" s="264" t="s">
        <v>1586</v>
      </c>
      <c r="E14" s="265"/>
      <c r="F14" s="266">
        <f>SUM(F10:F12)</f>
        <v>301027521.85000002</v>
      </c>
      <c r="G14" s="267">
        <f>SUM(G10:G12)</f>
        <v>156651567.37</v>
      </c>
      <c r="H14" s="65"/>
    </row>
    <row r="15" spans="1:8" ht="20.100000000000001" customHeight="1">
      <c r="A15" s="65"/>
      <c r="B15" s="203"/>
      <c r="C15" s="201"/>
      <c r="D15" s="208"/>
      <c r="E15" s="180"/>
      <c r="F15" s="204"/>
      <c r="G15" s="205"/>
      <c r="H15" s="65"/>
    </row>
    <row r="16" spans="1:8" ht="20.100000000000001" customHeight="1">
      <c r="A16" s="65"/>
      <c r="B16" s="198" t="s">
        <v>1587</v>
      </c>
      <c r="C16" s="195"/>
      <c r="D16" s="196"/>
      <c r="E16" s="178">
        <v>25</v>
      </c>
      <c r="F16" s="193">
        <f>-'Blnct AR'!H2225</f>
        <v>0</v>
      </c>
      <c r="G16" s="193">
        <f>-'Blnct AR'!E2225</f>
        <v>0</v>
      </c>
      <c r="H16" s="65"/>
    </row>
    <row r="17" spans="1:11" ht="20.100000000000001" customHeight="1">
      <c r="A17" s="65"/>
      <c r="B17" s="198" t="s">
        <v>1588</v>
      </c>
      <c r="C17" s="195"/>
      <c r="D17" s="196"/>
      <c r="E17" s="178">
        <v>26</v>
      </c>
      <c r="F17" s="193">
        <f>-'Blnct AR'!H2226</f>
        <v>0</v>
      </c>
      <c r="G17" s="193">
        <f>-'Blnct AR'!E2226</f>
        <v>0</v>
      </c>
      <c r="H17" s="65"/>
    </row>
    <row r="18" spans="1:11" ht="20.100000000000001" customHeight="1">
      <c r="A18" s="65"/>
      <c r="B18" s="198" t="s">
        <v>1589</v>
      </c>
      <c r="C18" s="195"/>
      <c r="D18" s="196"/>
      <c r="E18" s="178">
        <v>27</v>
      </c>
      <c r="F18" s="193">
        <f>-'Blnct AR'!H2227</f>
        <v>-48496258.18999999</v>
      </c>
      <c r="G18" s="193">
        <v>-105639005.08</v>
      </c>
      <c r="H18" s="65"/>
    </row>
    <row r="19" spans="1:11" ht="20.100000000000001" customHeight="1">
      <c r="A19" s="65"/>
      <c r="B19" s="198" t="s">
        <v>1590</v>
      </c>
      <c r="C19" s="195"/>
      <c r="D19" s="196"/>
      <c r="E19" s="178">
        <v>28</v>
      </c>
      <c r="F19" s="193">
        <f>-'Blnct AR'!H2228</f>
        <v>-33038302.689999998</v>
      </c>
      <c r="G19" s="193">
        <v>-29405897.060000006</v>
      </c>
      <c r="H19" s="65"/>
    </row>
    <row r="20" spans="1:11" ht="20.100000000000001" customHeight="1">
      <c r="A20" s="65"/>
      <c r="B20" s="198" t="s">
        <v>1591</v>
      </c>
      <c r="C20" s="195"/>
      <c r="D20" s="196"/>
      <c r="E20" s="178">
        <v>29</v>
      </c>
      <c r="F20" s="193">
        <f>-'Blnct AR'!H2229</f>
        <v>0</v>
      </c>
      <c r="G20" s="193">
        <v>-12554881</v>
      </c>
      <c r="H20" s="65"/>
    </row>
    <row r="21" spans="1:11" ht="20.100000000000001" customHeight="1">
      <c r="A21" s="65"/>
      <c r="B21" s="198" t="s">
        <v>1592</v>
      </c>
      <c r="C21" s="195"/>
      <c r="D21" s="196"/>
      <c r="E21" s="178">
        <v>30</v>
      </c>
      <c r="F21" s="193">
        <f>-'Blnct AR'!H2230</f>
        <v>-219852715.24000001</v>
      </c>
      <c r="G21" s="193">
        <v>-65717292.740000002</v>
      </c>
      <c r="H21" s="65"/>
    </row>
    <row r="22" spans="1:11" ht="20.100000000000001" customHeight="1">
      <c r="A22" s="65"/>
      <c r="B22" s="199"/>
      <c r="C22" s="202"/>
      <c r="D22" s="209"/>
      <c r="E22" s="179"/>
      <c r="F22" s="206"/>
      <c r="G22" s="207"/>
      <c r="H22" s="65"/>
    </row>
    <row r="23" spans="1:11" ht="20.100000000000001" customHeight="1">
      <c r="A23" s="65"/>
      <c r="B23" s="268"/>
      <c r="C23" s="269"/>
      <c r="D23" s="270" t="s">
        <v>1593</v>
      </c>
      <c r="E23" s="271"/>
      <c r="F23" s="272">
        <f>SUM(F16:F21)</f>
        <v>-301387276.12</v>
      </c>
      <c r="G23" s="272">
        <f>SUM(G16:G21)</f>
        <v>-213317075.88000003</v>
      </c>
      <c r="H23" s="65"/>
    </row>
    <row r="24" spans="1:11" ht="20.100000000000001" customHeight="1">
      <c r="A24" s="65"/>
      <c r="B24" s="200"/>
      <c r="C24" s="201"/>
      <c r="D24" s="213"/>
      <c r="E24" s="187"/>
      <c r="F24" s="204"/>
      <c r="G24" s="205"/>
      <c r="H24" s="65"/>
    </row>
    <row r="25" spans="1:11" ht="20.100000000000001" customHeight="1">
      <c r="A25" s="65"/>
      <c r="B25" s="214" t="s">
        <v>1594</v>
      </c>
      <c r="C25" s="195"/>
      <c r="D25" s="215"/>
      <c r="E25" s="210"/>
      <c r="F25" s="211">
        <f>F14+F23</f>
        <v>-359754.26999998093</v>
      </c>
      <c r="G25" s="211">
        <v>-56665508.51000002</v>
      </c>
      <c r="H25" s="65"/>
    </row>
    <row r="26" spans="1:11" ht="20.100000000000001" customHeight="1">
      <c r="A26" s="65"/>
      <c r="B26" s="198" t="s">
        <v>1595</v>
      </c>
      <c r="C26" s="195"/>
      <c r="D26" s="215"/>
      <c r="E26" s="212">
        <v>31</v>
      </c>
      <c r="F26" s="193">
        <f>-'Blnct AR'!H2254</f>
        <v>-89656</v>
      </c>
      <c r="G26" s="193">
        <v>-2087859.2699999998</v>
      </c>
      <c r="H26" s="65"/>
    </row>
    <row r="27" spans="1:11" ht="20.100000000000001" customHeight="1">
      <c r="A27" s="65"/>
      <c r="B27" s="198" t="s">
        <v>1596</v>
      </c>
      <c r="C27" s="195"/>
      <c r="D27" s="215"/>
      <c r="E27" s="212">
        <v>32</v>
      </c>
      <c r="F27" s="193">
        <f>'Blnct AR'!H2255</f>
        <v>0</v>
      </c>
      <c r="G27" s="193">
        <v>0</v>
      </c>
      <c r="H27" s="65"/>
    </row>
    <row r="28" spans="1:11" ht="20.100000000000001" customHeight="1">
      <c r="A28" s="65"/>
      <c r="B28" s="198" t="s">
        <v>1545</v>
      </c>
      <c r="C28" s="195"/>
      <c r="D28" s="215"/>
      <c r="E28" s="212">
        <v>33</v>
      </c>
      <c r="F28" s="193">
        <f>-'Blnct AR'!H2256</f>
        <v>-14051754.41</v>
      </c>
      <c r="G28" s="193">
        <v>17078659</v>
      </c>
      <c r="H28" s="65"/>
    </row>
    <row r="29" spans="1:11" ht="20.100000000000001" customHeight="1">
      <c r="A29" s="65"/>
      <c r="B29" s="214" t="s">
        <v>1597</v>
      </c>
      <c r="C29" s="195"/>
      <c r="D29" s="215"/>
      <c r="E29" s="212"/>
      <c r="F29" s="211">
        <f>SUM(F25:F28)</f>
        <v>-14501164.679999981</v>
      </c>
      <c r="G29" s="211">
        <v>-41674708.780000024</v>
      </c>
      <c r="H29" s="65"/>
    </row>
    <row r="30" spans="1:11" ht="20.100000000000001" customHeight="1">
      <c r="A30" s="65"/>
      <c r="B30" s="198" t="s">
        <v>1598</v>
      </c>
      <c r="C30" s="195"/>
      <c r="D30" s="215"/>
      <c r="E30" s="212">
        <v>35</v>
      </c>
      <c r="F30" s="193">
        <f>-IF(F29&gt;0,F29*30%,0)</f>
        <v>0</v>
      </c>
      <c r="G30" s="193">
        <v>0</v>
      </c>
      <c r="H30" s="65"/>
    </row>
    <row r="31" spans="1:11" ht="20.100000000000001" customHeight="1">
      <c r="A31" s="65"/>
      <c r="B31" s="214" t="s">
        <v>1599</v>
      </c>
      <c r="C31" s="195"/>
      <c r="D31" s="215"/>
      <c r="E31" s="210"/>
      <c r="F31" s="211">
        <f>IF(F30&gt;0,F29-F30,F29+F30)</f>
        <v>-14501164.679999981</v>
      </c>
      <c r="G31" s="211">
        <v>-41674708.780000024</v>
      </c>
      <c r="H31" s="65"/>
      <c r="K31" s="66"/>
    </row>
    <row r="32" spans="1:11" ht="20.100000000000001" customHeight="1">
      <c r="A32" s="65"/>
      <c r="B32" s="198"/>
      <c r="C32" s="195"/>
      <c r="D32" s="215"/>
      <c r="E32" s="210"/>
      <c r="F32" s="193"/>
      <c r="G32" s="193"/>
      <c r="H32" s="65"/>
    </row>
    <row r="33" spans="1:8" ht="20.100000000000001" customHeight="1">
      <c r="A33" s="65"/>
      <c r="B33" s="394" t="s">
        <v>2098</v>
      </c>
      <c r="C33" s="395"/>
      <c r="D33" s="395"/>
      <c r="E33" s="273"/>
      <c r="F33" s="274">
        <f>F31</f>
        <v>-14501164.679999981</v>
      </c>
      <c r="G33" s="274">
        <f>G31</f>
        <v>-41674708.780000024</v>
      </c>
      <c r="H33" s="65"/>
    </row>
    <row r="34" spans="1:8">
      <c r="A34" s="65"/>
      <c r="B34" s="65"/>
      <c r="C34" s="65"/>
      <c r="D34" s="65"/>
      <c r="E34" s="65"/>
      <c r="F34" s="65"/>
      <c r="G34" s="65"/>
      <c r="H34" s="65"/>
    </row>
  </sheetData>
  <mergeCells count="6">
    <mergeCell ref="B33:D33"/>
    <mergeCell ref="B3:G3"/>
    <mergeCell ref="B4:G4"/>
    <mergeCell ref="B7:D8"/>
    <mergeCell ref="E7:E8"/>
    <mergeCell ref="F7:G7"/>
  </mergeCells>
  <printOptions horizontalCentered="1"/>
  <pageMargins left="0.25" right="0.25" top="0.75" bottom="0.75" header="0.51180555555555496" footer="0.3"/>
  <pageSetup paperSize="9" firstPageNumber="0" orientation="portrait" horizontalDpi="300" verticalDpi="300" r:id="rId1"/>
  <headerFooter>
    <oddFooter>&amp;C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9"/>
  <sheetViews>
    <sheetView showGridLines="0" zoomScaleNormal="100" workbookViewId="0">
      <selection activeCell="O41" sqref="O41"/>
    </sheetView>
  </sheetViews>
  <sheetFormatPr defaultColWidth="8.77734375" defaultRowHeight="14.4"/>
  <cols>
    <col min="1" max="1" width="4.21875" style="218" customWidth="1"/>
    <col min="2" max="1025" width="8.44140625" style="218" customWidth="1"/>
    <col min="1026" max="16384" width="8.77734375" style="218"/>
  </cols>
  <sheetData>
    <row r="1" spans="1:12">
      <c r="A1" s="216"/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</row>
    <row r="2" spans="1:12" ht="17.399999999999999">
      <c r="A2" s="216"/>
      <c r="B2" s="398" t="s">
        <v>1600</v>
      </c>
      <c r="C2" s="398"/>
      <c r="D2" s="398"/>
      <c r="E2" s="398"/>
      <c r="F2" s="398"/>
      <c r="G2" s="398"/>
      <c r="H2" s="398"/>
      <c r="I2" s="398"/>
      <c r="J2" s="398"/>
      <c r="K2" s="398"/>
      <c r="L2" s="217"/>
    </row>
    <row r="3" spans="1:12">
      <c r="A3" s="216"/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</row>
    <row r="4" spans="1:12">
      <c r="A4" s="219"/>
      <c r="B4" s="220"/>
      <c r="C4" s="217"/>
      <c r="D4" s="217"/>
      <c r="E4" s="217"/>
      <c r="F4" s="217"/>
      <c r="G4" s="217"/>
      <c r="H4" s="217"/>
      <c r="I4" s="217"/>
      <c r="J4" s="217"/>
      <c r="K4" s="217"/>
      <c r="L4" s="217"/>
    </row>
    <row r="5" spans="1:12">
      <c r="A5" s="216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</row>
    <row r="6" spans="1:12">
      <c r="A6" s="216"/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</row>
    <row r="7" spans="1:12">
      <c r="A7" s="216"/>
      <c r="B7" s="217"/>
      <c r="C7" s="217"/>
      <c r="D7" s="217"/>
      <c r="E7" s="217"/>
      <c r="F7" s="217"/>
      <c r="G7" s="217"/>
      <c r="H7" s="217"/>
      <c r="I7" s="217"/>
      <c r="J7" s="217"/>
      <c r="K7" s="217"/>
      <c r="L7" s="217"/>
    </row>
    <row r="8" spans="1:12">
      <c r="A8" s="216"/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</row>
    <row r="9" spans="1:12">
      <c r="A9" s="216"/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>
      <c r="A10" s="216"/>
      <c r="B10" s="217"/>
      <c r="C10" s="217"/>
      <c r="D10" s="217"/>
      <c r="E10" s="217"/>
      <c r="F10" s="217"/>
      <c r="G10" s="217"/>
      <c r="H10" s="217"/>
      <c r="I10" s="217"/>
      <c r="J10" s="217"/>
      <c r="K10" s="217"/>
      <c r="L10" s="217"/>
    </row>
    <row r="11" spans="1:12">
      <c r="A11" s="216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</row>
    <row r="12" spans="1:12">
      <c r="A12" s="216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</row>
    <row r="13" spans="1:12">
      <c r="A13" s="219"/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</row>
    <row r="14" spans="1:12">
      <c r="A14" s="216"/>
      <c r="B14" s="217"/>
      <c r="C14" s="217"/>
      <c r="D14" s="217"/>
      <c r="E14" s="217"/>
      <c r="F14" s="217"/>
      <c r="G14" s="217"/>
      <c r="H14" s="217"/>
      <c r="I14" s="217"/>
      <c r="J14" s="217"/>
      <c r="K14" s="217"/>
      <c r="L14" s="217"/>
    </row>
    <row r="15" spans="1:12">
      <c r="A15" s="216"/>
      <c r="B15" s="220"/>
      <c r="C15" s="217"/>
      <c r="D15" s="217"/>
      <c r="E15" s="217"/>
      <c r="F15" s="217"/>
      <c r="G15" s="217"/>
      <c r="H15" s="217"/>
      <c r="I15" s="217"/>
      <c r="J15" s="217"/>
      <c r="K15" s="217"/>
      <c r="L15" s="217"/>
    </row>
    <row r="16" spans="1:12">
      <c r="A16" s="219"/>
      <c r="B16" s="217"/>
      <c r="C16" s="217"/>
      <c r="D16" s="217"/>
      <c r="E16" s="217"/>
      <c r="F16" s="217"/>
      <c r="G16" s="217"/>
      <c r="H16" s="217"/>
      <c r="I16" s="217"/>
      <c r="J16" s="217"/>
      <c r="K16" s="217"/>
      <c r="L16" s="217"/>
    </row>
    <row r="17" spans="1:12">
      <c r="A17" s="216"/>
      <c r="B17" s="217"/>
      <c r="C17" s="217"/>
      <c r="D17" s="217"/>
      <c r="E17" s="217"/>
      <c r="F17" s="217"/>
      <c r="G17" s="217"/>
      <c r="H17" s="217"/>
      <c r="I17" s="217"/>
      <c r="J17" s="217"/>
      <c r="K17" s="217"/>
      <c r="L17" s="217"/>
    </row>
    <row r="18" spans="1:12">
      <c r="A18" s="216"/>
      <c r="B18" s="217"/>
      <c r="C18" s="217"/>
      <c r="D18" s="217"/>
      <c r="E18" s="217"/>
      <c r="F18" s="217"/>
      <c r="G18" s="217"/>
      <c r="H18" s="217"/>
      <c r="I18" s="217"/>
      <c r="J18" s="217"/>
      <c r="K18" s="217"/>
      <c r="L18" s="217"/>
    </row>
    <row r="19" spans="1:12">
      <c r="A19" s="216"/>
      <c r="B19" s="217"/>
      <c r="C19" s="217"/>
      <c r="D19" s="217"/>
      <c r="E19" s="217"/>
      <c r="F19" s="217"/>
      <c r="G19" s="217"/>
      <c r="H19" s="217"/>
      <c r="I19" s="217"/>
      <c r="J19" s="217"/>
      <c r="K19" s="217"/>
      <c r="L19" s="217"/>
    </row>
    <row r="20" spans="1:12">
      <c r="A20" s="219"/>
      <c r="B20" s="220"/>
      <c r="C20" s="217"/>
      <c r="D20" s="217"/>
      <c r="E20" s="217"/>
      <c r="F20" s="217"/>
      <c r="G20" s="217"/>
      <c r="H20" s="217"/>
      <c r="I20" s="217"/>
      <c r="J20" s="217"/>
      <c r="K20" s="217"/>
      <c r="L20" s="217"/>
    </row>
    <row r="21" spans="1:12">
      <c r="A21" s="216"/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</row>
    <row r="22" spans="1:12">
      <c r="A22" s="216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</row>
    <row r="23" spans="1:12">
      <c r="A23" s="219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</row>
    <row r="24" spans="1:12">
      <c r="A24" s="216"/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</row>
    <row r="25" spans="1:12">
      <c r="A25" s="216"/>
      <c r="B25" s="217"/>
      <c r="C25" s="217"/>
      <c r="D25" s="217"/>
      <c r="E25" s="217"/>
      <c r="F25" s="217"/>
      <c r="G25" s="217"/>
      <c r="H25" s="217"/>
      <c r="I25" s="217"/>
      <c r="J25" s="217"/>
      <c r="K25" s="217"/>
      <c r="L25" s="217"/>
    </row>
    <row r="26" spans="1:12">
      <c r="A26" s="216"/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</row>
    <row r="27" spans="1:12">
      <c r="A27" s="216"/>
      <c r="B27" s="220"/>
      <c r="C27" s="217"/>
      <c r="D27" s="217"/>
      <c r="E27" s="217"/>
      <c r="F27" s="217"/>
      <c r="G27" s="217"/>
      <c r="H27" s="217"/>
      <c r="I27" s="217"/>
      <c r="J27" s="217"/>
      <c r="K27" s="217"/>
      <c r="L27" s="217"/>
    </row>
    <row r="28" spans="1:12">
      <c r="A28" s="216"/>
      <c r="B28" s="217"/>
      <c r="C28" s="217"/>
      <c r="D28" s="217"/>
      <c r="E28" s="217"/>
      <c r="F28" s="217"/>
      <c r="G28" s="217"/>
      <c r="H28" s="217"/>
      <c r="I28" s="217"/>
      <c r="J28" s="217"/>
      <c r="K28" s="217"/>
      <c r="L28" s="217"/>
    </row>
    <row r="29" spans="1:12">
      <c r="A29" s="216"/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17"/>
    </row>
    <row r="30" spans="1:12">
      <c r="A30" s="216"/>
      <c r="B30" s="217"/>
      <c r="C30" s="217"/>
      <c r="D30" s="217"/>
      <c r="E30" s="217"/>
      <c r="F30" s="217"/>
      <c r="G30" s="217"/>
      <c r="H30" s="217"/>
      <c r="I30" s="217"/>
      <c r="J30" s="217"/>
      <c r="K30" s="217"/>
      <c r="L30" s="217"/>
    </row>
    <row r="31" spans="1:12">
      <c r="A31" s="216"/>
      <c r="B31" s="217"/>
      <c r="C31" s="217"/>
      <c r="D31" s="217"/>
      <c r="E31" s="217"/>
      <c r="F31" s="217"/>
      <c r="G31" s="217"/>
      <c r="H31" s="217"/>
      <c r="I31" s="217"/>
      <c r="J31" s="217"/>
      <c r="K31" s="217"/>
      <c r="L31" s="217"/>
    </row>
    <row r="32" spans="1:12">
      <c r="A32" s="216"/>
      <c r="B32" s="220"/>
      <c r="C32" s="217"/>
      <c r="D32" s="217"/>
      <c r="E32" s="217"/>
      <c r="F32" s="217"/>
      <c r="G32" s="217"/>
      <c r="H32" s="217"/>
      <c r="I32" s="217"/>
      <c r="J32" s="217"/>
      <c r="K32" s="217"/>
      <c r="L32" s="217"/>
    </row>
    <row r="33" spans="1:12">
      <c r="A33" s="216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</row>
    <row r="34" spans="1:12">
      <c r="A34" s="216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</row>
    <row r="35" spans="1:12">
      <c r="A35" s="216"/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</row>
    <row r="36" spans="1:12">
      <c r="A36" s="216"/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17"/>
    </row>
    <row r="37" spans="1:12">
      <c r="A37" s="216"/>
      <c r="B37" s="217"/>
      <c r="C37" s="217"/>
      <c r="D37" s="217"/>
      <c r="E37" s="217"/>
      <c r="F37" s="217"/>
      <c r="G37" s="217"/>
      <c r="H37" s="217"/>
      <c r="I37" s="217"/>
      <c r="J37" s="217"/>
      <c r="K37" s="217"/>
      <c r="L37" s="217"/>
    </row>
    <row r="38" spans="1:12">
      <c r="A38" s="216"/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</row>
    <row r="39" spans="1:12">
      <c r="A39" s="216"/>
      <c r="B39" s="217"/>
      <c r="C39" s="217"/>
      <c r="D39" s="217"/>
      <c r="E39" s="217"/>
      <c r="F39" s="217"/>
      <c r="G39" s="217"/>
      <c r="H39" s="217"/>
      <c r="I39" s="217"/>
      <c r="J39" s="217"/>
      <c r="K39" s="217"/>
      <c r="L39" s="217"/>
    </row>
    <row r="40" spans="1:12">
      <c r="A40" s="216"/>
      <c r="B40" s="217"/>
      <c r="C40" s="217"/>
      <c r="D40" s="217"/>
      <c r="E40" s="217"/>
      <c r="F40" s="217"/>
      <c r="G40" s="217"/>
      <c r="H40" s="217"/>
      <c r="I40" s="217"/>
      <c r="J40" s="217"/>
      <c r="K40" s="217"/>
      <c r="L40" s="217"/>
    </row>
    <row r="41" spans="1:12">
      <c r="A41" s="219"/>
      <c r="B41" s="217"/>
      <c r="C41" s="217"/>
      <c r="D41" s="217"/>
      <c r="E41" s="217"/>
      <c r="F41" s="217"/>
      <c r="G41" s="221"/>
      <c r="H41" s="221"/>
      <c r="I41" s="217"/>
      <c r="J41" s="217"/>
      <c r="K41" s="217"/>
      <c r="L41" s="217"/>
    </row>
    <row r="42" spans="1:12">
      <c r="A42" s="216"/>
      <c r="B42" s="217"/>
      <c r="C42" s="217"/>
      <c r="D42" s="217"/>
      <c r="E42" s="217"/>
      <c r="F42" s="217"/>
      <c r="G42" s="217"/>
      <c r="H42" s="217"/>
      <c r="I42" s="217"/>
      <c r="J42" s="217"/>
      <c r="K42" s="217"/>
      <c r="L42" s="217"/>
    </row>
    <row r="43" spans="1:12">
      <c r="A43" s="216"/>
      <c r="B43" s="217"/>
      <c r="C43" s="217"/>
      <c r="D43" s="217"/>
      <c r="E43" s="217"/>
      <c r="F43" s="217"/>
      <c r="G43" s="217"/>
      <c r="H43" s="217"/>
      <c r="I43" s="217"/>
      <c r="J43" s="217"/>
      <c r="K43" s="217"/>
      <c r="L43" s="217"/>
    </row>
    <row r="44" spans="1:12">
      <c r="A44" s="216"/>
      <c r="B44" s="217"/>
      <c r="C44" s="217"/>
      <c r="D44" s="217"/>
      <c r="E44" s="217"/>
      <c r="F44" s="217"/>
      <c r="G44" s="217"/>
      <c r="H44" s="217"/>
      <c r="I44" s="217"/>
      <c r="J44" s="217"/>
      <c r="K44" s="217"/>
      <c r="L44" s="217"/>
    </row>
    <row r="45" spans="1:12">
      <c r="A45" s="216"/>
      <c r="B45" s="217"/>
      <c r="C45" s="217"/>
      <c r="D45" s="217"/>
      <c r="E45" s="217"/>
      <c r="F45" s="217"/>
      <c r="G45" s="217"/>
      <c r="H45" s="217"/>
      <c r="I45" s="217"/>
      <c r="J45" s="217"/>
      <c r="K45" s="217"/>
      <c r="L45" s="217"/>
    </row>
    <row r="46" spans="1:12">
      <c r="A46" s="219"/>
      <c r="B46" s="217"/>
      <c r="C46" s="217"/>
      <c r="D46" s="217"/>
      <c r="E46" s="217"/>
      <c r="F46" s="217"/>
      <c r="G46" s="217"/>
      <c r="H46" s="217"/>
      <c r="I46" s="217"/>
      <c r="J46" s="217"/>
      <c r="K46" s="217"/>
      <c r="L46" s="217"/>
    </row>
    <row r="47" spans="1:12">
      <c r="A47" s="216"/>
      <c r="B47" s="217"/>
      <c r="C47" s="217"/>
      <c r="D47" s="217"/>
      <c r="E47" s="217"/>
      <c r="F47" s="217"/>
      <c r="G47" s="217"/>
      <c r="H47" s="217"/>
      <c r="I47" s="217"/>
      <c r="J47" s="217"/>
      <c r="K47" s="217"/>
      <c r="L47" s="217"/>
    </row>
    <row r="48" spans="1:12">
      <c r="A48" s="216"/>
      <c r="B48" s="217"/>
      <c r="C48" s="217"/>
      <c r="D48" s="217"/>
      <c r="E48" s="217"/>
      <c r="F48" s="217"/>
      <c r="G48" s="217"/>
      <c r="H48" s="217"/>
      <c r="I48" s="217"/>
      <c r="J48" s="217"/>
      <c r="K48" s="217"/>
      <c r="L48" s="217"/>
    </row>
    <row r="49" spans="1:12">
      <c r="A49" s="216"/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</row>
  </sheetData>
  <mergeCells count="1">
    <mergeCell ref="B2:K2"/>
  </mergeCells>
  <pageMargins left="0.7" right="0.7" top="0.75" bottom="0.75" header="0.51180555555555496" footer="0.51180555555555496"/>
  <pageSetup paperSize="9" scale="91" firstPageNumber="0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J41"/>
  <sheetViews>
    <sheetView showGridLines="0" zoomScaleNormal="100" workbookViewId="0">
      <selection activeCell="I6" sqref="I6:J6"/>
    </sheetView>
  </sheetViews>
  <sheetFormatPr defaultRowHeight="14.4"/>
  <cols>
    <col min="1" max="1" width="4.21875" customWidth="1"/>
    <col min="2" max="8" width="8.44140625" customWidth="1"/>
    <col min="9" max="9" width="10.21875" customWidth="1"/>
    <col min="10" max="10" width="10.6640625" customWidth="1"/>
    <col min="11" max="1025" width="8.44140625" customWidth="1"/>
  </cols>
  <sheetData>
    <row r="2" spans="1:10" ht="18">
      <c r="B2" s="399" t="s">
        <v>1601</v>
      </c>
      <c r="C2" s="399"/>
      <c r="D2" s="399"/>
      <c r="E2" s="399"/>
      <c r="F2" s="399"/>
      <c r="G2" s="399"/>
      <c r="H2" s="399"/>
      <c r="I2" s="399"/>
      <c r="J2" s="399"/>
    </row>
    <row r="3" spans="1:10" ht="10.050000000000001" customHeight="1">
      <c r="B3" s="68"/>
      <c r="C3" s="68"/>
      <c r="D3" s="68"/>
      <c r="E3" s="68"/>
      <c r="F3" s="68"/>
      <c r="G3" s="68"/>
      <c r="H3" s="68"/>
      <c r="I3" s="68"/>
      <c r="J3" s="68"/>
    </row>
    <row r="4" spans="1:10">
      <c r="A4" s="173"/>
      <c r="B4" s="226"/>
      <c r="C4" s="226"/>
      <c r="D4" s="226"/>
      <c r="E4" s="226"/>
      <c r="F4" s="226"/>
      <c r="G4" s="226"/>
      <c r="H4" s="226"/>
      <c r="I4" s="400" t="s">
        <v>1602</v>
      </c>
      <c r="J4" s="400"/>
    </row>
    <row r="5" spans="1:10" ht="10.050000000000001" customHeight="1">
      <c r="A5" s="173"/>
      <c r="B5" s="173"/>
      <c r="C5" s="173"/>
      <c r="D5" s="173"/>
      <c r="E5" s="173"/>
      <c r="F5" s="173"/>
      <c r="G5" s="173"/>
      <c r="H5" s="173"/>
      <c r="I5" s="173"/>
      <c r="J5" s="173"/>
    </row>
    <row r="6" spans="1:10">
      <c r="A6" s="173"/>
      <c r="B6" s="225">
        <v>4</v>
      </c>
      <c r="C6" s="222" t="s">
        <v>1244</v>
      </c>
      <c r="D6" s="173"/>
      <c r="E6" s="173"/>
      <c r="F6" s="173"/>
      <c r="G6" s="173"/>
      <c r="H6" s="173"/>
      <c r="I6" s="401" t="str">
        <f>IF(Balanço!F11&gt;0.1*Balanço!F28,"Aplicável","Não Aplicável")</f>
        <v>Aplicável</v>
      </c>
      <c r="J6" s="401"/>
    </row>
    <row r="7" spans="1:10" ht="10.050000000000001" customHeight="1">
      <c r="A7" s="173"/>
      <c r="B7" s="225"/>
      <c r="C7" s="173"/>
      <c r="D7" s="173"/>
      <c r="E7" s="173"/>
      <c r="F7" s="173"/>
      <c r="G7" s="173"/>
      <c r="H7" s="173"/>
      <c r="I7" s="173"/>
      <c r="J7" s="173"/>
    </row>
    <row r="8" spans="1:10">
      <c r="A8" s="173"/>
      <c r="B8" s="225">
        <v>5</v>
      </c>
      <c r="C8" s="222" t="s">
        <v>1245</v>
      </c>
      <c r="D8" s="173"/>
      <c r="E8" s="173"/>
      <c r="F8" s="173"/>
      <c r="G8" s="173"/>
      <c r="H8" s="173"/>
      <c r="I8" s="401" t="str">
        <f>IF(Balanço!F12&gt;0.1*Balanço!F24,"Aplicável","Não Aplicável")</f>
        <v>Não Aplicável</v>
      </c>
      <c r="J8" s="401"/>
    </row>
    <row r="9" spans="1:10" ht="10.050000000000001" customHeight="1">
      <c r="A9" s="173"/>
      <c r="B9" s="225"/>
      <c r="C9" s="173"/>
      <c r="D9" s="173"/>
      <c r="E9" s="173"/>
      <c r="F9" s="173"/>
      <c r="G9" s="223"/>
      <c r="H9" s="173"/>
      <c r="I9" s="224"/>
      <c r="J9" s="224"/>
    </row>
    <row r="10" spans="1:10">
      <c r="A10" s="173"/>
      <c r="B10" s="225">
        <v>6</v>
      </c>
      <c r="C10" s="222" t="s">
        <v>1603</v>
      </c>
      <c r="D10" s="173"/>
      <c r="E10" s="173"/>
      <c r="F10" s="173"/>
      <c r="G10" s="173"/>
      <c r="H10" s="173"/>
      <c r="I10" s="401" t="str">
        <f>IF(Balanço!F13&gt;0.1*Balanço!F24,"Aplicável","Não Aplicável")</f>
        <v>Não Aplicável</v>
      </c>
      <c r="J10" s="401"/>
    </row>
    <row r="11" spans="1:10" ht="10.050000000000001" customHeight="1">
      <c r="A11" s="173"/>
      <c r="B11" s="225"/>
      <c r="C11" s="173"/>
      <c r="D11" s="173"/>
      <c r="E11" s="173"/>
      <c r="F11" s="173"/>
      <c r="G11" s="173"/>
      <c r="H11" s="173"/>
      <c r="I11" s="224"/>
      <c r="J11" s="224"/>
    </row>
    <row r="12" spans="1:10">
      <c r="A12" s="173"/>
      <c r="B12" s="225">
        <v>7</v>
      </c>
      <c r="C12" s="222" t="s">
        <v>1558</v>
      </c>
      <c r="D12" s="173"/>
      <c r="E12" s="173"/>
      <c r="F12" s="173"/>
      <c r="G12" s="173"/>
      <c r="H12" s="173"/>
      <c r="I12" s="401" t="str">
        <f>IF(Balanço!F14&gt;0.1*Balanço!F24,"Aplicável","Não Aplicável")</f>
        <v>Não Aplicável</v>
      </c>
      <c r="J12" s="401"/>
    </row>
    <row r="13" spans="1:10" ht="10.050000000000001" customHeight="1">
      <c r="A13" s="173"/>
      <c r="B13" s="225"/>
      <c r="C13" s="173"/>
      <c r="D13" s="173"/>
      <c r="E13" s="173"/>
      <c r="F13" s="173"/>
      <c r="G13" s="173"/>
      <c r="H13" s="173"/>
      <c r="I13" s="224"/>
      <c r="J13" s="224"/>
    </row>
    <row r="14" spans="1:10">
      <c r="A14" s="173"/>
      <c r="B14" s="225">
        <v>8</v>
      </c>
      <c r="C14" s="222" t="s">
        <v>1471</v>
      </c>
      <c r="D14" s="173"/>
      <c r="E14" s="173"/>
      <c r="F14" s="173"/>
      <c r="G14" s="173"/>
      <c r="H14" s="173"/>
      <c r="I14" s="401" t="str">
        <f>IF(Balanço!F18&gt;0.1*Balanço!F24,"Aplicável","Não Aplicável")</f>
        <v>Aplicável</v>
      </c>
      <c r="J14" s="401"/>
    </row>
    <row r="15" spans="1:10" ht="10.050000000000001" customHeight="1">
      <c r="A15" s="173"/>
      <c r="B15" s="225"/>
      <c r="C15" s="173"/>
      <c r="D15" s="173"/>
      <c r="E15" s="173"/>
      <c r="F15" s="173"/>
      <c r="G15" s="173"/>
      <c r="H15" s="173"/>
      <c r="I15" s="224"/>
      <c r="J15" s="224"/>
    </row>
    <row r="16" spans="1:10">
      <c r="A16" s="173"/>
      <c r="B16" s="225">
        <v>9</v>
      </c>
      <c r="C16" s="222" t="s">
        <v>1827</v>
      </c>
      <c r="D16" s="173"/>
      <c r="E16" s="173"/>
      <c r="F16" s="173"/>
      <c r="G16" s="173"/>
      <c r="H16" s="173"/>
      <c r="I16" s="401" t="str">
        <f>IF(Balanço!F19&gt;0.1*Balanço!F24,"Aplicável","Não Aplicável")</f>
        <v>Aplicável</v>
      </c>
      <c r="J16" s="401"/>
    </row>
    <row r="17" spans="1:10" ht="10.050000000000001" customHeight="1">
      <c r="A17" s="173"/>
      <c r="B17" s="225"/>
      <c r="C17" s="173"/>
      <c r="D17" s="173"/>
      <c r="E17" s="173"/>
      <c r="F17" s="173"/>
      <c r="G17" s="173"/>
      <c r="H17" s="173"/>
      <c r="I17" s="224"/>
      <c r="J17" s="224"/>
    </row>
    <row r="18" spans="1:10">
      <c r="A18" s="173"/>
      <c r="B18" s="225">
        <v>10</v>
      </c>
      <c r="C18" s="222" t="s">
        <v>1562</v>
      </c>
      <c r="D18" s="173"/>
      <c r="E18" s="173"/>
      <c r="F18" s="173"/>
      <c r="G18" s="173"/>
      <c r="H18" s="173"/>
      <c r="I18" s="401" t="str">
        <f>IF(Balanço!F20&gt;0.1*Balanço!F24,"Aplicável","Não Aplicável")</f>
        <v>Não Aplicável</v>
      </c>
      <c r="J18" s="401"/>
    </row>
    <row r="19" spans="1:10" ht="10.050000000000001" customHeight="1">
      <c r="A19" s="173"/>
      <c r="B19" s="225"/>
      <c r="C19" s="173"/>
      <c r="D19" s="173"/>
      <c r="E19" s="173"/>
      <c r="F19" s="173"/>
      <c r="G19" s="173"/>
      <c r="H19" s="173"/>
      <c r="I19" s="224"/>
      <c r="J19" s="224"/>
    </row>
    <row r="20" spans="1:10">
      <c r="A20" s="173"/>
      <c r="B20" s="225">
        <v>11</v>
      </c>
      <c r="C20" s="222" t="s">
        <v>1604</v>
      </c>
      <c r="D20" s="173"/>
      <c r="E20" s="173"/>
      <c r="F20" s="173"/>
      <c r="G20" s="173"/>
      <c r="H20" s="173"/>
      <c r="I20" s="401" t="str">
        <f>IF(Balanço!F21&gt;0.1*Balanço!F24,"Aplicável","Não Aplicável")</f>
        <v>Não Aplicável</v>
      </c>
      <c r="J20" s="401"/>
    </row>
    <row r="21" spans="1:10" ht="10.050000000000001" customHeight="1">
      <c r="A21" s="173"/>
      <c r="B21" s="225"/>
      <c r="C21" s="173"/>
      <c r="D21" s="173"/>
      <c r="E21" s="173"/>
      <c r="F21" s="173"/>
      <c r="G21" s="173"/>
      <c r="H21" s="173"/>
      <c r="I21" s="224"/>
      <c r="J21" s="224"/>
    </row>
    <row r="22" spans="1:10">
      <c r="A22" s="173"/>
      <c r="B22" s="225">
        <v>12</v>
      </c>
      <c r="C22" s="222" t="s">
        <v>1568</v>
      </c>
      <c r="D22" s="173"/>
      <c r="E22" s="173"/>
      <c r="F22" s="173"/>
      <c r="G22" s="173"/>
      <c r="H22" s="173"/>
      <c r="I22" s="401" t="str">
        <f>IF(Balanço!F28&gt;0.1*Balanço!F24,"Aplicável","Não Aplicável")</f>
        <v>Não Aplicável</v>
      </c>
      <c r="J22" s="401"/>
    </row>
    <row r="23" spans="1:10" ht="10.050000000000001" customHeight="1">
      <c r="A23" s="173"/>
      <c r="B23" s="225"/>
      <c r="C23" s="173"/>
      <c r="D23" s="173"/>
      <c r="E23" s="173"/>
      <c r="F23" s="173"/>
      <c r="G23" s="173"/>
      <c r="H23" s="173"/>
      <c r="I23" s="224"/>
      <c r="J23" s="224"/>
    </row>
    <row r="24" spans="1:10">
      <c r="A24" s="173"/>
      <c r="B24" s="225">
        <v>13</v>
      </c>
      <c r="C24" s="222" t="s">
        <v>1569</v>
      </c>
      <c r="D24" s="173"/>
      <c r="E24" s="173"/>
      <c r="F24" s="173"/>
      <c r="G24" s="173"/>
      <c r="H24" s="173"/>
      <c r="I24" s="401" t="str">
        <f>IF(Balanço!F29&gt;0.1*Balanço!F24,"Aplicável","Não Aplicável")</f>
        <v>Não Aplicável</v>
      </c>
      <c r="J24" s="401"/>
    </row>
    <row r="25" spans="1:10" ht="10.050000000000001" customHeight="1">
      <c r="A25" s="173"/>
      <c r="B25" s="225"/>
      <c r="C25" s="173"/>
      <c r="D25" s="173"/>
      <c r="E25" s="173"/>
      <c r="F25" s="173"/>
      <c r="G25" s="173"/>
      <c r="H25" s="173"/>
      <c r="I25" s="224"/>
      <c r="J25" s="224"/>
    </row>
    <row r="26" spans="1:10">
      <c r="A26" s="173"/>
      <c r="B26" s="225">
        <v>14</v>
      </c>
      <c r="C26" s="222" t="s">
        <v>1605</v>
      </c>
      <c r="D26" s="173"/>
      <c r="E26" s="173"/>
      <c r="F26" s="173"/>
      <c r="G26" s="173"/>
      <c r="H26" s="173"/>
      <c r="I26" s="401" t="str">
        <f>IF(Balanço!F30&gt;0.1*Balanço!F24,"Aplicável","Não Aplicável")</f>
        <v>Não Aplicável</v>
      </c>
      <c r="J26" s="401"/>
    </row>
    <row r="27" spans="1:10" ht="10.050000000000001" customHeight="1">
      <c r="A27" s="173"/>
      <c r="B27" s="225"/>
      <c r="C27" s="173"/>
      <c r="D27" s="173"/>
      <c r="E27" s="173"/>
      <c r="F27" s="173"/>
      <c r="G27" s="173"/>
      <c r="H27" s="173"/>
      <c r="I27" s="224"/>
      <c r="J27" s="224"/>
    </row>
    <row r="28" spans="1:10">
      <c r="A28" s="173"/>
      <c r="B28" s="225">
        <v>15</v>
      </c>
      <c r="C28" s="222" t="s">
        <v>1574</v>
      </c>
      <c r="D28" s="173"/>
      <c r="E28" s="173"/>
      <c r="F28" s="173"/>
      <c r="G28" s="173"/>
      <c r="H28" s="173"/>
      <c r="I28" s="401" t="str">
        <f>IF(Balanço!F37&gt;0.1*Balanço!F24,"Aplicável","Não Aplicável")</f>
        <v>Não Aplicável</v>
      </c>
      <c r="J28" s="401"/>
    </row>
    <row r="29" spans="1:10" ht="10.050000000000001" customHeight="1">
      <c r="A29" s="173"/>
      <c r="B29" s="225"/>
      <c r="C29" s="222"/>
      <c r="D29" s="173"/>
      <c r="E29" s="173"/>
      <c r="F29" s="173"/>
      <c r="G29" s="173"/>
      <c r="H29" s="173"/>
      <c r="I29" s="224"/>
      <c r="J29" s="224"/>
    </row>
    <row r="30" spans="1:10">
      <c r="A30" s="173"/>
      <c r="B30" s="225">
        <v>16</v>
      </c>
      <c r="C30" s="222" t="s">
        <v>1575</v>
      </c>
      <c r="D30" s="173"/>
      <c r="E30" s="173"/>
      <c r="F30" s="173"/>
      <c r="G30" s="173"/>
      <c r="H30" s="173"/>
      <c r="I30" s="401" t="str">
        <f>IF(Balanço!F41&gt;0.1*Balanço!F24,"Aplicável","Não Aplicável")</f>
        <v>Não Aplicável</v>
      </c>
      <c r="J30" s="401"/>
    </row>
    <row r="31" spans="1:10" ht="10.050000000000001" customHeight="1">
      <c r="A31" s="173"/>
      <c r="B31" s="225"/>
      <c r="C31" s="222"/>
      <c r="D31" s="173"/>
      <c r="E31" s="173"/>
      <c r="F31" s="173"/>
      <c r="G31" s="173"/>
      <c r="H31" s="173"/>
      <c r="I31" s="224"/>
      <c r="J31" s="224"/>
    </row>
    <row r="32" spans="1:10">
      <c r="A32" s="173"/>
      <c r="B32" s="225">
        <v>17</v>
      </c>
      <c r="C32" s="222" t="s">
        <v>1061</v>
      </c>
      <c r="D32" s="173"/>
      <c r="E32" s="173"/>
      <c r="F32" s="173"/>
      <c r="G32" s="173"/>
      <c r="H32" s="173"/>
      <c r="I32" s="401" t="str">
        <f>IF(Balanço!F42&gt;0.1*Balanço!F24,"Aplicável","Não Aplicável")</f>
        <v>Não Aplicável</v>
      </c>
      <c r="J32" s="401"/>
    </row>
    <row r="33" spans="1:10" ht="10.050000000000001" customHeight="1">
      <c r="A33" s="173"/>
      <c r="B33" s="225"/>
      <c r="C33" s="222"/>
      <c r="D33" s="173"/>
      <c r="E33" s="173"/>
      <c r="F33" s="173"/>
      <c r="G33" s="173"/>
      <c r="H33" s="173"/>
      <c r="I33" s="224"/>
      <c r="J33" s="224"/>
    </row>
    <row r="34" spans="1:10">
      <c r="A34" s="173"/>
      <c r="B34" s="225">
        <v>18</v>
      </c>
      <c r="C34" s="222" t="s">
        <v>1065</v>
      </c>
      <c r="D34" s="173"/>
      <c r="E34" s="173"/>
      <c r="F34" s="173"/>
      <c r="G34" s="173"/>
      <c r="H34" s="173"/>
      <c r="I34" s="401" t="str">
        <f>IF(Balanço!F45&gt;0.1*Balanço!F24,"Aplicável","Não Aplicável")</f>
        <v>Aplicável</v>
      </c>
      <c r="J34" s="401"/>
    </row>
    <row r="35" spans="1:10" ht="10.050000000000001" customHeight="1">
      <c r="A35" s="173"/>
      <c r="B35" s="225"/>
      <c r="C35" s="222"/>
      <c r="D35" s="173"/>
      <c r="E35" s="173"/>
      <c r="F35" s="173"/>
      <c r="G35" s="173"/>
      <c r="H35" s="173"/>
      <c r="I35" s="224"/>
      <c r="J35" s="224"/>
    </row>
    <row r="36" spans="1:10">
      <c r="A36" s="173"/>
      <c r="B36" s="225">
        <v>19</v>
      </c>
      <c r="C36" s="222" t="s">
        <v>1579</v>
      </c>
      <c r="D36" s="173"/>
      <c r="E36" s="173"/>
      <c r="F36" s="173"/>
      <c r="G36" s="173"/>
      <c r="H36" s="173"/>
      <c r="I36" s="401" t="str">
        <f>IF(Balanço!F49&gt;0.1*Balanço!F24,"Aplicável","Não Aplicável")</f>
        <v>Não Aplicável</v>
      </c>
      <c r="J36" s="401"/>
    </row>
    <row r="37" spans="1:10" ht="10.050000000000001" customHeight="1">
      <c r="A37" s="173"/>
      <c r="B37" s="225"/>
      <c r="C37" s="222"/>
      <c r="D37" s="173"/>
      <c r="E37" s="173"/>
      <c r="F37" s="173"/>
      <c r="G37" s="173"/>
      <c r="H37" s="173"/>
      <c r="I37" s="224"/>
      <c r="J37" s="224"/>
    </row>
    <row r="38" spans="1:10">
      <c r="A38" s="173"/>
      <c r="B38" s="225">
        <v>20</v>
      </c>
      <c r="C38" s="222" t="s">
        <v>1580</v>
      </c>
      <c r="D38" s="173"/>
      <c r="E38" s="173"/>
      <c r="F38" s="173"/>
      <c r="G38" s="173"/>
      <c r="H38" s="173"/>
      <c r="I38" s="401" t="str">
        <f>IF(Balanço!F46&gt;0.1*Balanço!F24,"Aplicável","Não Aplicável")</f>
        <v>Não Aplicável</v>
      </c>
      <c r="J38" s="401"/>
    </row>
    <row r="39" spans="1:10" ht="10.050000000000001" customHeight="1">
      <c r="A39" s="173"/>
      <c r="B39" s="225"/>
      <c r="C39" s="222"/>
      <c r="D39" s="173"/>
      <c r="E39" s="173"/>
      <c r="F39" s="173"/>
      <c r="G39" s="173"/>
      <c r="H39" s="173"/>
      <c r="I39" s="224"/>
      <c r="J39" s="224"/>
    </row>
    <row r="40" spans="1:10">
      <c r="A40" s="173"/>
      <c r="B40" s="225">
        <v>21</v>
      </c>
      <c r="C40" s="222" t="s">
        <v>1581</v>
      </c>
      <c r="D40" s="173"/>
      <c r="E40" s="173"/>
      <c r="F40" s="173"/>
      <c r="G40" s="173"/>
      <c r="H40" s="173"/>
      <c r="I40" s="401" t="str">
        <f>IF(Balanço!F47&gt;0.1*Balanço!F24,"Aplicável","Não Aplicável")</f>
        <v>Não Aplicável</v>
      </c>
      <c r="J40" s="401"/>
    </row>
    <row r="41" spans="1:10">
      <c r="I41" s="30"/>
      <c r="J41" s="30"/>
    </row>
  </sheetData>
  <mergeCells count="20">
    <mergeCell ref="I32:J32"/>
    <mergeCell ref="I34:J34"/>
    <mergeCell ref="I36:J36"/>
    <mergeCell ref="I38:J38"/>
    <mergeCell ref="I40:J40"/>
    <mergeCell ref="I22:J22"/>
    <mergeCell ref="I24:J24"/>
    <mergeCell ref="I26:J26"/>
    <mergeCell ref="I28:J28"/>
    <mergeCell ref="I30:J30"/>
    <mergeCell ref="I12:J12"/>
    <mergeCell ref="I14:J14"/>
    <mergeCell ref="I16:J16"/>
    <mergeCell ref="I18:J18"/>
    <mergeCell ref="I20:J20"/>
    <mergeCell ref="B2:J2"/>
    <mergeCell ref="I4:J4"/>
    <mergeCell ref="I6:J6"/>
    <mergeCell ref="I8:J8"/>
    <mergeCell ref="I10:J10"/>
  </mergeCells>
  <printOptions horizontalCentered="1"/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J33"/>
  <sheetViews>
    <sheetView showGridLines="0" zoomScaleNormal="100" workbookViewId="0">
      <selection activeCell="I6" sqref="I6:J6"/>
    </sheetView>
  </sheetViews>
  <sheetFormatPr defaultRowHeight="14.4"/>
  <cols>
    <col min="1" max="1" width="4.21875" customWidth="1"/>
    <col min="2" max="1025" width="8.44140625" customWidth="1"/>
  </cols>
  <sheetData>
    <row r="2" spans="2:10" ht="18">
      <c r="B2" s="399" t="s">
        <v>1606</v>
      </c>
      <c r="C2" s="399"/>
      <c r="D2" s="399"/>
      <c r="E2" s="399"/>
      <c r="F2" s="399"/>
      <c r="G2" s="399"/>
      <c r="H2" s="399"/>
      <c r="I2" s="399"/>
      <c r="J2" s="399"/>
    </row>
    <row r="3" spans="2:10" ht="10.050000000000001" customHeight="1">
      <c r="B3" s="68"/>
      <c r="C3" s="68"/>
      <c r="D3" s="68"/>
      <c r="E3" s="68"/>
      <c r="F3" s="68"/>
      <c r="G3" s="68"/>
      <c r="H3" s="68"/>
      <c r="I3" s="68"/>
      <c r="J3" s="68"/>
    </row>
    <row r="4" spans="2:10" ht="27.45" customHeight="1">
      <c r="B4" s="226"/>
      <c r="C4" s="226"/>
      <c r="D4" s="226"/>
      <c r="E4" s="226"/>
      <c r="F4" s="226"/>
      <c r="G4" s="226"/>
      <c r="H4" s="226"/>
      <c r="I4" s="402" t="s">
        <v>1602</v>
      </c>
      <c r="J4" s="402"/>
    </row>
    <row r="5" spans="2:10" ht="10.050000000000001" customHeight="1">
      <c r="B5" s="173"/>
      <c r="C5" s="173"/>
      <c r="D5" s="173"/>
      <c r="E5" s="173"/>
      <c r="F5" s="173"/>
      <c r="G5" s="173"/>
      <c r="H5" s="173"/>
      <c r="I5" s="173"/>
      <c r="J5" s="173"/>
    </row>
    <row r="6" spans="2:10">
      <c r="B6" s="225">
        <v>22</v>
      </c>
      <c r="C6" s="222" t="s">
        <v>943</v>
      </c>
      <c r="D6" s="173"/>
      <c r="E6" s="173"/>
      <c r="F6" s="173"/>
      <c r="G6" s="173"/>
      <c r="H6" s="173"/>
      <c r="I6" s="401" t="str">
        <f>IF('D R'!F10&gt;0.05*'D R'!F14,"Aplicável","Não Aplicável")</f>
        <v>Aplicável</v>
      </c>
      <c r="J6" s="401"/>
    </row>
    <row r="7" spans="2:10" ht="10.050000000000001" customHeight="1">
      <c r="B7" s="225"/>
      <c r="C7" s="173"/>
      <c r="D7" s="173"/>
      <c r="E7" s="173"/>
      <c r="F7" s="173"/>
      <c r="G7" s="173"/>
      <c r="H7" s="173"/>
      <c r="I7" s="173"/>
      <c r="J7" s="173"/>
    </row>
    <row r="8" spans="2:10">
      <c r="B8" s="225">
        <v>23</v>
      </c>
      <c r="C8" s="222" t="s">
        <v>1607</v>
      </c>
      <c r="D8" s="173"/>
      <c r="E8" s="173"/>
      <c r="F8" s="173"/>
      <c r="G8" s="173"/>
      <c r="H8" s="173"/>
      <c r="I8" s="401" t="str">
        <f>IF('D R'!F11&gt;0.05*'D R'!F14,"Aplicável","Não Aplicável")</f>
        <v>Aplicável</v>
      </c>
      <c r="J8" s="401"/>
    </row>
    <row r="9" spans="2:10" ht="10.050000000000001" customHeight="1">
      <c r="B9" s="225"/>
      <c r="C9" s="173"/>
      <c r="D9" s="173"/>
      <c r="E9" s="173"/>
      <c r="F9" s="173"/>
      <c r="G9" s="173"/>
      <c r="H9" s="173"/>
      <c r="I9" s="173"/>
      <c r="J9" s="173"/>
    </row>
    <row r="10" spans="2:10">
      <c r="B10" s="225">
        <v>24</v>
      </c>
      <c r="C10" s="222" t="s">
        <v>1518</v>
      </c>
      <c r="D10" s="173"/>
      <c r="E10" s="173"/>
      <c r="F10" s="173"/>
      <c r="G10" s="173"/>
      <c r="H10" s="173"/>
      <c r="I10" s="401" t="str">
        <f>IF('D R'!F12&gt;0.05*'D R'!F14,"Aplicável","Não Aplicável")</f>
        <v>Não Aplicável</v>
      </c>
      <c r="J10" s="401"/>
    </row>
    <row r="11" spans="2:10" ht="10.050000000000001" customHeight="1">
      <c r="B11" s="225"/>
      <c r="C11" s="173"/>
      <c r="D11" s="173"/>
      <c r="E11" s="173"/>
      <c r="F11" s="173"/>
      <c r="G11" s="173"/>
      <c r="H11" s="173"/>
      <c r="I11" s="173"/>
      <c r="J11" s="173"/>
    </row>
    <row r="12" spans="2:10">
      <c r="B12" s="225">
        <v>25</v>
      </c>
      <c r="C12" s="222" t="s">
        <v>1608</v>
      </c>
      <c r="D12" s="173"/>
      <c r="E12" s="173"/>
      <c r="F12" s="173"/>
      <c r="G12" s="173"/>
      <c r="H12" s="173"/>
      <c r="I12" s="401" t="str">
        <f>IF('D R'!F16&gt;0.05*'D R'!F14,"Aplicável","Não Aplicável")</f>
        <v>Não Aplicável</v>
      </c>
      <c r="J12" s="401"/>
    </row>
    <row r="13" spans="2:10" ht="10.050000000000001" customHeight="1">
      <c r="B13" s="225"/>
      <c r="C13" s="173"/>
      <c r="D13" s="173"/>
      <c r="E13" s="173"/>
      <c r="F13" s="173"/>
      <c r="G13" s="173"/>
      <c r="H13" s="173"/>
      <c r="I13" s="173"/>
      <c r="J13" s="173"/>
    </row>
    <row r="14" spans="2:10">
      <c r="B14" s="225">
        <v>26</v>
      </c>
      <c r="C14" s="222" t="s">
        <v>1520</v>
      </c>
      <c r="D14" s="173"/>
      <c r="E14" s="173"/>
      <c r="F14" s="173"/>
      <c r="G14" s="173"/>
      <c r="H14" s="173"/>
      <c r="I14" s="401" t="str">
        <f>IF('D R'!F17&gt;0.05*'D R'!F14,"Aplicável","Não Aplicável")</f>
        <v>Não Aplicável</v>
      </c>
      <c r="J14" s="401"/>
    </row>
    <row r="15" spans="2:10" ht="10.050000000000001" customHeight="1">
      <c r="B15" s="225"/>
      <c r="C15" s="173"/>
      <c r="D15" s="173"/>
      <c r="E15" s="173"/>
      <c r="F15" s="173"/>
      <c r="G15" s="173"/>
      <c r="H15" s="173"/>
      <c r="I15" s="173"/>
      <c r="J15" s="173"/>
    </row>
    <row r="16" spans="2:10">
      <c r="B16" s="225">
        <v>27</v>
      </c>
      <c r="C16" s="222" t="s">
        <v>1609</v>
      </c>
      <c r="D16" s="173"/>
      <c r="E16" s="173"/>
      <c r="F16" s="173"/>
      <c r="G16" s="173"/>
      <c r="H16" s="173"/>
      <c r="I16" s="401" t="str">
        <f>IF('D R'!F18&gt;0.05*'D R'!F14,"Aplicável","Não Aplicável")</f>
        <v>Não Aplicável</v>
      </c>
      <c r="J16" s="401"/>
    </row>
    <row r="17" spans="2:10" ht="10.050000000000001" customHeight="1">
      <c r="B17" s="225"/>
      <c r="C17" s="173"/>
      <c r="D17" s="173"/>
      <c r="E17" s="173"/>
      <c r="F17" s="173"/>
      <c r="G17" s="173"/>
      <c r="H17" s="173"/>
      <c r="I17" s="173"/>
      <c r="J17" s="173"/>
    </row>
    <row r="18" spans="2:10">
      <c r="B18" s="225">
        <v>28</v>
      </c>
      <c r="C18" s="222" t="s">
        <v>1610</v>
      </c>
      <c r="D18" s="173"/>
      <c r="E18" s="173"/>
      <c r="F18" s="173"/>
      <c r="G18" s="173"/>
      <c r="H18" s="173"/>
      <c r="I18" s="401" t="str">
        <f>IF('D R'!F19&gt;0.05*'D R'!F14,"Aplicável","Não Aplicável")</f>
        <v>Não Aplicável</v>
      </c>
      <c r="J18" s="401"/>
    </row>
    <row r="19" spans="2:10" ht="10.050000000000001" customHeight="1">
      <c r="B19" s="225"/>
      <c r="C19" s="173"/>
      <c r="D19" s="173"/>
      <c r="E19" s="173"/>
      <c r="F19" s="173"/>
      <c r="G19" s="173"/>
      <c r="H19" s="173"/>
      <c r="I19" s="173"/>
      <c r="J19" s="173"/>
    </row>
    <row r="20" spans="2:10">
      <c r="B20" s="225">
        <v>29</v>
      </c>
      <c r="C20" s="222" t="s">
        <v>1591</v>
      </c>
      <c r="D20" s="173"/>
      <c r="E20" s="173"/>
      <c r="F20" s="173"/>
      <c r="G20" s="173"/>
      <c r="H20" s="173"/>
      <c r="I20" s="401" t="str">
        <f>IF('D R'!F20&gt;0.05*'D R'!F14,"Aplicável","Não Aplicável")</f>
        <v>Não Aplicável</v>
      </c>
      <c r="J20" s="401"/>
    </row>
    <row r="21" spans="2:10" ht="10.050000000000001" customHeight="1">
      <c r="B21" s="225"/>
      <c r="C21" s="173"/>
      <c r="D21" s="173"/>
      <c r="E21" s="173"/>
      <c r="F21" s="173"/>
      <c r="G21" s="173"/>
      <c r="H21" s="173"/>
      <c r="I21" s="173"/>
      <c r="J21" s="173"/>
    </row>
    <row r="22" spans="2:10">
      <c r="B22" s="225">
        <v>30</v>
      </c>
      <c r="C22" s="222" t="s">
        <v>1424</v>
      </c>
      <c r="D22" s="173"/>
      <c r="E22" s="173"/>
      <c r="F22" s="173"/>
      <c r="G22" s="173"/>
      <c r="H22" s="173"/>
      <c r="I22" s="401" t="str">
        <f>IF('D R'!F21&gt;0.05*'D R'!F14,"Aplicável","Não Aplicável")</f>
        <v>Não Aplicável</v>
      </c>
      <c r="J22" s="401"/>
    </row>
    <row r="23" spans="2:10" ht="10.050000000000001" customHeight="1">
      <c r="B23" s="225"/>
      <c r="C23" s="173"/>
      <c r="D23" s="173"/>
      <c r="E23" s="173"/>
      <c r="F23" s="173"/>
      <c r="G23" s="173"/>
      <c r="H23" s="173"/>
      <c r="I23" s="173"/>
      <c r="J23" s="173"/>
    </row>
    <row r="24" spans="2:10">
      <c r="B24" s="225">
        <v>31</v>
      </c>
      <c r="C24" s="222" t="s">
        <v>1611</v>
      </c>
      <c r="D24" s="173"/>
      <c r="E24" s="173"/>
      <c r="F24" s="173"/>
      <c r="G24" s="173"/>
      <c r="H24" s="173"/>
      <c r="I24" s="401" t="str">
        <f>IF('D R'!F26&gt;0.05*'D R'!F14,"Aplicável","Não Aplicável")</f>
        <v>Não Aplicável</v>
      </c>
      <c r="J24" s="401"/>
    </row>
    <row r="25" spans="2:10" ht="10.050000000000001" customHeight="1">
      <c r="B25" s="225"/>
      <c r="C25" s="173"/>
      <c r="D25" s="173"/>
      <c r="E25" s="173"/>
      <c r="F25" s="173"/>
      <c r="G25" s="173"/>
      <c r="H25" s="173"/>
      <c r="I25" s="173"/>
      <c r="J25" s="173"/>
    </row>
    <row r="26" spans="2:10">
      <c r="B26" s="225">
        <v>32</v>
      </c>
      <c r="C26" s="222" t="s">
        <v>1612</v>
      </c>
      <c r="D26" s="173"/>
      <c r="E26" s="173"/>
      <c r="F26" s="173"/>
      <c r="G26" s="173"/>
      <c r="H26" s="173"/>
      <c r="I26" s="401" t="str">
        <f>IF('D R'!F275%*'D R'!F14,"Aplicável","Não Aplicável")</f>
        <v>Não Aplicável</v>
      </c>
      <c r="J26" s="401"/>
    </row>
    <row r="27" spans="2:10" ht="10.050000000000001" customHeight="1">
      <c r="B27" s="225"/>
      <c r="C27" s="173"/>
      <c r="D27" s="173"/>
      <c r="E27" s="173"/>
      <c r="F27" s="173"/>
      <c r="G27" s="173"/>
      <c r="H27" s="173"/>
      <c r="I27" s="173"/>
      <c r="J27" s="173"/>
    </row>
    <row r="28" spans="2:10">
      <c r="B28" s="225">
        <v>33</v>
      </c>
      <c r="C28" s="222" t="s">
        <v>1545</v>
      </c>
      <c r="D28" s="173"/>
      <c r="E28" s="173"/>
      <c r="F28" s="173"/>
      <c r="G28" s="173"/>
      <c r="H28" s="173"/>
      <c r="I28" s="401" t="str">
        <f>IF('D R'!F28&gt;0.05*'D R'!F14,"Aplicável","Não Aplicável")</f>
        <v>Não Aplicável</v>
      </c>
      <c r="J28" s="401"/>
    </row>
    <row r="29" spans="2:10" ht="10.050000000000001" customHeight="1">
      <c r="B29" s="225"/>
      <c r="C29" s="222"/>
      <c r="D29" s="173"/>
      <c r="E29" s="173"/>
      <c r="F29" s="173"/>
      <c r="G29" s="173"/>
      <c r="H29" s="173"/>
      <c r="I29" s="173"/>
      <c r="J29" s="173"/>
    </row>
    <row r="30" spans="2:10">
      <c r="B30" s="225">
        <v>34</v>
      </c>
      <c r="C30" s="222" t="s">
        <v>1613</v>
      </c>
      <c r="D30" s="173"/>
      <c r="E30" s="173"/>
      <c r="F30" s="173"/>
      <c r="G30" s="173"/>
      <c r="H30" s="173"/>
      <c r="I30" s="401" t="str">
        <f>IF('D R'!F32&gt;0.05*'D R'!F14,"Aplicável","Não Aplicável")</f>
        <v>Não Aplicável</v>
      </c>
      <c r="J30" s="401"/>
    </row>
    <row r="31" spans="2:10" ht="10.050000000000001" customHeight="1">
      <c r="B31" s="225"/>
      <c r="C31" s="222"/>
      <c r="D31" s="173"/>
      <c r="E31" s="173"/>
      <c r="F31" s="173"/>
      <c r="G31" s="173"/>
      <c r="H31" s="173"/>
      <c r="I31" s="173"/>
      <c r="J31" s="173"/>
    </row>
    <row r="32" spans="2:10">
      <c r="B32" s="225">
        <v>35</v>
      </c>
      <c r="C32" s="222" t="s">
        <v>1598</v>
      </c>
      <c r="D32" s="173"/>
      <c r="E32" s="173"/>
      <c r="F32" s="173"/>
      <c r="G32" s="173"/>
      <c r="H32" s="173"/>
      <c r="I32" s="401" t="str">
        <f>IF('D R'!F30&gt;0.05*'D R'!F14,"Aplicável","Não Aplicável")</f>
        <v>Não Aplicável</v>
      </c>
      <c r="J32" s="401"/>
    </row>
    <row r="33" ht="10.050000000000001" customHeight="1"/>
  </sheetData>
  <mergeCells count="16">
    <mergeCell ref="I32:J32"/>
    <mergeCell ref="I22:J22"/>
    <mergeCell ref="I24:J24"/>
    <mergeCell ref="I26:J26"/>
    <mergeCell ref="I28:J28"/>
    <mergeCell ref="I30:J30"/>
    <mergeCell ref="I12:J12"/>
    <mergeCell ref="I14:J14"/>
    <mergeCell ref="I16:J16"/>
    <mergeCell ref="I18:J18"/>
    <mergeCell ref="I20:J20"/>
    <mergeCell ref="B2:J2"/>
    <mergeCell ref="I4:J4"/>
    <mergeCell ref="I6:J6"/>
    <mergeCell ref="I8:J8"/>
    <mergeCell ref="I10:J10"/>
  </mergeCells>
  <printOptions horizontalCentered="1"/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R42"/>
  <sheetViews>
    <sheetView showGridLines="0" topLeftCell="A30" zoomScaleNormal="100" workbookViewId="0">
      <selection activeCell="T36" sqref="T36"/>
    </sheetView>
  </sheetViews>
  <sheetFormatPr defaultColWidth="8.77734375" defaultRowHeight="14.4"/>
  <cols>
    <col min="1" max="1" width="6.21875" style="224" customWidth="1"/>
    <col min="2" max="5" width="8.44140625" style="173" customWidth="1"/>
    <col min="6" max="17" width="7.21875" style="173" customWidth="1"/>
    <col min="18" max="1025" width="8.44140625" style="173" customWidth="1"/>
    <col min="1026" max="16384" width="8.77734375" style="173"/>
  </cols>
  <sheetData>
    <row r="2" spans="1:18">
      <c r="A2" s="227">
        <v>4</v>
      </c>
      <c r="B2" s="228" t="s">
        <v>1244</v>
      </c>
    </row>
    <row r="3" spans="1:18" ht="10.050000000000001" customHeight="1">
      <c r="A3" s="229"/>
      <c r="B3" s="230"/>
    </row>
    <row r="4" spans="1:18">
      <c r="A4" s="227" t="s">
        <v>1614</v>
      </c>
      <c r="B4" s="228" t="s">
        <v>1615</v>
      </c>
    </row>
    <row r="5" spans="1:18" ht="10.050000000000001" customHeight="1">
      <c r="A5" s="227"/>
      <c r="B5" s="231"/>
    </row>
    <row r="6" spans="1:18" ht="25.05" customHeight="1">
      <c r="A6" s="232"/>
      <c r="B6" s="403" t="s">
        <v>1616</v>
      </c>
      <c r="C6" s="403"/>
      <c r="D6" s="403"/>
      <c r="E6" s="403"/>
      <c r="F6" s="403" t="s">
        <v>1617</v>
      </c>
      <c r="G6" s="403"/>
      <c r="H6" s="404" t="s">
        <v>1557</v>
      </c>
      <c r="I6" s="404"/>
      <c r="J6" s="403" t="s">
        <v>1618</v>
      </c>
      <c r="K6" s="403"/>
      <c r="L6" s="233"/>
      <c r="M6" s="233"/>
      <c r="N6" s="233"/>
      <c r="O6" s="233"/>
      <c r="P6" s="233"/>
      <c r="Q6" s="233"/>
      <c r="R6" s="233"/>
    </row>
    <row r="7" spans="1:18" ht="18" customHeight="1">
      <c r="B7" s="405" t="s">
        <v>205</v>
      </c>
      <c r="C7" s="406"/>
      <c r="D7" s="406"/>
      <c r="E7" s="407"/>
      <c r="F7" s="408">
        <f>'Blnct AR'!E7</f>
        <v>0</v>
      </c>
      <c r="G7" s="408"/>
      <c r="H7" s="408">
        <f>-'Blnct AR'!I104</f>
        <v>0</v>
      </c>
      <c r="I7" s="408"/>
      <c r="J7" s="408">
        <f t="shared" ref="J7:J15" si="0">F7-H7</f>
        <v>0</v>
      </c>
      <c r="K7" s="408"/>
    </row>
    <row r="8" spans="1:18" ht="18" customHeight="1">
      <c r="B8" s="409" t="s">
        <v>214</v>
      </c>
      <c r="C8" s="410"/>
      <c r="D8" s="410"/>
      <c r="E8" s="411"/>
      <c r="F8" s="412">
        <f>'Blnct AR'!E15</f>
        <v>33771040.670000002</v>
      </c>
      <c r="G8" s="412"/>
      <c r="H8" s="412">
        <f>-'Blnct AR'!I105</f>
        <v>23837407.41375</v>
      </c>
      <c r="I8" s="412"/>
      <c r="J8" s="412">
        <f t="shared" si="0"/>
        <v>9933633.2562500015</v>
      </c>
      <c r="K8" s="412"/>
    </row>
    <row r="9" spans="1:18" ht="18" customHeight="1">
      <c r="B9" s="409" t="s">
        <v>222</v>
      </c>
      <c r="C9" s="410"/>
      <c r="D9" s="410"/>
      <c r="E9" s="411"/>
      <c r="F9" s="412">
        <f>'Blnct AR'!I23</f>
        <v>16670973.120000001</v>
      </c>
      <c r="G9" s="412"/>
      <c r="H9" s="412">
        <f>-'Blnct AR'!I106</f>
        <v>7966128.4024999999</v>
      </c>
      <c r="I9" s="412"/>
      <c r="J9" s="412">
        <f t="shared" si="0"/>
        <v>8704844.7175000012</v>
      </c>
      <c r="K9" s="412"/>
    </row>
    <row r="10" spans="1:18" ht="18" customHeight="1">
      <c r="B10" s="236" t="s">
        <v>228</v>
      </c>
      <c r="C10" s="237"/>
      <c r="D10" s="237"/>
      <c r="E10" s="238"/>
      <c r="F10" s="412">
        <f>'Blnct AR'!E31</f>
        <v>30341500</v>
      </c>
      <c r="G10" s="412"/>
      <c r="H10" s="412">
        <f>-'Blnct AR'!I107</f>
        <v>26408166.710000001</v>
      </c>
      <c r="I10" s="412"/>
      <c r="J10" s="412">
        <f t="shared" si="0"/>
        <v>3933333.2899999991</v>
      </c>
      <c r="K10" s="412"/>
    </row>
    <row r="11" spans="1:18" ht="18" customHeight="1">
      <c r="B11" s="236" t="s">
        <v>239</v>
      </c>
      <c r="C11" s="237"/>
      <c r="D11" s="237"/>
      <c r="E11" s="238"/>
      <c r="F11" s="412">
        <f>'Blnct AR'!I44</f>
        <v>7513156.8700000001</v>
      </c>
      <c r="G11" s="412"/>
      <c r="H11" s="412">
        <f>-'Blnct AR'!I110</f>
        <v>4654722.2633752497</v>
      </c>
      <c r="I11" s="412"/>
      <c r="J11" s="412">
        <f t="shared" si="0"/>
        <v>2858434.6066247504</v>
      </c>
      <c r="K11" s="412"/>
    </row>
    <row r="12" spans="1:18" ht="18" customHeight="1">
      <c r="B12" s="236" t="s">
        <v>247</v>
      </c>
      <c r="C12" s="237"/>
      <c r="D12" s="237"/>
      <c r="E12" s="238"/>
      <c r="F12" s="412">
        <f>'Blnct AR'!E52</f>
        <v>0</v>
      </c>
      <c r="G12" s="412"/>
      <c r="H12" s="412">
        <f>-'Blnct AR'!F116</f>
        <v>0</v>
      </c>
      <c r="I12" s="412"/>
      <c r="J12" s="412">
        <f t="shared" si="0"/>
        <v>0</v>
      </c>
      <c r="K12" s="412"/>
    </row>
    <row r="13" spans="1:18" ht="18" customHeight="1">
      <c r="B13" s="236" t="s">
        <v>250</v>
      </c>
      <c r="C13" s="237"/>
      <c r="D13" s="237"/>
      <c r="E13" s="238"/>
      <c r="F13" s="412">
        <f>'Blnct AR'!E55</f>
        <v>117408.44</v>
      </c>
      <c r="G13" s="412"/>
      <c r="H13" s="412">
        <f>-'Blnct AR'!$I$117</f>
        <v>86451</v>
      </c>
      <c r="I13" s="412"/>
      <c r="J13" s="412">
        <f t="shared" si="0"/>
        <v>30957.440000000002</v>
      </c>
      <c r="K13" s="412"/>
    </row>
    <row r="14" spans="1:18" ht="18" customHeight="1">
      <c r="B14" s="236" t="s">
        <v>277</v>
      </c>
      <c r="C14" s="237"/>
      <c r="D14" s="237"/>
      <c r="E14" s="238"/>
      <c r="F14" s="412">
        <f>'Blnct AR'!E91</f>
        <v>0</v>
      </c>
      <c r="G14" s="412"/>
      <c r="H14" s="412"/>
      <c r="I14" s="412"/>
      <c r="J14" s="412">
        <f t="shared" si="0"/>
        <v>0</v>
      </c>
      <c r="K14" s="412"/>
    </row>
    <row r="15" spans="1:18" ht="18" customHeight="1">
      <c r="B15" s="236" t="s">
        <v>1619</v>
      </c>
      <c r="C15" s="237"/>
      <c r="D15" s="237"/>
      <c r="E15" s="238"/>
      <c r="F15" s="412">
        <f>'Blnct AR'!E94</f>
        <v>0</v>
      </c>
      <c r="G15" s="412"/>
      <c r="H15" s="412"/>
      <c r="I15" s="412"/>
      <c r="J15" s="412">
        <f t="shared" si="0"/>
        <v>0</v>
      </c>
      <c r="K15" s="412"/>
    </row>
    <row r="16" spans="1:18" ht="18" customHeight="1">
      <c r="B16" s="413" t="s">
        <v>1620</v>
      </c>
      <c r="C16" s="414"/>
      <c r="D16" s="414"/>
      <c r="E16" s="415"/>
      <c r="F16" s="416">
        <f>SUM(F7:G15)</f>
        <v>88414079.100000009</v>
      </c>
      <c r="G16" s="416"/>
      <c r="H16" s="416">
        <f>SUM(H7:I15)</f>
        <v>62952875.789625257</v>
      </c>
      <c r="I16" s="416"/>
      <c r="J16" s="416">
        <f>SUM(J7:K14)</f>
        <v>25461203.310374755</v>
      </c>
      <c r="K16" s="416"/>
    </row>
    <row r="17" spans="1:18" ht="18" customHeight="1"/>
    <row r="18" spans="1:18" ht="18" customHeight="1">
      <c r="A18" s="227" t="s">
        <v>1621</v>
      </c>
      <c r="B18" s="228" t="s">
        <v>1622</v>
      </c>
    </row>
    <row r="19" spans="1:18" ht="18" customHeight="1"/>
    <row r="20" spans="1:18" ht="18" customHeight="1">
      <c r="A20" s="235"/>
      <c r="B20" s="403" t="s">
        <v>1616</v>
      </c>
      <c r="C20" s="403"/>
      <c r="D20" s="403"/>
      <c r="E20" s="403"/>
      <c r="F20" s="403" t="s">
        <v>1623</v>
      </c>
      <c r="G20" s="403"/>
      <c r="H20" s="403" t="s">
        <v>1624</v>
      </c>
      <c r="I20" s="403"/>
      <c r="J20" s="403" t="s">
        <v>1625</v>
      </c>
      <c r="K20" s="403"/>
      <c r="L20" s="403" t="s">
        <v>1626</v>
      </c>
      <c r="M20" s="403"/>
      <c r="N20" s="403" t="s">
        <v>1627</v>
      </c>
      <c r="O20" s="403"/>
      <c r="P20" s="403" t="s">
        <v>1628</v>
      </c>
      <c r="Q20" s="403"/>
      <c r="R20" s="233"/>
    </row>
    <row r="21" spans="1:18" ht="18" customHeight="1">
      <c r="B21" s="405" t="s">
        <v>205</v>
      </c>
      <c r="C21" s="406"/>
      <c r="D21" s="406"/>
      <c r="E21" s="407"/>
      <c r="F21" s="408">
        <f>'Blnct AR'!E7</f>
        <v>0</v>
      </c>
      <c r="G21" s="408"/>
      <c r="H21" s="408">
        <f>'Blnct AR'!F7</f>
        <v>0</v>
      </c>
      <c r="I21" s="408"/>
      <c r="J21" s="408">
        <f>'Blnct AR'!F7</f>
        <v>0</v>
      </c>
      <c r="K21" s="408"/>
      <c r="L21" s="408">
        <f>'Blnct AR'!G7</f>
        <v>0</v>
      </c>
      <c r="M21" s="408"/>
      <c r="N21" s="408">
        <f>'Blnct AR'!$F$2158</f>
        <v>0</v>
      </c>
      <c r="O21" s="408"/>
      <c r="P21" s="408">
        <f t="shared" ref="P21:P29" si="1">F21+H21+J21-L21-N21</f>
        <v>0</v>
      </c>
      <c r="Q21" s="408"/>
    </row>
    <row r="22" spans="1:18" ht="18" customHeight="1">
      <c r="B22" s="409" t="s">
        <v>214</v>
      </c>
      <c r="C22" s="410"/>
      <c r="D22" s="410"/>
      <c r="E22" s="411"/>
      <c r="F22" s="412">
        <f>'Blnct AR'!E15</f>
        <v>33771040.670000002</v>
      </c>
      <c r="G22" s="412"/>
      <c r="H22" s="412"/>
      <c r="I22" s="412"/>
      <c r="J22" s="412">
        <f>'Blnct AR'!F15</f>
        <v>0</v>
      </c>
      <c r="K22" s="412"/>
      <c r="L22" s="412">
        <f>'Blnct AR'!G15</f>
        <v>0</v>
      </c>
      <c r="M22" s="412"/>
      <c r="N22" s="412">
        <v>0</v>
      </c>
      <c r="O22" s="412"/>
      <c r="P22" s="412">
        <f t="shared" si="1"/>
        <v>33771040.670000002</v>
      </c>
      <c r="Q22" s="412"/>
    </row>
    <row r="23" spans="1:18" ht="18" customHeight="1">
      <c r="B23" s="409" t="s">
        <v>222</v>
      </c>
      <c r="C23" s="410"/>
      <c r="D23" s="410"/>
      <c r="E23" s="411"/>
      <c r="F23" s="412">
        <f>'Blnct AR'!E23</f>
        <v>15470973.120000001</v>
      </c>
      <c r="G23" s="412"/>
      <c r="H23" s="412"/>
      <c r="I23" s="412"/>
      <c r="J23" s="412">
        <f>'Blnct AR'!F23</f>
        <v>1200000</v>
      </c>
      <c r="K23" s="412"/>
      <c r="L23" s="412">
        <f>'Blnct AR'!G23</f>
        <v>0</v>
      </c>
      <c r="M23" s="412"/>
      <c r="N23" s="412">
        <v>0</v>
      </c>
      <c r="O23" s="412"/>
      <c r="P23" s="412">
        <f t="shared" si="1"/>
        <v>16670973.120000001</v>
      </c>
      <c r="Q23" s="412"/>
    </row>
    <row r="24" spans="1:18" ht="18" customHeight="1">
      <c r="B24" s="236" t="s">
        <v>228</v>
      </c>
      <c r="C24" s="237"/>
      <c r="D24" s="237"/>
      <c r="E24" s="238"/>
      <c r="F24" s="412">
        <f>'Blnct AR'!E31</f>
        <v>30341500</v>
      </c>
      <c r="G24" s="412"/>
      <c r="H24" s="412"/>
      <c r="I24" s="412"/>
      <c r="J24" s="412">
        <f>'Blnct AR'!F31</f>
        <v>13611615.73</v>
      </c>
      <c r="K24" s="412"/>
      <c r="L24" s="412">
        <f>'Blnct AR'!G31</f>
        <v>0</v>
      </c>
      <c r="M24" s="412"/>
      <c r="N24" s="412">
        <v>0</v>
      </c>
      <c r="O24" s="412"/>
      <c r="P24" s="412">
        <f t="shared" si="1"/>
        <v>43953115.730000004</v>
      </c>
      <c r="Q24" s="412"/>
    </row>
    <row r="25" spans="1:18" ht="18" customHeight="1">
      <c r="B25" s="236" t="s">
        <v>239</v>
      </c>
      <c r="C25" s="237"/>
      <c r="D25" s="237"/>
      <c r="E25" s="238"/>
      <c r="F25" s="412">
        <f>'Blnct AR'!E44</f>
        <v>7084999.1200000001</v>
      </c>
      <c r="G25" s="412"/>
      <c r="H25" s="412"/>
      <c r="I25" s="412"/>
      <c r="J25" s="412">
        <f>'Blnct AR'!F44</f>
        <v>428157.75</v>
      </c>
      <c r="K25" s="412"/>
      <c r="L25" s="412">
        <f>'Blnct AR'!G44</f>
        <v>0</v>
      </c>
      <c r="M25" s="412"/>
      <c r="N25" s="412">
        <v>0</v>
      </c>
      <c r="O25" s="412"/>
      <c r="P25" s="412">
        <f t="shared" si="1"/>
        <v>7513156.8700000001</v>
      </c>
      <c r="Q25" s="412"/>
    </row>
    <row r="26" spans="1:18" ht="18" customHeight="1">
      <c r="B26" s="236" t="s">
        <v>247</v>
      </c>
      <c r="C26" s="237"/>
      <c r="D26" s="237"/>
      <c r="E26" s="238"/>
      <c r="F26" s="412">
        <f>'Blnct AR'!E52</f>
        <v>0</v>
      </c>
      <c r="G26" s="412"/>
      <c r="H26" s="412"/>
      <c r="I26" s="412"/>
      <c r="J26" s="412">
        <f>'Blnct AR'!F52</f>
        <v>0</v>
      </c>
      <c r="K26" s="412"/>
      <c r="L26" s="412">
        <f>'Blnct AR'!G52</f>
        <v>0</v>
      </c>
      <c r="M26" s="412"/>
      <c r="N26" s="412">
        <v>0</v>
      </c>
      <c r="O26" s="412"/>
      <c r="P26" s="412">
        <f t="shared" si="1"/>
        <v>0</v>
      </c>
      <c r="Q26" s="412"/>
    </row>
    <row r="27" spans="1:18" ht="18" customHeight="1">
      <c r="B27" s="236" t="s">
        <v>250</v>
      </c>
      <c r="C27" s="237"/>
      <c r="D27" s="237"/>
      <c r="E27" s="238"/>
      <c r="F27" s="412">
        <f>'Blnct AR'!E55</f>
        <v>117408.44</v>
      </c>
      <c r="G27" s="412"/>
      <c r="H27" s="412"/>
      <c r="I27" s="412"/>
      <c r="J27" s="412">
        <f>'Blnct AR'!F55</f>
        <v>0</v>
      </c>
      <c r="K27" s="412"/>
      <c r="L27" s="412">
        <f>'Blnct AR'!G55</f>
        <v>0</v>
      </c>
      <c r="M27" s="412"/>
      <c r="N27" s="412">
        <v>0</v>
      </c>
      <c r="O27" s="412"/>
      <c r="P27" s="412">
        <f t="shared" si="1"/>
        <v>117408.44</v>
      </c>
      <c r="Q27" s="412"/>
    </row>
    <row r="28" spans="1:18" ht="18" customHeight="1">
      <c r="B28" s="236" t="s">
        <v>277</v>
      </c>
      <c r="C28" s="237"/>
      <c r="D28" s="237"/>
      <c r="E28" s="238"/>
      <c r="F28" s="412">
        <f>'Blnct AR'!E91</f>
        <v>0</v>
      </c>
      <c r="G28" s="412"/>
      <c r="H28" s="412"/>
      <c r="I28" s="412"/>
      <c r="J28" s="412"/>
      <c r="K28" s="412"/>
      <c r="L28" s="412"/>
      <c r="M28" s="412"/>
      <c r="N28" s="412"/>
      <c r="O28" s="412"/>
      <c r="P28" s="412">
        <f t="shared" si="1"/>
        <v>0</v>
      </c>
      <c r="Q28" s="412"/>
    </row>
    <row r="29" spans="1:18" ht="18" customHeight="1">
      <c r="B29" s="236" t="s">
        <v>1619</v>
      </c>
      <c r="C29" s="237"/>
      <c r="D29" s="237"/>
      <c r="E29" s="238"/>
      <c r="F29" s="412">
        <f>'Blnct AR'!E94</f>
        <v>0</v>
      </c>
      <c r="G29" s="412"/>
      <c r="H29" s="412"/>
      <c r="I29" s="412"/>
      <c r="J29" s="412"/>
      <c r="K29" s="412"/>
      <c r="L29" s="412"/>
      <c r="M29" s="412"/>
      <c r="N29" s="412"/>
      <c r="O29" s="412"/>
      <c r="P29" s="412">
        <f t="shared" si="1"/>
        <v>0</v>
      </c>
      <c r="Q29" s="412"/>
    </row>
    <row r="30" spans="1:18" ht="18" customHeight="1">
      <c r="B30" s="413" t="s">
        <v>1620</v>
      </c>
      <c r="C30" s="414"/>
      <c r="D30" s="414"/>
      <c r="E30" s="415"/>
      <c r="F30" s="416">
        <f>SUM(F21:G28)</f>
        <v>86785921.350000009</v>
      </c>
      <c r="G30" s="416"/>
      <c r="H30" s="416">
        <f>SUM(H21:I28)</f>
        <v>0</v>
      </c>
      <c r="I30" s="416"/>
      <c r="J30" s="416">
        <f>SUM(J21:K28)</f>
        <v>15239773.48</v>
      </c>
      <c r="K30" s="416"/>
      <c r="L30" s="416">
        <f>SUM(L21:M28)</f>
        <v>0</v>
      </c>
      <c r="M30" s="416"/>
      <c r="N30" s="416">
        <f>SUM(N21:O28)</f>
        <v>0</v>
      </c>
      <c r="O30" s="416"/>
      <c r="P30" s="416">
        <f>SUM(P21:Q28)</f>
        <v>102025694.83000001</v>
      </c>
      <c r="Q30" s="416"/>
    </row>
    <row r="31" spans="1:18" ht="10.050000000000001" customHeight="1"/>
    <row r="32" spans="1:18">
      <c r="A32" s="227" t="s">
        <v>1629</v>
      </c>
      <c r="B32" s="228" t="s">
        <v>1630</v>
      </c>
    </row>
    <row r="33" spans="1:18" ht="10.050000000000001" customHeight="1"/>
    <row r="34" spans="1:18" ht="25.05" customHeight="1">
      <c r="A34" s="235"/>
      <c r="B34" s="403" t="s">
        <v>1616</v>
      </c>
      <c r="C34" s="403"/>
      <c r="D34" s="403"/>
      <c r="E34" s="403"/>
      <c r="F34" s="403" t="s">
        <v>1623</v>
      </c>
      <c r="G34" s="403"/>
      <c r="H34" s="403" t="s">
        <v>1624</v>
      </c>
      <c r="I34" s="403"/>
      <c r="J34" s="403" t="s">
        <v>1631</v>
      </c>
      <c r="K34" s="403"/>
      <c r="L34" s="403" t="s">
        <v>1626</v>
      </c>
      <c r="M34" s="403"/>
      <c r="N34" s="404" t="s">
        <v>1632</v>
      </c>
      <c r="O34" s="404"/>
      <c r="P34" s="403" t="s">
        <v>1628</v>
      </c>
      <c r="Q34" s="417"/>
      <c r="R34" s="233"/>
    </row>
    <row r="35" spans="1:18" ht="18" customHeight="1">
      <c r="B35" s="418" t="s">
        <v>205</v>
      </c>
      <c r="C35" s="419"/>
      <c r="D35" s="419"/>
      <c r="E35" s="420"/>
      <c r="F35" s="408">
        <f>-'Blnct AR'!E104</f>
        <v>0</v>
      </c>
      <c r="G35" s="408"/>
      <c r="H35" s="408">
        <f>'Blnct AR'!G104</f>
        <v>0</v>
      </c>
      <c r="I35" s="408"/>
      <c r="J35" s="408"/>
      <c r="K35" s="408"/>
      <c r="L35" s="408">
        <f>'Blnct AR'!G7</f>
        <v>0</v>
      </c>
      <c r="M35" s="408"/>
      <c r="N35" s="408">
        <v>0</v>
      </c>
      <c r="O35" s="408"/>
      <c r="P35" s="408">
        <f>F35+H35+J35-L35-N35</f>
        <v>0</v>
      </c>
      <c r="Q35" s="408"/>
    </row>
    <row r="36" spans="1:18" ht="18" customHeight="1">
      <c r="B36" s="421" t="s">
        <v>214</v>
      </c>
      <c r="C36" s="422"/>
      <c r="D36" s="422"/>
      <c r="E36" s="423"/>
      <c r="F36" s="412">
        <f>-'Blnct AR'!E105</f>
        <v>23837407.41375</v>
      </c>
      <c r="G36" s="412"/>
      <c r="H36" s="412"/>
      <c r="I36" s="412"/>
      <c r="J36" s="412">
        <f>'Blnct AR'!F1920</f>
        <v>0</v>
      </c>
      <c r="K36" s="412"/>
      <c r="L36" s="412">
        <f>'Blnct AR'!F105</f>
        <v>0</v>
      </c>
      <c r="M36" s="412"/>
      <c r="N36" s="412">
        <v>0</v>
      </c>
      <c r="O36" s="412"/>
      <c r="P36" s="412">
        <f>F36+H36+J36-L36-N36</f>
        <v>23837407.41375</v>
      </c>
      <c r="Q36" s="412"/>
    </row>
    <row r="37" spans="1:18" ht="18" customHeight="1">
      <c r="B37" s="421" t="s">
        <v>222</v>
      </c>
      <c r="C37" s="422"/>
      <c r="D37" s="422"/>
      <c r="E37" s="423"/>
      <c r="F37" s="412">
        <f>-'Blnct AR'!E106</f>
        <v>7966128.4024999999</v>
      </c>
      <c r="G37" s="412"/>
      <c r="H37" s="412"/>
      <c r="I37" s="412"/>
      <c r="J37" s="412">
        <f>'Blnct AR'!F1921</f>
        <v>0</v>
      </c>
      <c r="K37" s="412"/>
      <c r="L37" s="412">
        <f>'Blnct AR'!F106</f>
        <v>0</v>
      </c>
      <c r="M37" s="412"/>
      <c r="N37" s="412">
        <v>0</v>
      </c>
      <c r="O37" s="412"/>
      <c r="P37" s="412">
        <f>F37+H37+J37-L37-N37</f>
        <v>7966128.4024999999</v>
      </c>
      <c r="Q37" s="412"/>
    </row>
    <row r="38" spans="1:18" ht="18" customHeight="1">
      <c r="B38" s="240" t="s">
        <v>228</v>
      </c>
      <c r="C38" s="234"/>
      <c r="D38" s="234"/>
      <c r="E38" s="241"/>
      <c r="F38" s="412">
        <f>-'Blnct AR'!E107</f>
        <v>26408166.710000001</v>
      </c>
      <c r="G38" s="412"/>
      <c r="H38" s="412"/>
      <c r="I38" s="412"/>
      <c r="J38" s="412">
        <f>'Blnct AR'!F1922</f>
        <v>0</v>
      </c>
      <c r="K38" s="412"/>
      <c r="L38" s="412">
        <f>'Blnct AR'!F107</f>
        <v>0</v>
      </c>
      <c r="M38" s="412"/>
      <c r="N38" s="412">
        <v>0</v>
      </c>
      <c r="O38" s="412"/>
      <c r="P38" s="412">
        <f>F38+H38+J38-L38-N38</f>
        <v>26408166.710000001</v>
      </c>
      <c r="Q38" s="412"/>
    </row>
    <row r="39" spans="1:18" ht="18" customHeight="1">
      <c r="B39" s="240" t="s">
        <v>239</v>
      </c>
      <c r="C39" s="234"/>
      <c r="D39" s="234"/>
      <c r="E39" s="241"/>
      <c r="F39" s="412">
        <f>-'Blnct AR'!$E$110</f>
        <v>4654722.2633752497</v>
      </c>
      <c r="G39" s="412"/>
      <c r="H39" s="412"/>
      <c r="I39" s="412"/>
      <c r="J39" s="412">
        <f>'Blnct AR'!F1923</f>
        <v>0</v>
      </c>
      <c r="K39" s="412"/>
      <c r="L39" s="412">
        <f>'Blnct AR'!F109</f>
        <v>0</v>
      </c>
      <c r="M39" s="412"/>
      <c r="N39" s="412">
        <v>0</v>
      </c>
      <c r="O39" s="412"/>
      <c r="P39" s="412">
        <f>F39+H39+J39-L39-N39</f>
        <v>4654722.2633752497</v>
      </c>
      <c r="Q39" s="412"/>
    </row>
    <row r="40" spans="1:18" ht="18" customHeight="1">
      <c r="B40" s="240" t="s">
        <v>247</v>
      </c>
      <c r="C40" s="234"/>
      <c r="D40" s="234"/>
      <c r="E40" s="241"/>
      <c r="F40" s="412">
        <f>-'Blnct AR'!E116</f>
        <v>0</v>
      </c>
      <c r="G40" s="412"/>
      <c r="H40" s="412"/>
      <c r="I40" s="412"/>
      <c r="J40" s="412">
        <f>'Blnct AR'!F1924</f>
        <v>0</v>
      </c>
      <c r="K40" s="412"/>
      <c r="L40" s="412">
        <f>'Blnct AR'!F116</f>
        <v>0</v>
      </c>
      <c r="M40" s="412"/>
      <c r="N40" s="412">
        <v>0</v>
      </c>
      <c r="O40" s="412"/>
      <c r="P40" s="412"/>
      <c r="Q40" s="412"/>
    </row>
    <row r="41" spans="1:18" ht="18" customHeight="1">
      <c r="B41" s="240" t="s">
        <v>250</v>
      </c>
      <c r="C41" s="234"/>
      <c r="D41" s="234"/>
      <c r="E41" s="241"/>
      <c r="F41" s="412">
        <f>-'Blnct AR'!E117</f>
        <v>86451</v>
      </c>
      <c r="G41" s="412"/>
      <c r="H41" s="412"/>
      <c r="I41" s="412"/>
      <c r="J41" s="412">
        <f>'Blnct AR'!$G$117</f>
        <v>0</v>
      </c>
      <c r="K41" s="412"/>
      <c r="L41" s="412">
        <f>'Blnct AR'!F117</f>
        <v>0</v>
      </c>
      <c r="M41" s="412"/>
      <c r="N41" s="412">
        <v>0</v>
      </c>
      <c r="O41" s="412"/>
      <c r="P41" s="412">
        <f>F41+H41+J41-L41-N41</f>
        <v>86451</v>
      </c>
      <c r="Q41" s="412"/>
    </row>
    <row r="42" spans="1:18" ht="18" customHeight="1">
      <c r="B42" s="413" t="s">
        <v>1620</v>
      </c>
      <c r="C42" s="414"/>
      <c r="D42" s="414"/>
      <c r="E42" s="415"/>
      <c r="F42" s="416">
        <f>SUM(F35:G41)</f>
        <v>62952875.789625257</v>
      </c>
      <c r="G42" s="416"/>
      <c r="H42" s="416">
        <f>SUM(H35:I41)</f>
        <v>0</v>
      </c>
      <c r="I42" s="416"/>
      <c r="J42" s="416">
        <f>SUM(J35:K41)</f>
        <v>0</v>
      </c>
      <c r="K42" s="416"/>
      <c r="L42" s="416">
        <f>SUM(L35:M41)</f>
        <v>0</v>
      </c>
      <c r="M42" s="416"/>
      <c r="N42" s="416">
        <f>SUM(N35:O41)</f>
        <v>0</v>
      </c>
      <c r="O42" s="416"/>
      <c r="P42" s="416">
        <f>SUM(P35:Q41)</f>
        <v>62952875.789625257</v>
      </c>
      <c r="Q42" s="416"/>
    </row>
  </sheetData>
  <mergeCells count="168">
    <mergeCell ref="F41:G41"/>
    <mergeCell ref="H41:I41"/>
    <mergeCell ref="J41:K41"/>
    <mergeCell ref="L41:M41"/>
    <mergeCell ref="N41:O41"/>
    <mergeCell ref="P41:Q41"/>
    <mergeCell ref="B42:E42"/>
    <mergeCell ref="F42:G42"/>
    <mergeCell ref="H42:I42"/>
    <mergeCell ref="J42:K42"/>
    <mergeCell ref="L42:M42"/>
    <mergeCell ref="N42:O42"/>
    <mergeCell ref="P42:Q42"/>
    <mergeCell ref="F39:G39"/>
    <mergeCell ref="H39:I39"/>
    <mergeCell ref="J39:K39"/>
    <mergeCell ref="L39:M39"/>
    <mergeCell ref="N39:O39"/>
    <mergeCell ref="P39:Q39"/>
    <mergeCell ref="F40:G40"/>
    <mergeCell ref="H40:I40"/>
    <mergeCell ref="J40:K40"/>
    <mergeCell ref="L40:M40"/>
    <mergeCell ref="N40:O40"/>
    <mergeCell ref="P40:Q40"/>
    <mergeCell ref="B37:E37"/>
    <mergeCell ref="F37:G37"/>
    <mergeCell ref="H37:I37"/>
    <mergeCell ref="J37:K37"/>
    <mergeCell ref="L37:M37"/>
    <mergeCell ref="N37:O37"/>
    <mergeCell ref="P37:Q37"/>
    <mergeCell ref="F38:G38"/>
    <mergeCell ref="H38:I38"/>
    <mergeCell ref="J38:K38"/>
    <mergeCell ref="L38:M38"/>
    <mergeCell ref="N38:O38"/>
    <mergeCell ref="P38:Q38"/>
    <mergeCell ref="B35:E35"/>
    <mergeCell ref="F35:G35"/>
    <mergeCell ref="H35:I35"/>
    <mergeCell ref="J35:K35"/>
    <mergeCell ref="L35:M35"/>
    <mergeCell ref="N35:O35"/>
    <mergeCell ref="P35:Q35"/>
    <mergeCell ref="B36:E36"/>
    <mergeCell ref="F36:G36"/>
    <mergeCell ref="H36:I36"/>
    <mergeCell ref="J36:K36"/>
    <mergeCell ref="L36:M36"/>
    <mergeCell ref="N36:O36"/>
    <mergeCell ref="P36:Q36"/>
    <mergeCell ref="B30:E30"/>
    <mergeCell ref="F30:G30"/>
    <mergeCell ref="H30:I30"/>
    <mergeCell ref="J30:K30"/>
    <mergeCell ref="L30:M30"/>
    <mergeCell ref="N30:O30"/>
    <mergeCell ref="P30:Q30"/>
    <mergeCell ref="B34:E34"/>
    <mergeCell ref="F34:G34"/>
    <mergeCell ref="H34:I34"/>
    <mergeCell ref="J34:K34"/>
    <mergeCell ref="L34:M34"/>
    <mergeCell ref="N34:O34"/>
    <mergeCell ref="P34:Q34"/>
    <mergeCell ref="F28:G28"/>
    <mergeCell ref="H28:I28"/>
    <mergeCell ref="J28:K28"/>
    <mergeCell ref="L28:M28"/>
    <mergeCell ref="N28:O28"/>
    <mergeCell ref="P28:Q28"/>
    <mergeCell ref="F29:G29"/>
    <mergeCell ref="H29:I29"/>
    <mergeCell ref="J29:K29"/>
    <mergeCell ref="L29:M29"/>
    <mergeCell ref="N29:O29"/>
    <mergeCell ref="P29:Q29"/>
    <mergeCell ref="F26:G26"/>
    <mergeCell ref="H26:I26"/>
    <mergeCell ref="J26:K26"/>
    <mergeCell ref="L26:M26"/>
    <mergeCell ref="N26:O26"/>
    <mergeCell ref="P26:Q26"/>
    <mergeCell ref="F27:G27"/>
    <mergeCell ref="H27:I27"/>
    <mergeCell ref="J27:K27"/>
    <mergeCell ref="L27:M27"/>
    <mergeCell ref="N27:O27"/>
    <mergeCell ref="P27:Q27"/>
    <mergeCell ref="F24:G24"/>
    <mergeCell ref="H24:I24"/>
    <mergeCell ref="J24:K24"/>
    <mergeCell ref="L24:M24"/>
    <mergeCell ref="N24:O24"/>
    <mergeCell ref="P24:Q24"/>
    <mergeCell ref="F25:G25"/>
    <mergeCell ref="H25:I25"/>
    <mergeCell ref="J25:K25"/>
    <mergeCell ref="L25:M25"/>
    <mergeCell ref="N25:O25"/>
    <mergeCell ref="P25:Q25"/>
    <mergeCell ref="B22:E22"/>
    <mergeCell ref="F22:G22"/>
    <mergeCell ref="H22:I22"/>
    <mergeCell ref="J22:K22"/>
    <mergeCell ref="L22:M22"/>
    <mergeCell ref="N22:O22"/>
    <mergeCell ref="P22:Q22"/>
    <mergeCell ref="B23:E23"/>
    <mergeCell ref="F23:G23"/>
    <mergeCell ref="H23:I23"/>
    <mergeCell ref="J23:K23"/>
    <mergeCell ref="L23:M23"/>
    <mergeCell ref="N23:O23"/>
    <mergeCell ref="P23:Q23"/>
    <mergeCell ref="L20:M20"/>
    <mergeCell ref="N20:O20"/>
    <mergeCell ref="P20:Q20"/>
    <mergeCell ref="B21:E21"/>
    <mergeCell ref="F21:G21"/>
    <mergeCell ref="H21:I21"/>
    <mergeCell ref="J21:K21"/>
    <mergeCell ref="L21:M21"/>
    <mergeCell ref="N21:O21"/>
    <mergeCell ref="P21:Q21"/>
    <mergeCell ref="F15:G15"/>
    <mergeCell ref="H15:I15"/>
    <mergeCell ref="J15:K15"/>
    <mergeCell ref="B16:E16"/>
    <mergeCell ref="F16:G16"/>
    <mergeCell ref="H16:I16"/>
    <mergeCell ref="J16:K16"/>
    <mergeCell ref="B20:E20"/>
    <mergeCell ref="F20:G20"/>
    <mergeCell ref="H20:I20"/>
    <mergeCell ref="J20:K20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B9:E9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B6:E6"/>
    <mergeCell ref="F6:G6"/>
    <mergeCell ref="H6:I6"/>
    <mergeCell ref="J6:K6"/>
    <mergeCell ref="B7:E7"/>
    <mergeCell ref="F7:G7"/>
    <mergeCell ref="H7:I7"/>
    <mergeCell ref="J7:K7"/>
    <mergeCell ref="B8:E8"/>
    <mergeCell ref="F8:G8"/>
    <mergeCell ref="H8:I8"/>
    <mergeCell ref="J8:K8"/>
  </mergeCells>
  <printOptions horizontalCentered="1"/>
  <pageMargins left="0.70833333333333304" right="0.70833333333333304" top="0.74791666666666701" bottom="0.74791666666666701" header="0.51180555555555496" footer="0.51180555555555496"/>
  <pageSetup paperSize="9" scale="65" firstPageNumber="0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O32"/>
  <sheetViews>
    <sheetView showGridLines="0" zoomScaleNormal="100" workbookViewId="0">
      <selection activeCell="T36" sqref="T36"/>
    </sheetView>
  </sheetViews>
  <sheetFormatPr defaultColWidth="8.77734375" defaultRowHeight="14.4"/>
  <cols>
    <col min="1" max="1" width="8.44140625" style="224" customWidth="1"/>
    <col min="2" max="5" width="8.44140625" style="173" customWidth="1"/>
    <col min="6" max="13" width="7.21875" style="173" customWidth="1"/>
    <col min="14" max="1025" width="8.44140625" style="173" customWidth="1"/>
    <col min="1026" max="16384" width="8.77734375" style="173"/>
  </cols>
  <sheetData>
    <row r="2" spans="1:15">
      <c r="A2" s="227">
        <v>5</v>
      </c>
      <c r="B2" s="228" t="s">
        <v>1633</v>
      </c>
    </row>
    <row r="3" spans="1:15" ht="10.050000000000001" customHeight="1">
      <c r="A3" s="229"/>
      <c r="B3" s="230"/>
    </row>
    <row r="4" spans="1:15">
      <c r="A4" s="227" t="s">
        <v>1634</v>
      </c>
      <c r="B4" s="228" t="s">
        <v>1615</v>
      </c>
    </row>
    <row r="5" spans="1:15" ht="10.050000000000001" customHeight="1">
      <c r="A5" s="227"/>
      <c r="B5" s="231"/>
    </row>
    <row r="6" spans="1:15" ht="25.05" customHeight="1">
      <c r="A6" s="232"/>
      <c r="B6" s="424" t="s">
        <v>1616</v>
      </c>
      <c r="C6" s="425"/>
      <c r="D6" s="425"/>
      <c r="E6" s="425"/>
      <c r="F6" s="425" t="s">
        <v>1617</v>
      </c>
      <c r="G6" s="425"/>
      <c r="H6" s="426" t="s">
        <v>1557</v>
      </c>
      <c r="I6" s="426"/>
      <c r="J6" s="425" t="s">
        <v>1618</v>
      </c>
      <c r="K6" s="427"/>
      <c r="L6" s="233"/>
      <c r="M6" s="233"/>
      <c r="N6" s="233"/>
      <c r="O6" s="233"/>
    </row>
    <row r="7" spans="1:15" ht="18" hidden="1" customHeight="1">
      <c r="B7" s="409" t="s">
        <v>255</v>
      </c>
      <c r="C7" s="410"/>
      <c r="D7" s="410"/>
      <c r="E7" s="410"/>
      <c r="F7" s="428">
        <f>'Blnct AR'!E60</f>
        <v>0</v>
      </c>
      <c r="G7" s="412"/>
      <c r="H7" s="412">
        <f>'Blnct AR'!E119</f>
        <v>0</v>
      </c>
      <c r="I7" s="412"/>
      <c r="J7" s="429">
        <f>SUM(F7:I7)</f>
        <v>0</v>
      </c>
      <c r="K7" s="429"/>
    </row>
    <row r="8" spans="1:15" ht="18" hidden="1" customHeight="1">
      <c r="B8" s="409" t="s">
        <v>257</v>
      </c>
      <c r="C8" s="410"/>
      <c r="D8" s="410"/>
      <c r="E8" s="410"/>
      <c r="F8" s="428">
        <f>'Blnct AR'!E62</f>
        <v>0</v>
      </c>
      <c r="G8" s="412"/>
      <c r="H8" s="412">
        <f>'Blnct AR'!E120</f>
        <v>0</v>
      </c>
      <c r="I8" s="412"/>
      <c r="J8" s="429">
        <f>SUM(F8:I8)</f>
        <v>0</v>
      </c>
      <c r="K8" s="429"/>
      <c r="M8" s="234"/>
      <c r="N8" s="430"/>
      <c r="O8" s="430"/>
    </row>
    <row r="9" spans="1:15" ht="18" hidden="1" customHeight="1">
      <c r="B9" s="409" t="s">
        <v>258</v>
      </c>
      <c r="C9" s="410"/>
      <c r="D9" s="410"/>
      <c r="E9" s="410"/>
      <c r="F9" s="428">
        <f>'Blnct AR'!E64</f>
        <v>0</v>
      </c>
      <c r="G9" s="412"/>
      <c r="H9" s="412">
        <f>'Blnct AR'!E121</f>
        <v>0</v>
      </c>
      <c r="I9" s="412"/>
      <c r="J9" s="429">
        <f>SUM(F9:I9)</f>
        <v>0</v>
      </c>
      <c r="K9" s="429"/>
    </row>
    <row r="10" spans="1:15" ht="18" hidden="1" customHeight="1">
      <c r="B10" s="409" t="s">
        <v>259</v>
      </c>
      <c r="C10" s="410"/>
      <c r="D10" s="410"/>
      <c r="E10" s="410"/>
      <c r="F10" s="431">
        <f>'Blnct AR'!E66</f>
        <v>4180500</v>
      </c>
      <c r="G10" s="432"/>
      <c r="H10" s="412">
        <f>'Blnct AR'!E122</f>
        <v>0</v>
      </c>
      <c r="I10" s="412"/>
      <c r="J10" s="429">
        <f>SUM(F10:I10)</f>
        <v>4180500</v>
      </c>
      <c r="K10" s="429"/>
    </row>
    <row r="11" spans="1:15" ht="18" hidden="1" customHeight="1">
      <c r="B11" s="236" t="s">
        <v>260</v>
      </c>
      <c r="C11" s="237"/>
      <c r="D11" s="237"/>
      <c r="E11" s="237"/>
      <c r="F11" s="428">
        <f>'Blnct AR'!E68</f>
        <v>1717400</v>
      </c>
      <c r="G11" s="412"/>
      <c r="H11" s="412">
        <f>'Blnct AR'!I118</f>
        <v>-5669341.6399999997</v>
      </c>
      <c r="I11" s="412"/>
      <c r="J11" s="429">
        <f>SUM(F11:I11)</f>
        <v>-3951941.6399999997</v>
      </c>
      <c r="K11" s="429"/>
    </row>
    <row r="12" spans="1:15" ht="18" customHeight="1">
      <c r="B12" s="413" t="s">
        <v>1620</v>
      </c>
      <c r="C12" s="414"/>
      <c r="D12" s="414"/>
      <c r="E12" s="414"/>
      <c r="F12" s="433">
        <f>SUM(F7:G11)</f>
        <v>5897900</v>
      </c>
      <c r="G12" s="416"/>
      <c r="H12" s="416">
        <f>SUM(H7:I11)</f>
        <v>-5669341.6399999997</v>
      </c>
      <c r="I12" s="416"/>
      <c r="J12" s="416">
        <f>SUM(J7:K11)</f>
        <v>228558.36000000034</v>
      </c>
      <c r="K12" s="416"/>
    </row>
    <row r="13" spans="1:15" ht="10.050000000000001" customHeight="1"/>
    <row r="14" spans="1:15">
      <c r="A14" s="227" t="s">
        <v>1635</v>
      </c>
      <c r="B14" s="228" t="s">
        <v>1622</v>
      </c>
    </row>
    <row r="15" spans="1:15" ht="10.050000000000001" customHeight="1"/>
    <row r="16" spans="1:15" ht="25.05" customHeight="1">
      <c r="A16" s="235"/>
      <c r="B16" s="434" t="s">
        <v>1616</v>
      </c>
      <c r="C16" s="434"/>
      <c r="D16" s="434"/>
      <c r="E16" s="434"/>
      <c r="F16" s="434" t="s">
        <v>1623</v>
      </c>
      <c r="G16" s="434"/>
      <c r="H16" s="434" t="s">
        <v>1625</v>
      </c>
      <c r="I16" s="434"/>
      <c r="J16" s="434" t="s">
        <v>1636</v>
      </c>
      <c r="K16" s="434"/>
      <c r="L16" s="434" t="s">
        <v>1628</v>
      </c>
      <c r="M16" s="434"/>
      <c r="N16" s="233"/>
      <c r="O16" s="233"/>
    </row>
    <row r="17" spans="1:15" ht="18" customHeight="1">
      <c r="B17" s="435" t="s">
        <v>255</v>
      </c>
      <c r="C17" s="435"/>
      <c r="D17" s="435"/>
      <c r="E17" s="435"/>
      <c r="F17" s="412">
        <f>'Blnct AR'!E60</f>
        <v>0</v>
      </c>
      <c r="G17" s="412"/>
      <c r="H17" s="412">
        <f>'Blnct AR'!F60</f>
        <v>0</v>
      </c>
      <c r="I17" s="412"/>
      <c r="J17" s="412">
        <f>'Blnct AR'!G60</f>
        <v>0</v>
      </c>
      <c r="K17" s="412"/>
      <c r="L17" s="412">
        <f>F17+H17-J17</f>
        <v>0</v>
      </c>
      <c r="M17" s="412"/>
    </row>
    <row r="18" spans="1:15" ht="18" customHeight="1">
      <c r="B18" s="436" t="s">
        <v>257</v>
      </c>
      <c r="C18" s="436"/>
      <c r="D18" s="436"/>
      <c r="E18" s="436"/>
      <c r="F18" s="412">
        <f>'Blnct AR'!E62</f>
        <v>0</v>
      </c>
      <c r="G18" s="412"/>
      <c r="H18" s="412">
        <f>'Blnct AR'!F62</f>
        <v>0</v>
      </c>
      <c r="I18" s="412"/>
      <c r="J18" s="412">
        <f>'Blnct AR'!G62</f>
        <v>0</v>
      </c>
      <c r="K18" s="412"/>
      <c r="L18" s="412">
        <f>F18+H18-J18</f>
        <v>0</v>
      </c>
      <c r="M18" s="412"/>
    </row>
    <row r="19" spans="1:15" ht="18" customHeight="1">
      <c r="B19" s="436" t="s">
        <v>258</v>
      </c>
      <c r="C19" s="436"/>
      <c r="D19" s="436"/>
      <c r="E19" s="436"/>
      <c r="F19" s="412">
        <f>'Blnct AR'!E64</f>
        <v>0</v>
      </c>
      <c r="G19" s="412"/>
      <c r="H19" s="412">
        <f>'Blnct AR'!F64</f>
        <v>0</v>
      </c>
      <c r="I19" s="412"/>
      <c r="J19" s="412">
        <f>'Blnct AR'!G64</f>
        <v>0</v>
      </c>
      <c r="K19" s="412"/>
      <c r="L19" s="412">
        <f>F19+H19-J19</f>
        <v>0</v>
      </c>
      <c r="M19" s="412"/>
    </row>
    <row r="20" spans="1:15" ht="18" customHeight="1">
      <c r="B20" s="436" t="s">
        <v>259</v>
      </c>
      <c r="C20" s="436"/>
      <c r="D20" s="436"/>
      <c r="E20" s="436"/>
      <c r="F20" s="412">
        <f>'Blnct AR'!E66</f>
        <v>4180500</v>
      </c>
      <c r="G20" s="412"/>
      <c r="H20" s="412">
        <f>'Blnct AR'!F66</f>
        <v>0</v>
      </c>
      <c r="I20" s="412"/>
      <c r="J20" s="412">
        <f>'Blnct AR'!G66</f>
        <v>0</v>
      </c>
      <c r="K20" s="412"/>
      <c r="L20" s="412">
        <f>F20+H20-J20</f>
        <v>4180500</v>
      </c>
      <c r="M20" s="412"/>
    </row>
    <row r="21" spans="1:15" ht="18" customHeight="1">
      <c r="B21" s="239" t="s">
        <v>260</v>
      </c>
      <c r="C21" s="239"/>
      <c r="D21" s="239"/>
      <c r="E21" s="239"/>
      <c r="F21" s="412">
        <f>'Blnct AR'!E68</f>
        <v>1717400</v>
      </c>
      <c r="G21" s="412"/>
      <c r="H21" s="412">
        <f>'Blnct AR'!F68</f>
        <v>0</v>
      </c>
      <c r="I21" s="412"/>
      <c r="J21" s="412">
        <f>'Blnct AR'!G68</f>
        <v>0</v>
      </c>
      <c r="K21" s="412"/>
      <c r="L21" s="412">
        <f>F21+H21-J21</f>
        <v>1717400</v>
      </c>
      <c r="M21" s="412"/>
    </row>
    <row r="22" spans="1:15" ht="18" customHeight="1">
      <c r="B22" s="437" t="s">
        <v>1620</v>
      </c>
      <c r="C22" s="437"/>
      <c r="D22" s="437"/>
      <c r="E22" s="437"/>
      <c r="F22" s="416">
        <f>SUM(F17:G21)</f>
        <v>5897900</v>
      </c>
      <c r="G22" s="416"/>
      <c r="H22" s="416">
        <f>SUM(H17:I21)</f>
        <v>0</v>
      </c>
      <c r="I22" s="416"/>
      <c r="J22" s="416">
        <f>SUM(J17:K21)</f>
        <v>0</v>
      </c>
      <c r="K22" s="416"/>
      <c r="L22" s="416">
        <f>SUM(L17:M21)</f>
        <v>5897900</v>
      </c>
      <c r="M22" s="416"/>
    </row>
    <row r="23" spans="1:15" ht="10.050000000000001" customHeight="1"/>
    <row r="24" spans="1:15">
      <c r="A24" s="227" t="s">
        <v>1637</v>
      </c>
      <c r="B24" s="228" t="s">
        <v>1630</v>
      </c>
    </row>
    <row r="25" spans="1:15" ht="10.050000000000001" customHeight="1"/>
    <row r="26" spans="1:15" ht="25.05" customHeight="1">
      <c r="A26" s="235"/>
      <c r="B26" s="434" t="s">
        <v>1616</v>
      </c>
      <c r="C26" s="434"/>
      <c r="D26" s="434"/>
      <c r="E26" s="434"/>
      <c r="F26" s="434" t="s">
        <v>1623</v>
      </c>
      <c r="G26" s="434"/>
      <c r="H26" s="434" t="s">
        <v>1625</v>
      </c>
      <c r="I26" s="434"/>
      <c r="J26" s="434" t="s">
        <v>1636</v>
      </c>
      <c r="K26" s="434"/>
      <c r="L26" s="434" t="s">
        <v>1628</v>
      </c>
      <c r="M26" s="434"/>
      <c r="N26" s="233"/>
      <c r="O26" s="233"/>
    </row>
    <row r="27" spans="1:15" ht="18" hidden="1" customHeight="1">
      <c r="B27" s="436" t="s">
        <v>255</v>
      </c>
      <c r="C27" s="436"/>
      <c r="D27" s="436"/>
      <c r="E27" s="436"/>
      <c r="F27" s="412">
        <f>'Blnct AR'!E119</f>
        <v>0</v>
      </c>
      <c r="G27" s="412"/>
      <c r="H27" s="412">
        <f>'Blnct AR'!F1927</f>
        <v>0</v>
      </c>
      <c r="I27" s="412"/>
      <c r="J27" s="412">
        <f>'Blnct AR'!G1927</f>
        <v>0</v>
      </c>
      <c r="K27" s="412"/>
      <c r="L27" s="412">
        <f>F27+H27-J27</f>
        <v>0</v>
      </c>
      <c r="M27" s="412"/>
    </row>
    <row r="28" spans="1:15" ht="18" hidden="1" customHeight="1">
      <c r="B28" s="436" t="s">
        <v>257</v>
      </c>
      <c r="C28" s="436"/>
      <c r="D28" s="436"/>
      <c r="E28" s="436"/>
      <c r="F28" s="412">
        <f>'Blnct AR'!E120</f>
        <v>0</v>
      </c>
      <c r="G28" s="412"/>
      <c r="H28" s="412">
        <f>'Blnct AR'!F1928</f>
        <v>0</v>
      </c>
      <c r="I28" s="412"/>
      <c r="J28" s="412">
        <f>'Blnct AR'!G1928</f>
        <v>0</v>
      </c>
      <c r="K28" s="412"/>
      <c r="L28" s="412">
        <f>F28+H28-J28</f>
        <v>0</v>
      </c>
      <c r="M28" s="412"/>
    </row>
    <row r="29" spans="1:15" ht="18" hidden="1" customHeight="1">
      <c r="B29" s="436" t="s">
        <v>258</v>
      </c>
      <c r="C29" s="436"/>
      <c r="D29" s="436"/>
      <c r="E29" s="436"/>
      <c r="F29" s="412">
        <f>'Blnct AR'!E121</f>
        <v>0</v>
      </c>
      <c r="G29" s="412"/>
      <c r="H29" s="412">
        <f>'Blnct AR'!F1929</f>
        <v>0</v>
      </c>
      <c r="I29" s="412"/>
      <c r="J29" s="412">
        <f>'Blnct AR'!G1929</f>
        <v>0</v>
      </c>
      <c r="K29" s="412"/>
      <c r="L29" s="412">
        <f>F29+H29-J29</f>
        <v>0</v>
      </c>
      <c r="M29" s="412"/>
    </row>
    <row r="30" spans="1:15" ht="18" hidden="1" customHeight="1">
      <c r="B30" s="436" t="s">
        <v>259</v>
      </c>
      <c r="C30" s="436"/>
      <c r="D30" s="436"/>
      <c r="E30" s="436"/>
      <c r="F30" s="412">
        <f>'Blnct AR'!E122</f>
        <v>0</v>
      </c>
      <c r="G30" s="412"/>
      <c r="H30" s="412">
        <f>'Blnct AR'!F1930</f>
        <v>0</v>
      </c>
      <c r="I30" s="412"/>
      <c r="J30" s="412">
        <f>'Blnct AR'!G1930</f>
        <v>0</v>
      </c>
      <c r="K30" s="412"/>
      <c r="L30" s="412">
        <f>F30+H30-J30</f>
        <v>0</v>
      </c>
      <c r="M30" s="412"/>
    </row>
    <row r="31" spans="1:15" ht="18" hidden="1" customHeight="1">
      <c r="B31" s="239" t="s">
        <v>260</v>
      </c>
      <c r="C31" s="239"/>
      <c r="D31" s="239"/>
      <c r="E31" s="239"/>
      <c r="F31" s="412">
        <f>-'Blnct AR'!E123</f>
        <v>5669341.6399999997</v>
      </c>
      <c r="G31" s="412"/>
      <c r="H31" s="412">
        <f>'Blnct AR'!F1931</f>
        <v>0</v>
      </c>
      <c r="I31" s="412"/>
      <c r="J31" s="412">
        <f>'Blnct AR'!G1931</f>
        <v>0</v>
      </c>
      <c r="K31" s="412"/>
      <c r="L31" s="412">
        <f>F31+H31-J31</f>
        <v>5669341.6399999997</v>
      </c>
      <c r="M31" s="412"/>
    </row>
    <row r="32" spans="1:15" ht="18" customHeight="1">
      <c r="B32" s="437" t="s">
        <v>1620</v>
      </c>
      <c r="C32" s="437"/>
      <c r="D32" s="437"/>
      <c r="E32" s="437"/>
      <c r="F32" s="416">
        <f>SUM(F27:G31)</f>
        <v>5669341.6399999997</v>
      </c>
      <c r="G32" s="416"/>
      <c r="H32" s="416">
        <f>SUM(H27:I31)</f>
        <v>0</v>
      </c>
      <c r="I32" s="416"/>
      <c r="J32" s="416">
        <f>SUM(J27:K31)</f>
        <v>0</v>
      </c>
      <c r="K32" s="416"/>
      <c r="L32" s="416">
        <f>SUM(L27:M31)</f>
        <v>5669341.6399999997</v>
      </c>
      <c r="M32" s="416"/>
    </row>
  </sheetData>
  <mergeCells count="96">
    <mergeCell ref="F31:G31"/>
    <mergeCell ref="H31:I31"/>
    <mergeCell ref="J31:K31"/>
    <mergeCell ref="L31:M31"/>
    <mergeCell ref="B32:E32"/>
    <mergeCell ref="F32:G32"/>
    <mergeCell ref="H32:I32"/>
    <mergeCell ref="J32:K32"/>
    <mergeCell ref="L32:M32"/>
    <mergeCell ref="B30:E30"/>
    <mergeCell ref="F30:G30"/>
    <mergeCell ref="H30:I30"/>
    <mergeCell ref="J30:K30"/>
    <mergeCell ref="L30:M30"/>
    <mergeCell ref="B29:E29"/>
    <mergeCell ref="F29:G29"/>
    <mergeCell ref="H29:I29"/>
    <mergeCell ref="J29:K29"/>
    <mergeCell ref="L29:M29"/>
    <mergeCell ref="B28:E28"/>
    <mergeCell ref="F28:G28"/>
    <mergeCell ref="H28:I28"/>
    <mergeCell ref="J28:K28"/>
    <mergeCell ref="L28:M28"/>
    <mergeCell ref="B27:E27"/>
    <mergeCell ref="F27:G27"/>
    <mergeCell ref="H27:I27"/>
    <mergeCell ref="J27:K27"/>
    <mergeCell ref="L27:M27"/>
    <mergeCell ref="B26:E26"/>
    <mergeCell ref="F26:G26"/>
    <mergeCell ref="H26:I26"/>
    <mergeCell ref="J26:K26"/>
    <mergeCell ref="L26:M26"/>
    <mergeCell ref="F21:G21"/>
    <mergeCell ref="H21:I21"/>
    <mergeCell ref="J21:K21"/>
    <mergeCell ref="L21:M21"/>
    <mergeCell ref="B22:E22"/>
    <mergeCell ref="F22:G22"/>
    <mergeCell ref="H22:I22"/>
    <mergeCell ref="J22:K22"/>
    <mergeCell ref="L22:M22"/>
    <mergeCell ref="B20:E20"/>
    <mergeCell ref="F20:G20"/>
    <mergeCell ref="H20:I20"/>
    <mergeCell ref="J20:K20"/>
    <mergeCell ref="L20:M20"/>
    <mergeCell ref="B19:E19"/>
    <mergeCell ref="F19:G19"/>
    <mergeCell ref="H19:I19"/>
    <mergeCell ref="J19:K19"/>
    <mergeCell ref="L19:M19"/>
    <mergeCell ref="B18:E18"/>
    <mergeCell ref="F18:G18"/>
    <mergeCell ref="H18:I18"/>
    <mergeCell ref="J18:K18"/>
    <mergeCell ref="L18:M18"/>
    <mergeCell ref="B17:E17"/>
    <mergeCell ref="F17:G17"/>
    <mergeCell ref="H17:I17"/>
    <mergeCell ref="J17:K17"/>
    <mergeCell ref="L17:M17"/>
    <mergeCell ref="B16:E16"/>
    <mergeCell ref="F16:G16"/>
    <mergeCell ref="H16:I16"/>
    <mergeCell ref="J16:K16"/>
    <mergeCell ref="L16:M16"/>
    <mergeCell ref="F11:G11"/>
    <mergeCell ref="H11:I11"/>
    <mergeCell ref="J11:K11"/>
    <mergeCell ref="B12:E12"/>
    <mergeCell ref="F12:G12"/>
    <mergeCell ref="H12:I12"/>
    <mergeCell ref="J12:K12"/>
    <mergeCell ref="B9:E9"/>
    <mergeCell ref="F9:G9"/>
    <mergeCell ref="H9:I9"/>
    <mergeCell ref="J9:K9"/>
    <mergeCell ref="B10:E10"/>
    <mergeCell ref="F10:G10"/>
    <mergeCell ref="H10:I10"/>
    <mergeCell ref="J10:K10"/>
    <mergeCell ref="B8:E8"/>
    <mergeCell ref="F8:G8"/>
    <mergeCell ref="H8:I8"/>
    <mergeCell ref="J8:K8"/>
    <mergeCell ref="N8:O8"/>
    <mergeCell ref="B6:E6"/>
    <mergeCell ref="F6:G6"/>
    <mergeCell ref="H6:I6"/>
    <mergeCell ref="J6:K6"/>
    <mergeCell ref="B7:E7"/>
    <mergeCell ref="F7:G7"/>
    <mergeCell ref="H7:I7"/>
    <mergeCell ref="J7:K7"/>
  </mergeCells>
  <pageMargins left="0.7" right="0.7" top="0.75" bottom="0.75" header="0.51180555555555496" footer="0.51180555555555496"/>
  <pageSetup paperSize="9" scale="84" firstPageNumber="0" orientation="portrait" horizontalDpi="300" verticalDpi="300" r:id="rId1"/>
  <colBreaks count="1" manualBreakCount="1">
    <brk id="13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13"/>
  <sheetViews>
    <sheetView showGridLines="0" topLeftCell="A76" zoomScaleNormal="100" zoomScaleSheetLayoutView="80" workbookViewId="0">
      <selection activeCell="T36" sqref="T36"/>
    </sheetView>
  </sheetViews>
  <sheetFormatPr defaultColWidth="8.77734375" defaultRowHeight="14.4"/>
  <cols>
    <col min="1" max="1" width="7.44140625" style="224" customWidth="1"/>
    <col min="2" max="3" width="8.44140625" style="173" customWidth="1"/>
    <col min="4" max="4" width="9.77734375" style="173" customWidth="1"/>
    <col min="5" max="5" width="11.109375" style="173" customWidth="1"/>
    <col min="6" max="13" width="7.21875" style="173" customWidth="1"/>
    <col min="14" max="1025" width="8.44140625" style="173" customWidth="1"/>
    <col min="1026" max="16384" width="8.77734375" style="173"/>
  </cols>
  <sheetData>
    <row r="1" spans="1:13">
      <c r="B1" s="242"/>
      <c r="C1" s="242"/>
      <c r="D1" s="242"/>
      <c r="E1" s="242"/>
      <c r="F1" s="243"/>
      <c r="G1" s="243"/>
      <c r="H1" s="243"/>
      <c r="I1" s="243"/>
      <c r="J1" s="243"/>
      <c r="K1" s="243"/>
      <c r="L1" s="243"/>
      <c r="M1" s="243"/>
    </row>
    <row r="2" spans="1:13">
      <c r="A2" s="232">
        <v>8</v>
      </c>
      <c r="B2" s="244" t="s">
        <v>1471</v>
      </c>
      <c r="L2" s="243"/>
      <c r="M2" s="243"/>
    </row>
    <row r="3" spans="1:13" ht="10.050000000000001" customHeight="1">
      <c r="A3" s="245"/>
      <c r="B3" s="246"/>
      <c r="L3" s="243"/>
      <c r="M3" s="243"/>
    </row>
    <row r="4" spans="1:13">
      <c r="A4" s="232" t="s">
        <v>1638</v>
      </c>
      <c r="B4" s="244" t="s">
        <v>1615</v>
      </c>
      <c r="L4" s="243"/>
      <c r="M4" s="243"/>
    </row>
    <row r="5" spans="1:13" ht="10.050000000000001" customHeight="1">
      <c r="A5" s="232"/>
      <c r="B5" s="247"/>
      <c r="L5" s="243"/>
      <c r="M5" s="243"/>
    </row>
    <row r="6" spans="1:13" ht="25.05" customHeight="1">
      <c r="A6" s="232"/>
      <c r="B6" s="403" t="s">
        <v>1616</v>
      </c>
      <c r="C6" s="403"/>
      <c r="D6" s="403"/>
      <c r="E6" s="403"/>
      <c r="F6" s="438" t="s">
        <v>1617</v>
      </c>
      <c r="G6" s="438"/>
      <c r="H6" s="439" t="s">
        <v>1639</v>
      </c>
      <c r="I6" s="439"/>
      <c r="J6" s="438" t="s">
        <v>1618</v>
      </c>
      <c r="K6" s="438"/>
      <c r="L6" s="243"/>
      <c r="M6" s="243"/>
    </row>
    <row r="7" spans="1:13" ht="18" customHeight="1">
      <c r="B7" s="251" t="s">
        <v>295</v>
      </c>
      <c r="C7" s="248"/>
      <c r="D7" s="248"/>
      <c r="E7" s="252"/>
      <c r="F7" s="440">
        <f>'Blnct AR'!I308+'Blnct AR'!I148</f>
        <v>65207881.789999999</v>
      </c>
      <c r="G7" s="440"/>
      <c r="H7" s="440"/>
      <c r="I7" s="440"/>
      <c r="J7" s="440">
        <f t="shared" ref="J7:J12" si="0">F7+H7</f>
        <v>65207881.789999999</v>
      </c>
      <c r="K7" s="440"/>
      <c r="L7" s="243"/>
      <c r="M7" s="243"/>
    </row>
    <row r="8" spans="1:13" ht="18" customHeight="1">
      <c r="B8" s="251" t="s">
        <v>417</v>
      </c>
      <c r="C8" s="248"/>
      <c r="D8" s="248"/>
      <c r="E8" s="252"/>
      <c r="F8" s="440">
        <f>'Blnct AR'!I325</f>
        <v>0</v>
      </c>
      <c r="G8" s="440"/>
      <c r="H8" s="440"/>
      <c r="I8" s="440"/>
      <c r="J8" s="440">
        <f t="shared" si="0"/>
        <v>0</v>
      </c>
      <c r="K8" s="440"/>
      <c r="L8" s="243"/>
      <c r="M8" s="243"/>
    </row>
    <row r="9" spans="1:13" ht="18" customHeight="1">
      <c r="B9" s="251" t="s">
        <v>1473</v>
      </c>
      <c r="C9" s="248"/>
      <c r="D9" s="248"/>
      <c r="E9" s="252"/>
      <c r="F9" s="440">
        <f>'Blnct AR'!I328</f>
        <v>0</v>
      </c>
      <c r="G9" s="440"/>
      <c r="H9" s="440"/>
      <c r="I9" s="440"/>
      <c r="J9" s="440">
        <f t="shared" si="0"/>
        <v>0</v>
      </c>
      <c r="K9" s="440"/>
      <c r="L9" s="243"/>
      <c r="M9" s="243"/>
    </row>
    <row r="10" spans="1:13" ht="18" customHeight="1">
      <c r="B10" s="251" t="s">
        <v>1640</v>
      </c>
      <c r="C10" s="233"/>
      <c r="D10" s="233"/>
      <c r="E10" s="253"/>
      <c r="F10" s="440">
        <f>'Blnct AR'!I335</f>
        <v>0</v>
      </c>
      <c r="G10" s="440"/>
      <c r="H10" s="440"/>
      <c r="I10" s="440"/>
      <c r="J10" s="440">
        <f t="shared" si="0"/>
        <v>0</v>
      </c>
      <c r="K10" s="440"/>
      <c r="L10" s="243"/>
      <c r="M10" s="243"/>
    </row>
    <row r="11" spans="1:13" ht="18" customHeight="1">
      <c r="B11" s="251" t="s">
        <v>349</v>
      </c>
      <c r="C11" s="233"/>
      <c r="D11" s="233"/>
      <c r="E11" s="253"/>
      <c r="F11" s="440">
        <f>'Blnct AR'!I340</f>
        <v>4500000</v>
      </c>
      <c r="G11" s="440"/>
      <c r="H11" s="440"/>
      <c r="I11" s="440"/>
      <c r="J11" s="440">
        <f t="shared" si="0"/>
        <v>4500000</v>
      </c>
      <c r="K11" s="440"/>
      <c r="L11" s="243"/>
      <c r="M11" s="243"/>
    </row>
    <row r="12" spans="1:13" ht="18" customHeight="1">
      <c r="B12" s="251" t="s">
        <v>1641</v>
      </c>
      <c r="C12" s="233"/>
      <c r="D12" s="233"/>
      <c r="E12" s="253"/>
      <c r="F12" s="440">
        <f>'Blnct AR'!I352</f>
        <v>11330086.949999999</v>
      </c>
      <c r="G12" s="440"/>
      <c r="H12" s="440"/>
      <c r="I12" s="440"/>
      <c r="J12" s="440">
        <f t="shared" si="0"/>
        <v>11330086.949999999</v>
      </c>
      <c r="K12" s="440"/>
      <c r="L12" s="243"/>
      <c r="M12" s="243"/>
    </row>
    <row r="13" spans="1:13" ht="18" customHeight="1">
      <c r="B13" s="441" t="s">
        <v>1620</v>
      </c>
      <c r="C13" s="442"/>
      <c r="D13" s="442"/>
      <c r="E13" s="443"/>
      <c r="F13" s="444">
        <f>SUM(F7:G12)</f>
        <v>81037968.739999995</v>
      </c>
      <c r="G13" s="444"/>
      <c r="H13" s="444">
        <f>SUM(H7:I12)</f>
        <v>0</v>
      </c>
      <c r="I13" s="444"/>
      <c r="J13" s="444">
        <f>SUM(J7:K12)</f>
        <v>81037968.739999995</v>
      </c>
      <c r="K13" s="444"/>
      <c r="L13" s="243"/>
      <c r="M13" s="243"/>
    </row>
    <row r="14" spans="1:13" ht="10.050000000000001" customHeight="1">
      <c r="B14" s="242"/>
      <c r="C14" s="242"/>
      <c r="D14" s="242"/>
      <c r="E14" s="242"/>
      <c r="F14" s="243"/>
      <c r="G14" s="243"/>
      <c r="H14" s="243"/>
      <c r="I14" s="243"/>
      <c r="J14" s="243"/>
      <c r="K14" s="243"/>
      <c r="L14" s="243"/>
      <c r="M14" s="243"/>
    </row>
    <row r="15" spans="1:13" hidden="1">
      <c r="A15" s="232" t="s">
        <v>1642</v>
      </c>
      <c r="B15" s="244" t="s">
        <v>1643</v>
      </c>
      <c r="L15" s="243"/>
      <c r="M15" s="243"/>
    </row>
    <row r="16" spans="1:13" ht="10.050000000000001" hidden="1" customHeight="1">
      <c r="A16" s="232"/>
      <c r="B16" s="247"/>
      <c r="L16" s="243"/>
      <c r="M16" s="243"/>
    </row>
    <row r="17" spans="1:14" ht="25.05" hidden="1" customHeight="1">
      <c r="A17" s="232"/>
      <c r="B17" s="403" t="s">
        <v>1616</v>
      </c>
      <c r="C17" s="403"/>
      <c r="D17" s="403"/>
      <c r="E17" s="403"/>
      <c r="F17" s="438" t="s">
        <v>1623</v>
      </c>
      <c r="G17" s="438"/>
      <c r="H17" s="438" t="s">
        <v>1625</v>
      </c>
      <c r="I17" s="438"/>
      <c r="J17" s="438" t="s">
        <v>1636</v>
      </c>
      <c r="K17" s="438"/>
      <c r="L17" s="438" t="s">
        <v>1628</v>
      </c>
      <c r="M17" s="438"/>
    </row>
    <row r="18" spans="1:14" ht="18" hidden="1" customHeight="1">
      <c r="B18" s="275" t="s">
        <v>295</v>
      </c>
      <c r="C18" s="276"/>
      <c r="D18" s="276"/>
      <c r="E18" s="277"/>
      <c r="F18" s="445">
        <f>'Blnct AR'!E377</f>
        <v>0</v>
      </c>
      <c r="G18" s="445"/>
      <c r="H18" s="445">
        <f>'Blnct AR'!F377</f>
        <v>0</v>
      </c>
      <c r="I18" s="445"/>
      <c r="J18" s="445">
        <f>'Blnct AR'!G377</f>
        <v>0</v>
      </c>
      <c r="K18" s="445"/>
      <c r="L18" s="445">
        <f t="shared" ref="L18:L23" si="1">F18+H18-J18</f>
        <v>0</v>
      </c>
      <c r="M18" s="445"/>
    </row>
    <row r="19" spans="1:14" ht="18" hidden="1" customHeight="1">
      <c r="B19" s="251" t="s">
        <v>417</v>
      </c>
      <c r="C19" s="248"/>
      <c r="D19" s="248"/>
      <c r="E19" s="252"/>
      <c r="F19" s="440">
        <f>'Blnct AR'!E379</f>
        <v>0</v>
      </c>
      <c r="G19" s="440"/>
      <c r="H19" s="440">
        <f>'Blnct AR'!F379</f>
        <v>0</v>
      </c>
      <c r="I19" s="440"/>
      <c r="J19" s="440">
        <f>'Blnct AR'!G379</f>
        <v>0</v>
      </c>
      <c r="K19" s="440"/>
      <c r="L19" s="440">
        <f t="shared" si="1"/>
        <v>0</v>
      </c>
      <c r="M19" s="440"/>
    </row>
    <row r="20" spans="1:14" ht="18" hidden="1" customHeight="1">
      <c r="B20" s="251" t="s">
        <v>1473</v>
      </c>
      <c r="C20" s="248"/>
      <c r="D20" s="248"/>
      <c r="E20" s="252"/>
      <c r="F20" s="440">
        <f>'Blnct AR'!E381</f>
        <v>0</v>
      </c>
      <c r="G20" s="440"/>
      <c r="H20" s="440">
        <f>'Blnct AR'!F381</f>
        <v>0</v>
      </c>
      <c r="I20" s="440"/>
      <c r="J20" s="440">
        <f>'Blnct AR'!G381</f>
        <v>0</v>
      </c>
      <c r="K20" s="440"/>
      <c r="L20" s="440">
        <f t="shared" si="1"/>
        <v>0</v>
      </c>
      <c r="M20" s="440"/>
    </row>
    <row r="21" spans="1:14" ht="18" hidden="1" customHeight="1">
      <c r="B21" s="251" t="s">
        <v>1640</v>
      </c>
      <c r="C21" s="233"/>
      <c r="D21" s="233"/>
      <c r="E21" s="253"/>
      <c r="F21" s="440">
        <f>'Blnct AR'!E383</f>
        <v>0</v>
      </c>
      <c r="G21" s="440"/>
      <c r="H21" s="440">
        <f>'Blnct AR'!F383</f>
        <v>0</v>
      </c>
      <c r="I21" s="440"/>
      <c r="J21" s="440">
        <f>'Blnct AR'!G383</f>
        <v>0</v>
      </c>
      <c r="K21" s="440"/>
      <c r="L21" s="440">
        <f t="shared" si="1"/>
        <v>0</v>
      </c>
      <c r="M21" s="440"/>
    </row>
    <row r="22" spans="1:14" ht="18" hidden="1" customHeight="1">
      <c r="B22" s="251" t="s">
        <v>349</v>
      </c>
      <c r="C22" s="233"/>
      <c r="D22" s="233"/>
      <c r="E22" s="253"/>
      <c r="F22" s="440">
        <f>'Blnct AR'!E340</f>
        <v>0</v>
      </c>
      <c r="G22" s="440"/>
      <c r="H22" s="440">
        <f>'Blnct AR'!F340</f>
        <v>4500000</v>
      </c>
      <c r="I22" s="440"/>
      <c r="J22" s="440">
        <f>'Blnct AR'!G340</f>
        <v>0</v>
      </c>
      <c r="K22" s="440"/>
      <c r="L22" s="440">
        <f t="shared" si="1"/>
        <v>4500000</v>
      </c>
      <c r="M22" s="440"/>
    </row>
    <row r="23" spans="1:14" ht="18" hidden="1" customHeight="1">
      <c r="B23" s="251" t="s">
        <v>1641</v>
      </c>
      <c r="C23" s="233"/>
      <c r="D23" s="233"/>
      <c r="E23" s="253"/>
      <c r="F23" s="440">
        <v>0</v>
      </c>
      <c r="G23" s="440"/>
      <c r="H23" s="440">
        <v>0</v>
      </c>
      <c r="I23" s="440"/>
      <c r="J23" s="440">
        <v>0</v>
      </c>
      <c r="K23" s="440"/>
      <c r="L23" s="440">
        <f t="shared" si="1"/>
        <v>0</v>
      </c>
      <c r="M23" s="440"/>
    </row>
    <row r="24" spans="1:14" ht="18" hidden="1" customHeight="1">
      <c r="B24" s="446" t="s">
        <v>1620</v>
      </c>
      <c r="C24" s="447"/>
      <c r="D24" s="447"/>
      <c r="E24" s="448"/>
      <c r="F24" s="444">
        <f>SUM(F18:G23)</f>
        <v>0</v>
      </c>
      <c r="G24" s="444"/>
      <c r="H24" s="444">
        <f>SUM(H18:I23)</f>
        <v>4500000</v>
      </c>
      <c r="I24" s="444"/>
      <c r="J24" s="444">
        <f>SUM(J18:K23)</f>
        <v>0</v>
      </c>
      <c r="K24" s="444"/>
      <c r="L24" s="444">
        <f>SUM(L18:M23)</f>
        <v>4500000</v>
      </c>
      <c r="M24" s="444"/>
    </row>
    <row r="25" spans="1:14" ht="10.050000000000001" hidden="1" customHeight="1"/>
    <row r="26" spans="1:14">
      <c r="A26" s="232">
        <v>9</v>
      </c>
      <c r="B26" s="244" t="s">
        <v>1825</v>
      </c>
      <c r="F26" s="243"/>
    </row>
    <row r="27" spans="1:14" ht="10.050000000000001" customHeight="1">
      <c r="A27" s="232"/>
      <c r="B27" s="247"/>
    </row>
    <row r="28" spans="1:14" ht="25.05" customHeight="1">
      <c r="A28" s="232"/>
      <c r="B28" s="403" t="s">
        <v>1616</v>
      </c>
      <c r="C28" s="403"/>
      <c r="D28" s="403"/>
      <c r="E28" s="403"/>
      <c r="F28" s="438" t="s">
        <v>1644</v>
      </c>
      <c r="G28" s="438"/>
      <c r="H28" s="438" t="s">
        <v>1620</v>
      </c>
      <c r="I28" s="438"/>
      <c r="J28" s="328"/>
      <c r="K28" s="328"/>
      <c r="N28" s="243"/>
    </row>
    <row r="29" spans="1:14" ht="18" customHeight="1">
      <c r="B29" s="275" t="s">
        <v>1617</v>
      </c>
      <c r="C29" s="322"/>
      <c r="D29" s="322"/>
      <c r="E29" s="323"/>
      <c r="F29" s="279"/>
      <c r="G29" s="280"/>
      <c r="H29" s="449"/>
      <c r="I29" s="449"/>
      <c r="J29" s="329"/>
      <c r="K29" s="329"/>
    </row>
    <row r="30" spans="1:14" ht="18" customHeight="1">
      <c r="B30" s="251" t="s">
        <v>422</v>
      </c>
      <c r="C30" s="249"/>
      <c r="D30" s="249"/>
      <c r="E30" s="278"/>
      <c r="F30" s="440">
        <f>IF('Blnct AR'!I389&gt;0,'Blnct AR'!I389,0)</f>
        <v>185929207.63145</v>
      </c>
      <c r="G30" s="440"/>
      <c r="H30" s="440">
        <f t="shared" ref="H30:H40" si="2">F30</f>
        <v>185929207.63145</v>
      </c>
      <c r="I30" s="440"/>
      <c r="J30" s="330"/>
      <c r="K30" s="330"/>
    </row>
    <row r="31" spans="1:14" ht="18" customHeight="1">
      <c r="B31" s="251" t="s">
        <v>536</v>
      </c>
      <c r="C31" s="249"/>
      <c r="D31" s="249"/>
      <c r="E31" s="278"/>
      <c r="F31" s="440">
        <f>IF('Blnct AR'!I522&gt;0,'Blnct AR'!I522,0)</f>
        <v>0</v>
      </c>
      <c r="G31" s="440"/>
      <c r="H31" s="440">
        <f t="shared" si="2"/>
        <v>0</v>
      </c>
      <c r="I31" s="440"/>
      <c r="J31" s="330"/>
      <c r="K31" s="330"/>
    </row>
    <row r="32" spans="1:14" ht="18" customHeight="1">
      <c r="B32" s="251" t="s">
        <v>543</v>
      </c>
      <c r="C32" s="249"/>
      <c r="D32" s="249"/>
      <c r="E32" s="278"/>
      <c r="F32" s="451">
        <f>IF('Blnct AR'!I556&gt;0,'Blnct AR'!I556,0)</f>
        <v>24840654.950886846</v>
      </c>
      <c r="G32" s="452"/>
      <c r="H32" s="440">
        <f>F32</f>
        <v>24840654.950886846</v>
      </c>
      <c r="I32" s="440"/>
      <c r="J32" s="330"/>
      <c r="K32" s="330"/>
    </row>
    <row r="33" spans="1:14" ht="18" customHeight="1">
      <c r="B33" s="251" t="s">
        <v>551</v>
      </c>
      <c r="C33" s="249"/>
      <c r="D33" s="249"/>
      <c r="E33" s="278"/>
      <c r="F33" s="440">
        <f>IF('Blnct AR'!I574&gt;0,'Blnct AR'!I574,0)</f>
        <v>32608955.329999998</v>
      </c>
      <c r="G33" s="440"/>
      <c r="H33" s="440">
        <f t="shared" si="2"/>
        <v>32608955.329999998</v>
      </c>
      <c r="I33" s="440"/>
      <c r="J33" s="330"/>
      <c r="K33" s="330"/>
    </row>
    <row r="34" spans="1:14" ht="18" customHeight="1">
      <c r="B34" s="251" t="s">
        <v>781</v>
      </c>
      <c r="C34" s="249"/>
      <c r="D34" s="249"/>
      <c r="E34" s="278"/>
      <c r="F34" s="440">
        <f>IF('Blnct AR'!I952&gt;0,'Blnct AR'!I952,0)*0</f>
        <v>0</v>
      </c>
      <c r="G34" s="440"/>
      <c r="H34" s="440">
        <f t="shared" si="2"/>
        <v>0</v>
      </c>
      <c r="I34" s="440"/>
      <c r="J34" s="330"/>
      <c r="K34" s="330"/>
    </row>
    <row r="35" spans="1:14" ht="18" customHeight="1">
      <c r="B35" s="251" t="s">
        <v>875</v>
      </c>
      <c r="C35" s="249"/>
      <c r="D35" s="249"/>
      <c r="E35" s="278"/>
      <c r="F35" s="440">
        <f>IF('Blnct AR'!I1036&gt;0,'Blnct AR'!I1036,0)</f>
        <v>0</v>
      </c>
      <c r="G35" s="440"/>
      <c r="H35" s="440">
        <f t="shared" si="2"/>
        <v>0</v>
      </c>
      <c r="I35" s="440"/>
      <c r="J35" s="330"/>
      <c r="K35" s="330"/>
    </row>
    <row r="36" spans="1:14" ht="18" customHeight="1">
      <c r="B36" s="251" t="s">
        <v>1647</v>
      </c>
      <c r="C36" s="249"/>
      <c r="D36" s="249"/>
      <c r="E36" s="278"/>
      <c r="F36" s="450">
        <f>IF('Blnct AR'!I1136&gt;0,'Blnct AR'!I1136,0)</f>
        <v>0</v>
      </c>
      <c r="G36" s="450"/>
      <c r="H36" s="450">
        <f t="shared" si="2"/>
        <v>0</v>
      </c>
      <c r="I36" s="450"/>
      <c r="J36" s="330"/>
      <c r="K36" s="330"/>
    </row>
    <row r="37" spans="1:14" ht="18" customHeight="1">
      <c r="B37" s="251" t="s">
        <v>1312</v>
      </c>
      <c r="C37" s="249"/>
      <c r="D37" s="249"/>
      <c r="E37" s="278"/>
      <c r="F37" s="440">
        <f>IF('Blnct AR'!I1181&gt;0,'Blnct AR'!I1181,0)</f>
        <v>0</v>
      </c>
      <c r="G37" s="440"/>
      <c r="H37" s="440">
        <f t="shared" si="2"/>
        <v>0</v>
      </c>
      <c r="I37" s="440"/>
      <c r="J37" s="330"/>
      <c r="K37" s="330"/>
    </row>
    <row r="38" spans="1:14" ht="18" customHeight="1">
      <c r="B38" s="251" t="s">
        <v>1648</v>
      </c>
      <c r="C38" s="249"/>
      <c r="D38" s="249"/>
      <c r="E38" s="278"/>
      <c r="F38" s="440">
        <f>IF('Blnct AR'!I1267&gt;0,'Blnct AR'!I1267,0)</f>
        <v>0</v>
      </c>
      <c r="G38" s="440"/>
      <c r="H38" s="440">
        <f t="shared" si="2"/>
        <v>0</v>
      </c>
      <c r="I38" s="440"/>
      <c r="J38" s="330"/>
      <c r="K38" s="330"/>
    </row>
    <row r="39" spans="1:14" ht="18" customHeight="1">
      <c r="B39" s="251" t="s">
        <v>1649</v>
      </c>
      <c r="C39" s="249"/>
      <c r="D39" s="249"/>
      <c r="E39" s="278"/>
      <c r="F39" s="450">
        <f>IF('Blnct AR'!I1321&gt;0,'Blnct AR'!I1321,0)</f>
        <v>0</v>
      </c>
      <c r="G39" s="450"/>
      <c r="H39" s="440">
        <f t="shared" si="2"/>
        <v>0</v>
      </c>
      <c r="I39" s="440"/>
      <c r="J39" s="330"/>
      <c r="K39" s="330"/>
    </row>
    <row r="40" spans="1:14" ht="18" customHeight="1">
      <c r="B40" s="251" t="s">
        <v>1650</v>
      </c>
      <c r="C40" s="249"/>
      <c r="D40" s="249"/>
      <c r="E40" s="278"/>
      <c r="F40" s="450">
        <f>'Blnct AR'!$I$1429</f>
        <v>-2919625.49</v>
      </c>
      <c r="G40" s="450"/>
      <c r="H40" s="440">
        <f t="shared" si="2"/>
        <v>-2919625.49</v>
      </c>
      <c r="I40" s="440"/>
      <c r="J40" s="330"/>
      <c r="K40" s="330"/>
    </row>
    <row r="41" spans="1:14" ht="18" customHeight="1">
      <c r="B41" s="441" t="s">
        <v>1620</v>
      </c>
      <c r="C41" s="442"/>
      <c r="D41" s="442"/>
      <c r="E41" s="443"/>
      <c r="F41" s="444">
        <f>SUM(F30:G40)</f>
        <v>240459192.42233682</v>
      </c>
      <c r="G41" s="444"/>
      <c r="H41" s="444">
        <f>SUM(H30:I40)</f>
        <v>240459192.42233682</v>
      </c>
      <c r="I41" s="444"/>
      <c r="J41" s="331"/>
      <c r="K41" s="331"/>
    </row>
    <row r="42" spans="1:14" ht="10.050000000000001" customHeight="1"/>
    <row r="43" spans="1:14">
      <c r="A43" s="232">
        <v>10</v>
      </c>
      <c r="B43" s="244" t="s">
        <v>1562</v>
      </c>
    </row>
    <row r="44" spans="1:14" ht="10.050000000000001" customHeight="1"/>
    <row r="45" spans="1:14" ht="25.05" customHeight="1">
      <c r="A45" s="235"/>
      <c r="B45" s="403" t="s">
        <v>1616</v>
      </c>
      <c r="C45" s="403"/>
      <c r="D45" s="403"/>
      <c r="E45" s="403"/>
      <c r="F45" s="453">
        <f>DBase!C4</f>
        <v>45658</v>
      </c>
      <c r="G45" s="453"/>
      <c r="H45" s="453">
        <f>F45-1</f>
        <v>45657</v>
      </c>
      <c r="I45" s="453"/>
      <c r="J45" s="454"/>
      <c r="K45" s="455"/>
      <c r="L45" s="454"/>
      <c r="M45" s="454"/>
      <c r="N45" s="243"/>
    </row>
    <row r="46" spans="1:14" ht="18" customHeight="1">
      <c r="B46" s="456" t="s">
        <v>1651</v>
      </c>
      <c r="C46" s="457"/>
      <c r="D46" s="457"/>
      <c r="E46" s="458"/>
      <c r="F46" s="459">
        <f>'Blnct AR'!I1454</f>
        <v>0</v>
      </c>
      <c r="G46" s="459"/>
      <c r="H46" s="459">
        <f>'Blnct AR'!E1454</f>
        <v>0</v>
      </c>
      <c r="I46" s="459"/>
      <c r="J46" s="460"/>
      <c r="K46" s="460"/>
      <c r="L46" s="460"/>
      <c r="M46" s="460"/>
    </row>
    <row r="47" spans="1:14" ht="18" customHeight="1">
      <c r="B47" s="461" t="s">
        <v>1220</v>
      </c>
      <c r="C47" s="462"/>
      <c r="D47" s="462"/>
      <c r="E47" s="463"/>
      <c r="F47" s="450">
        <f>'Blnct AR'!I1465</f>
        <v>250000</v>
      </c>
      <c r="G47" s="450"/>
      <c r="H47" s="450">
        <f>'Blnct AR'!E1465</f>
        <v>250000</v>
      </c>
      <c r="I47" s="450"/>
      <c r="J47" s="460"/>
      <c r="K47" s="460"/>
      <c r="L47" s="460"/>
      <c r="M47" s="460"/>
    </row>
    <row r="48" spans="1:14" ht="18" customHeight="1">
      <c r="B48" s="461" t="s">
        <v>1652</v>
      </c>
      <c r="C48" s="462"/>
      <c r="D48" s="462"/>
      <c r="E48" s="463"/>
      <c r="F48" s="450">
        <f>'Blnct AR'!I1476</f>
        <v>29822828.969999909</v>
      </c>
      <c r="G48" s="450"/>
      <c r="H48" s="450">
        <f>'Blnct AR'!E1476</f>
        <v>95694617.029999971</v>
      </c>
      <c r="I48" s="450"/>
      <c r="J48" s="460"/>
      <c r="K48" s="460"/>
      <c r="L48" s="460"/>
      <c r="M48" s="460"/>
    </row>
    <row r="49" spans="1:13" ht="18" customHeight="1">
      <c r="B49" s="251" t="s">
        <v>1653</v>
      </c>
      <c r="C49" s="249"/>
      <c r="D49" s="249"/>
      <c r="E49" s="278"/>
      <c r="F49" s="450">
        <f>'Blnct AR'!I1500</f>
        <v>335884.98000000045</v>
      </c>
      <c r="G49" s="450"/>
      <c r="H49" s="450">
        <f>'Blnct AR'!E1500</f>
        <v>3541747.5500000007</v>
      </c>
      <c r="I49" s="450"/>
      <c r="J49" s="460"/>
      <c r="K49" s="460"/>
      <c r="L49" s="460"/>
      <c r="M49" s="460"/>
    </row>
    <row r="50" spans="1:13" ht="18" customHeight="1">
      <c r="B50" s="251" t="s">
        <v>1654</v>
      </c>
      <c r="C50" s="249"/>
      <c r="D50" s="249"/>
      <c r="E50" s="278"/>
      <c r="F50" s="450">
        <f>'Blnct AR'!I1525</f>
        <v>-345186.44</v>
      </c>
      <c r="G50" s="450"/>
      <c r="H50" s="450">
        <f>'Blnct AR'!E1525</f>
        <v>-345186.44</v>
      </c>
      <c r="I50" s="450"/>
      <c r="J50" s="460"/>
      <c r="K50" s="460"/>
      <c r="L50" s="460"/>
      <c r="M50" s="460"/>
    </row>
    <row r="51" spans="1:13" ht="18" customHeight="1">
      <c r="B51" s="441" t="s">
        <v>1620</v>
      </c>
      <c r="C51" s="442"/>
      <c r="D51" s="442"/>
      <c r="E51" s="443"/>
      <c r="F51" s="464">
        <f>SUM(F46:G50)</f>
        <v>30063527.509999909</v>
      </c>
      <c r="G51" s="464"/>
      <c r="H51" s="464">
        <f>SUM(H46:I50)</f>
        <v>99141178.139999971</v>
      </c>
      <c r="I51" s="464"/>
      <c r="J51" s="460"/>
      <c r="K51" s="460"/>
      <c r="L51" s="460"/>
      <c r="M51" s="460"/>
    </row>
    <row r="52" spans="1:13" ht="10.050000000000001" customHeight="1"/>
    <row r="53" spans="1:13" ht="10.050000000000001" hidden="1" customHeight="1">
      <c r="A53" s="232">
        <v>11</v>
      </c>
      <c r="B53" s="244" t="s">
        <v>1655</v>
      </c>
    </row>
    <row r="54" spans="1:13" ht="10.050000000000001" hidden="1" customHeight="1"/>
    <row r="55" spans="1:13" ht="25.05" hidden="1" customHeight="1">
      <c r="A55" s="235"/>
      <c r="B55" s="403" t="s">
        <v>1616</v>
      </c>
      <c r="C55" s="403"/>
      <c r="D55" s="403"/>
      <c r="E55" s="403"/>
      <c r="F55" s="453">
        <f>DBase!C4</f>
        <v>45658</v>
      </c>
      <c r="G55" s="453"/>
      <c r="H55" s="453">
        <f>F55-1</f>
        <v>45657</v>
      </c>
      <c r="I55" s="453"/>
    </row>
    <row r="56" spans="1:13" ht="18" hidden="1" customHeight="1">
      <c r="B56" s="465" t="s">
        <v>1656</v>
      </c>
      <c r="C56" s="466"/>
      <c r="D56" s="466"/>
      <c r="E56" s="466"/>
      <c r="F56" s="459"/>
      <c r="G56" s="459"/>
      <c r="H56" s="459"/>
      <c r="I56" s="459"/>
    </row>
    <row r="57" spans="1:13" ht="18" hidden="1" customHeight="1">
      <c r="B57" s="467" t="s">
        <v>1657</v>
      </c>
      <c r="C57" s="468"/>
      <c r="D57" s="468"/>
      <c r="E57" s="468"/>
      <c r="F57" s="450"/>
      <c r="G57" s="450"/>
      <c r="H57" s="450"/>
      <c r="I57" s="450"/>
    </row>
    <row r="58" spans="1:13" ht="18" hidden="1" customHeight="1">
      <c r="B58" s="469" t="s">
        <v>1658</v>
      </c>
      <c r="C58" s="470"/>
      <c r="D58" s="470"/>
      <c r="E58" s="470"/>
      <c r="F58" s="450"/>
      <c r="G58" s="450"/>
      <c r="H58" s="450"/>
      <c r="I58" s="450"/>
    </row>
    <row r="59" spans="1:13" ht="18" hidden="1" customHeight="1">
      <c r="B59" s="281" t="s">
        <v>124</v>
      </c>
      <c r="C59" s="249"/>
      <c r="D59" s="249"/>
      <c r="E59" s="249"/>
      <c r="F59" s="450">
        <f>'Blnct AR'!I1287</f>
        <v>0</v>
      </c>
      <c r="G59" s="450"/>
      <c r="H59" s="450">
        <f>'Blnct AR'!E1287</f>
        <v>0</v>
      </c>
      <c r="I59" s="450"/>
    </row>
    <row r="60" spans="1:13" ht="18" hidden="1" customHeight="1">
      <c r="B60" s="281" t="s">
        <v>1659</v>
      </c>
      <c r="C60" s="249"/>
      <c r="D60" s="249"/>
      <c r="E60" s="249"/>
      <c r="F60" s="450">
        <f>'Blnct AR'!I1291+'Blnct AR'!I1292</f>
        <v>0</v>
      </c>
      <c r="G60" s="450"/>
      <c r="H60" s="450">
        <f>'Blnct AR'!E1291+'Blnct AR'!I1292</f>
        <v>0</v>
      </c>
      <c r="I60" s="450"/>
    </row>
    <row r="61" spans="1:13" ht="18" hidden="1" customHeight="1">
      <c r="B61" s="441" t="s">
        <v>1620</v>
      </c>
      <c r="C61" s="471"/>
      <c r="D61" s="471"/>
      <c r="E61" s="471"/>
      <c r="F61" s="464">
        <f>SUM(F56:G60)</f>
        <v>0</v>
      </c>
      <c r="G61" s="464"/>
      <c r="H61" s="464">
        <f>SUM(H56:I60)</f>
        <v>0</v>
      </c>
      <c r="I61" s="464"/>
    </row>
    <row r="62" spans="1:13" ht="10.050000000000001" hidden="1" customHeight="1"/>
    <row r="63" spans="1:13" ht="15" customHeight="1">
      <c r="A63" s="232" t="s">
        <v>1660</v>
      </c>
      <c r="B63" s="244" t="s">
        <v>1568</v>
      </c>
    </row>
    <row r="64" spans="1:13" ht="10.050000000000001" customHeight="1"/>
    <row r="65" spans="1:14" ht="25.05" customHeight="1">
      <c r="A65" s="235"/>
      <c r="B65" s="424" t="s">
        <v>1616</v>
      </c>
      <c r="C65" s="425"/>
      <c r="D65" s="425"/>
      <c r="E65" s="425"/>
      <c r="F65" s="472" t="s">
        <v>1623</v>
      </c>
      <c r="G65" s="472"/>
      <c r="H65" s="472" t="s">
        <v>1625</v>
      </c>
      <c r="I65" s="472"/>
      <c r="J65" s="472" t="s">
        <v>1636</v>
      </c>
      <c r="K65" s="472"/>
      <c r="L65" s="472" t="s">
        <v>1628</v>
      </c>
      <c r="M65" s="472"/>
      <c r="N65" s="243"/>
    </row>
    <row r="66" spans="1:14" ht="18" customHeight="1">
      <c r="B66" s="251" t="s">
        <v>1568</v>
      </c>
      <c r="C66" s="248"/>
      <c r="D66" s="248"/>
      <c r="E66" s="248"/>
      <c r="F66" s="450">
        <f>'Blnct AR'!E1538</f>
        <v>-4250000</v>
      </c>
      <c r="G66" s="450"/>
      <c r="H66" s="473">
        <f>'Blnct AR'!G1538</f>
        <v>0</v>
      </c>
      <c r="I66" s="473"/>
      <c r="J66" s="473">
        <f>'Blnct AR'!F1538</f>
        <v>0</v>
      </c>
      <c r="K66" s="473"/>
      <c r="L66" s="473">
        <f>F66+H66-J66</f>
        <v>-4250000</v>
      </c>
      <c r="M66" s="473"/>
    </row>
    <row r="67" spans="1:14" ht="18" customHeight="1">
      <c r="B67" s="251" t="s">
        <v>1661</v>
      </c>
      <c r="C67" s="248"/>
      <c r="D67" s="248"/>
      <c r="E67" s="248"/>
      <c r="F67" s="473">
        <f>'Blnct AR'!E1543</f>
        <v>0</v>
      </c>
      <c r="G67" s="473"/>
      <c r="H67" s="473">
        <f>'Blnct AR'!G1543</f>
        <v>0</v>
      </c>
      <c r="I67" s="473"/>
      <c r="J67" s="473">
        <f>'Blnct AR'!F1543</f>
        <v>0</v>
      </c>
      <c r="K67" s="473"/>
      <c r="L67" s="473">
        <f>F67+H67-J67</f>
        <v>0</v>
      </c>
      <c r="M67" s="473"/>
    </row>
    <row r="68" spans="1:14" ht="18" customHeight="1">
      <c r="B68" s="251" t="s">
        <v>1134</v>
      </c>
      <c r="C68" s="248"/>
      <c r="D68" s="248"/>
      <c r="E68" s="248"/>
      <c r="F68" s="473">
        <f>'Blnct AR'!E1550</f>
        <v>0</v>
      </c>
      <c r="G68" s="473"/>
      <c r="H68" s="473">
        <f>'Blnct AR'!G1550</f>
        <v>0</v>
      </c>
      <c r="I68" s="473"/>
      <c r="J68" s="473">
        <f>'Blnct AR'!F1550</f>
        <v>0</v>
      </c>
      <c r="K68" s="473"/>
      <c r="L68" s="473">
        <f>F68+H68-J68</f>
        <v>0</v>
      </c>
      <c r="M68" s="473"/>
    </row>
    <row r="69" spans="1:14" ht="18" customHeight="1">
      <c r="B69" s="251" t="s">
        <v>1136</v>
      </c>
      <c r="C69" s="233"/>
      <c r="D69" s="233"/>
      <c r="E69" s="233"/>
      <c r="F69" s="473">
        <f>'Blnct AR'!E1552</f>
        <v>-13282639.890000001</v>
      </c>
      <c r="G69" s="473"/>
      <c r="H69" s="473">
        <f>'Blnct AR'!G1552</f>
        <v>0</v>
      </c>
      <c r="I69" s="473"/>
      <c r="J69" s="473">
        <f>'Blnct AR'!F1552</f>
        <v>0</v>
      </c>
      <c r="K69" s="473"/>
      <c r="L69" s="473">
        <f>F69+H69-J69</f>
        <v>-13282639.890000001</v>
      </c>
      <c r="M69" s="473"/>
    </row>
    <row r="70" spans="1:14" ht="18" customHeight="1">
      <c r="B70" s="254"/>
      <c r="C70" s="255"/>
      <c r="D70" s="255"/>
      <c r="E70" s="340" t="s">
        <v>1620</v>
      </c>
      <c r="F70" s="474">
        <f>SUM(F66:G69)</f>
        <v>-17532639.890000001</v>
      </c>
      <c r="G70" s="474"/>
      <c r="H70" s="474">
        <f>SUM(H66:I69)</f>
        <v>0</v>
      </c>
      <c r="I70" s="474"/>
      <c r="J70" s="474">
        <f>SUM(J66:K69)</f>
        <v>0</v>
      </c>
      <c r="K70" s="474"/>
      <c r="L70" s="474">
        <f>SUM(L66:M69)</f>
        <v>-17532639.890000001</v>
      </c>
      <c r="M70" s="474"/>
    </row>
    <row r="71" spans="1:14" ht="10.050000000000001" customHeight="1"/>
    <row r="72" spans="1:14" ht="15" customHeight="1">
      <c r="A72" s="232" t="s">
        <v>1662</v>
      </c>
      <c r="B72" s="244" t="s">
        <v>1568</v>
      </c>
    </row>
    <row r="73" spans="1:14" ht="10.050000000000001" customHeight="1"/>
    <row r="74" spans="1:14" ht="25.05" customHeight="1">
      <c r="A74" s="235"/>
      <c r="B74" s="403" t="s">
        <v>1616</v>
      </c>
      <c r="C74" s="403"/>
      <c r="D74" s="403"/>
      <c r="E74" s="403"/>
      <c r="F74" s="438" t="s">
        <v>1623</v>
      </c>
      <c r="G74" s="438"/>
      <c r="H74" s="438" t="s">
        <v>1625</v>
      </c>
      <c r="I74" s="438"/>
      <c r="J74" s="438" t="s">
        <v>1636</v>
      </c>
      <c r="K74" s="438"/>
      <c r="L74" s="438" t="s">
        <v>1628</v>
      </c>
      <c r="M74" s="438"/>
    </row>
    <row r="75" spans="1:14" ht="29.1" customHeight="1">
      <c r="B75" s="475" t="s">
        <v>1663</v>
      </c>
      <c r="C75" s="476"/>
      <c r="D75" s="476"/>
      <c r="E75" s="477"/>
      <c r="F75" s="459"/>
      <c r="G75" s="459"/>
      <c r="H75" s="478"/>
      <c r="I75" s="478"/>
      <c r="J75" s="478"/>
      <c r="K75" s="478"/>
      <c r="L75" s="478"/>
      <c r="M75" s="478"/>
    </row>
    <row r="76" spans="1:14" ht="18" customHeight="1">
      <c r="B76" s="282" t="s">
        <v>1664</v>
      </c>
      <c r="C76" s="248"/>
      <c r="D76" s="248"/>
      <c r="E76" s="252"/>
      <c r="F76" s="473">
        <f>'Blnct AR'!E1540</f>
        <v>-3825000</v>
      </c>
      <c r="G76" s="473"/>
      <c r="H76" s="473">
        <f>'Blnct AR'!G1543</f>
        <v>0</v>
      </c>
      <c r="I76" s="473"/>
      <c r="J76" s="473">
        <f>'Blnct AR'!F1543</f>
        <v>0</v>
      </c>
      <c r="K76" s="473"/>
      <c r="L76" s="473">
        <f>F76+H76-J76</f>
        <v>-3825000</v>
      </c>
      <c r="M76" s="473"/>
    </row>
    <row r="77" spans="1:14" ht="29.1" customHeight="1">
      <c r="B77" s="479" t="s">
        <v>1665</v>
      </c>
      <c r="C77" s="480"/>
      <c r="D77" s="480"/>
      <c r="E77" s="481"/>
      <c r="F77" s="473"/>
      <c r="G77" s="473"/>
      <c r="H77" s="473"/>
      <c r="I77" s="473"/>
      <c r="J77" s="473"/>
      <c r="K77" s="473"/>
      <c r="L77" s="473"/>
      <c r="M77" s="473"/>
    </row>
    <row r="78" spans="1:14" ht="18" customHeight="1">
      <c r="B78" s="282" t="s">
        <v>1666</v>
      </c>
      <c r="C78" s="233"/>
      <c r="D78" s="233"/>
      <c r="E78" s="253"/>
      <c r="F78" s="473">
        <f>'Blnct AR'!E1542</f>
        <v>-425000</v>
      </c>
      <c r="G78" s="473"/>
      <c r="H78" s="473">
        <f>'Blnct AR'!G1552</f>
        <v>0</v>
      </c>
      <c r="I78" s="473"/>
      <c r="J78" s="473">
        <f>'Blnct AR'!F1552</f>
        <v>0</v>
      </c>
      <c r="K78" s="473"/>
      <c r="L78" s="473">
        <f>F78+H78-J78</f>
        <v>-425000</v>
      </c>
      <c r="M78" s="473"/>
    </row>
    <row r="79" spans="1:14" ht="18" customHeight="1">
      <c r="B79" s="254"/>
      <c r="C79" s="255"/>
      <c r="D79" s="255"/>
      <c r="E79" s="256" t="s">
        <v>1620</v>
      </c>
      <c r="F79" s="474">
        <f>SUM(F75:G78)</f>
        <v>-4250000</v>
      </c>
      <c r="G79" s="474"/>
      <c r="H79" s="474">
        <f>SUM(H75:I78)</f>
        <v>0</v>
      </c>
      <c r="I79" s="474"/>
      <c r="J79" s="474">
        <f>SUM(J75:K78)</f>
        <v>0</v>
      </c>
      <c r="K79" s="474"/>
      <c r="L79" s="474">
        <f>SUM(L75:M78)</f>
        <v>-4250000</v>
      </c>
      <c r="M79" s="474"/>
    </row>
    <row r="80" spans="1:14" ht="10.050000000000001" customHeight="1"/>
    <row r="81" spans="1:14" hidden="1">
      <c r="A81" s="232">
        <v>15</v>
      </c>
      <c r="B81" s="244" t="s">
        <v>1667</v>
      </c>
    </row>
    <row r="82" spans="1:14" ht="10.050000000000001" hidden="1" customHeight="1">
      <c r="A82" s="232"/>
      <c r="B82" s="247"/>
    </row>
    <row r="83" spans="1:14" hidden="1">
      <c r="A83" s="232" t="s">
        <v>1668</v>
      </c>
      <c r="B83" s="244" t="s">
        <v>1615</v>
      </c>
    </row>
    <row r="84" spans="1:14" ht="10.050000000000001" hidden="1" customHeight="1">
      <c r="A84" s="232"/>
      <c r="B84" s="247"/>
    </row>
    <row r="85" spans="1:14" ht="25.05" hidden="1" customHeight="1">
      <c r="A85" s="232"/>
      <c r="B85" s="403" t="s">
        <v>1616</v>
      </c>
      <c r="C85" s="403"/>
      <c r="D85" s="403"/>
      <c r="E85" s="403"/>
      <c r="F85" s="438" t="s">
        <v>1644</v>
      </c>
      <c r="G85" s="438"/>
      <c r="H85" s="439" t="s">
        <v>1645</v>
      </c>
      <c r="I85" s="439"/>
      <c r="J85" s="439" t="s">
        <v>1646</v>
      </c>
      <c r="K85" s="439"/>
      <c r="L85" s="438" t="s">
        <v>1620</v>
      </c>
      <c r="M85" s="438"/>
      <c r="N85" s="243"/>
    </row>
    <row r="86" spans="1:14" ht="18" hidden="1" customHeight="1">
      <c r="B86" s="275" t="s">
        <v>812</v>
      </c>
      <c r="C86" s="283"/>
      <c r="D86" s="283"/>
      <c r="E86" s="284"/>
      <c r="F86" s="478">
        <f>'Blnct AR'!E1009</f>
        <v>0</v>
      </c>
      <c r="G86" s="478"/>
      <c r="H86" s="478">
        <f>-'Blnct AR'!I1014</f>
        <v>0</v>
      </c>
      <c r="I86" s="478"/>
      <c r="J86" s="478"/>
      <c r="K86" s="478"/>
      <c r="L86" s="478">
        <f>SUM(F86:K86)</f>
        <v>0</v>
      </c>
      <c r="M86" s="478"/>
    </row>
    <row r="87" spans="1:14" ht="18" hidden="1" customHeight="1">
      <c r="B87" s="251" t="s">
        <v>821</v>
      </c>
      <c r="C87" s="248"/>
      <c r="D87" s="248"/>
      <c r="E87" s="252"/>
      <c r="F87" s="473">
        <f>'Blnct AR'!E1019</f>
        <v>0</v>
      </c>
      <c r="G87" s="473"/>
      <c r="H87" s="473"/>
      <c r="I87" s="473"/>
      <c r="J87" s="473"/>
      <c r="K87" s="473"/>
      <c r="L87" s="473"/>
      <c r="M87" s="473"/>
    </row>
    <row r="88" spans="1:14" ht="18" hidden="1" customHeight="1">
      <c r="B88" s="251" t="s">
        <v>1669</v>
      </c>
      <c r="C88" s="248"/>
      <c r="D88" s="248"/>
      <c r="E88" s="252"/>
      <c r="F88" s="473">
        <f>'Blnct AR'!E1026</f>
        <v>0</v>
      </c>
      <c r="G88" s="473"/>
      <c r="H88" s="473"/>
      <c r="I88" s="473"/>
      <c r="J88" s="473"/>
      <c r="K88" s="473"/>
      <c r="L88" s="473"/>
      <c r="M88" s="473"/>
    </row>
    <row r="89" spans="1:14" ht="18" hidden="1" customHeight="1">
      <c r="B89" s="251" t="s">
        <v>1670</v>
      </c>
      <c r="C89" s="248"/>
      <c r="D89" s="248"/>
      <c r="E89" s="252"/>
      <c r="F89" s="473">
        <f>'Blnct AR'!E1029</f>
        <v>0</v>
      </c>
      <c r="G89" s="473"/>
      <c r="H89" s="473"/>
      <c r="I89" s="473"/>
      <c r="J89" s="473"/>
      <c r="K89" s="473"/>
      <c r="L89" s="473"/>
      <c r="M89" s="473"/>
    </row>
    <row r="90" spans="1:14" ht="18" hidden="1" customHeight="1">
      <c r="B90" s="254"/>
      <c r="C90" s="255"/>
      <c r="D90" s="255"/>
      <c r="E90" s="256" t="s">
        <v>1620</v>
      </c>
      <c r="F90" s="474">
        <f>SUM(F86:G89)</f>
        <v>0</v>
      </c>
      <c r="G90" s="474"/>
      <c r="H90" s="474">
        <f>SUM(H86:I89)</f>
        <v>0</v>
      </c>
      <c r="I90" s="474"/>
      <c r="J90" s="474">
        <f>SUM(J86:K89)</f>
        <v>0</v>
      </c>
      <c r="K90" s="474"/>
      <c r="L90" s="474">
        <f>SUM(L86:M89)</f>
        <v>0</v>
      </c>
      <c r="M90" s="474"/>
    </row>
    <row r="91" spans="1:14" ht="10.050000000000001" hidden="1" customHeight="1">
      <c r="B91" s="242"/>
      <c r="C91" s="242"/>
      <c r="D91" s="242"/>
      <c r="E91" s="242"/>
      <c r="F91" s="243"/>
      <c r="G91" s="243"/>
      <c r="H91" s="243"/>
      <c r="I91" s="243"/>
      <c r="J91" s="243"/>
      <c r="K91" s="243"/>
      <c r="L91" s="243"/>
      <c r="M91" s="243"/>
    </row>
    <row r="92" spans="1:14" hidden="1">
      <c r="A92" s="232" t="s">
        <v>1671</v>
      </c>
      <c r="B92" s="244" t="s">
        <v>1672</v>
      </c>
    </row>
    <row r="93" spans="1:14" ht="10.050000000000001" hidden="1" customHeight="1">
      <c r="A93" s="232"/>
      <c r="B93" s="247"/>
    </row>
    <row r="94" spans="1:14" ht="25.05" hidden="1" customHeight="1">
      <c r="A94" s="232"/>
      <c r="B94" s="482" t="s">
        <v>1616</v>
      </c>
      <c r="C94" s="482"/>
      <c r="D94" s="482"/>
      <c r="E94" s="482"/>
      <c r="F94" s="472" t="s">
        <v>1623</v>
      </c>
      <c r="G94" s="472"/>
      <c r="H94" s="472" t="s">
        <v>1625</v>
      </c>
      <c r="I94" s="472"/>
      <c r="J94" s="472" t="s">
        <v>1636</v>
      </c>
      <c r="K94" s="472"/>
      <c r="L94" s="472" t="s">
        <v>1628</v>
      </c>
      <c r="M94" s="472"/>
      <c r="N94" s="243"/>
    </row>
    <row r="95" spans="1:14" ht="18" hidden="1" customHeight="1">
      <c r="B95" s="251" t="s">
        <v>812</v>
      </c>
      <c r="C95" s="233"/>
      <c r="D95" s="233"/>
      <c r="E95" s="253"/>
      <c r="F95" s="478">
        <f>-'Blnct AR'!E1007</f>
        <v>0</v>
      </c>
      <c r="G95" s="478"/>
      <c r="H95" s="478">
        <f>'Blnct AR'!G1007</f>
        <v>0</v>
      </c>
      <c r="I95" s="478"/>
      <c r="J95" s="478">
        <f>'Blnct AR'!F1007</f>
        <v>0</v>
      </c>
      <c r="K95" s="478"/>
      <c r="L95" s="485">
        <f>F95+H95-J95</f>
        <v>0</v>
      </c>
      <c r="M95" s="485"/>
      <c r="N95" s="250"/>
    </row>
    <row r="96" spans="1:14" ht="18" hidden="1" customHeight="1">
      <c r="B96" s="251" t="s">
        <v>821</v>
      </c>
      <c r="C96" s="248"/>
      <c r="D96" s="248"/>
      <c r="E96" s="252"/>
      <c r="F96" s="473">
        <f>'Blnct AR'!E1019</f>
        <v>0</v>
      </c>
      <c r="G96" s="473"/>
      <c r="H96" s="473">
        <f>'Blnct AR'!G1019</f>
        <v>0</v>
      </c>
      <c r="I96" s="473"/>
      <c r="J96" s="473">
        <f>'Blnct AR'!F1019</f>
        <v>0</v>
      </c>
      <c r="K96" s="473"/>
      <c r="L96" s="483">
        <f>F96+H96-J96</f>
        <v>0</v>
      </c>
      <c r="M96" s="483"/>
      <c r="N96" s="250"/>
    </row>
    <row r="97" spans="1:14" ht="18" hidden="1" customHeight="1">
      <c r="B97" s="251" t="s">
        <v>1669</v>
      </c>
      <c r="C97" s="248"/>
      <c r="D97" s="248"/>
      <c r="E97" s="252"/>
      <c r="F97" s="473">
        <f>'Blnct AR'!E1026</f>
        <v>0</v>
      </c>
      <c r="G97" s="473"/>
      <c r="H97" s="473">
        <f>'Blnct AR'!G1026</f>
        <v>0</v>
      </c>
      <c r="I97" s="473"/>
      <c r="J97" s="473">
        <f>'Blnct AR'!F1026</f>
        <v>0</v>
      </c>
      <c r="K97" s="473"/>
      <c r="L97" s="483">
        <f>F97+H97-J97</f>
        <v>0</v>
      </c>
      <c r="M97" s="483"/>
      <c r="N97" s="250"/>
    </row>
    <row r="98" spans="1:14" ht="18" hidden="1" customHeight="1">
      <c r="B98" s="251" t="s">
        <v>1670</v>
      </c>
      <c r="C98" s="248"/>
      <c r="D98" s="248"/>
      <c r="E98" s="252"/>
      <c r="F98" s="473">
        <f>'Blnct AR'!E1029</f>
        <v>0</v>
      </c>
      <c r="G98" s="473"/>
      <c r="H98" s="473">
        <f>'Blnct AR'!G1029</f>
        <v>0</v>
      </c>
      <c r="I98" s="473"/>
      <c r="J98" s="473">
        <f>'Blnct AR'!F1029</f>
        <v>0</v>
      </c>
      <c r="K98" s="473"/>
      <c r="L98" s="483">
        <f>F98+H98-J98</f>
        <v>0</v>
      </c>
      <c r="M98" s="483"/>
      <c r="N98" s="250"/>
    </row>
    <row r="99" spans="1:14" ht="18" hidden="1" customHeight="1">
      <c r="B99" s="254"/>
      <c r="C99" s="255"/>
      <c r="D99" s="255"/>
      <c r="E99" s="256" t="s">
        <v>1620</v>
      </c>
      <c r="F99" s="474">
        <f>SUM(F95:G98)</f>
        <v>0</v>
      </c>
      <c r="G99" s="474"/>
      <c r="H99" s="474">
        <f>SUM(H95:I98)</f>
        <v>0</v>
      </c>
      <c r="I99" s="474"/>
      <c r="J99" s="474">
        <f>SUM(J95:K98)</f>
        <v>0</v>
      </c>
      <c r="K99" s="474"/>
      <c r="L99" s="484">
        <f>F99+H99-J99</f>
        <v>0</v>
      </c>
      <c r="M99" s="484"/>
      <c r="N99" s="250"/>
    </row>
    <row r="100" spans="1:14" ht="10.050000000000001" customHeight="1">
      <c r="N100" s="250"/>
    </row>
    <row r="101" spans="1:14">
      <c r="A101" s="232">
        <v>19</v>
      </c>
      <c r="B101" s="244" t="s">
        <v>1829</v>
      </c>
      <c r="N101" s="250"/>
    </row>
    <row r="102" spans="1:14" ht="10.050000000000001" customHeight="1">
      <c r="A102" s="232"/>
      <c r="B102" s="247"/>
      <c r="N102" s="250"/>
    </row>
    <row r="103" spans="1:14" ht="25.05" customHeight="1">
      <c r="A103" s="232"/>
      <c r="B103" s="424" t="s">
        <v>1616</v>
      </c>
      <c r="C103" s="425"/>
      <c r="D103" s="425"/>
      <c r="E103" s="425"/>
      <c r="F103" s="472" t="s">
        <v>1644</v>
      </c>
      <c r="G103" s="472"/>
      <c r="H103" s="472" t="s">
        <v>1620</v>
      </c>
      <c r="I103" s="472"/>
      <c r="J103" s="332"/>
      <c r="K103" s="333"/>
      <c r="N103" s="250"/>
    </row>
    <row r="104" spans="1:14" ht="18" customHeight="1">
      <c r="B104" s="251" t="s">
        <v>1673</v>
      </c>
      <c r="C104" s="248"/>
      <c r="D104" s="248"/>
      <c r="E104" s="248"/>
      <c r="F104" s="440">
        <f>-IF('Blnct AR'!I694&lt;0,'Blnct AR'!I694,0)</f>
        <v>350297382.29635</v>
      </c>
      <c r="G104" s="440"/>
      <c r="H104" s="440">
        <f t="shared" ref="H104:H111" si="3">F104</f>
        <v>350297382.29635</v>
      </c>
      <c r="I104" s="440"/>
      <c r="J104" s="334"/>
      <c r="K104" s="335"/>
      <c r="N104" s="250"/>
    </row>
    <row r="105" spans="1:14" ht="18" customHeight="1">
      <c r="B105" s="251" t="s">
        <v>776</v>
      </c>
      <c r="C105" s="248"/>
      <c r="D105" s="248"/>
      <c r="E105" s="248"/>
      <c r="F105" s="440">
        <f>-IF('Blnct AR'!I924&lt;0,'Blnct AR'!I924,0)</f>
        <v>0</v>
      </c>
      <c r="G105" s="440"/>
      <c r="H105" s="440">
        <f t="shared" si="3"/>
        <v>0</v>
      </c>
      <c r="I105" s="440"/>
      <c r="J105" s="334"/>
      <c r="K105" s="335"/>
      <c r="N105" s="250"/>
    </row>
    <row r="106" spans="1:14" ht="18" customHeight="1">
      <c r="B106" s="251" t="s">
        <v>554</v>
      </c>
      <c r="C106" s="248"/>
      <c r="D106" s="248"/>
      <c r="E106" s="248"/>
      <c r="F106" s="440">
        <f>-IF('Blnct AR'!I586&lt;0,'Blnct AR'!I586,0)</f>
        <v>22582269.530000001</v>
      </c>
      <c r="G106" s="440"/>
      <c r="H106" s="440">
        <f t="shared" si="3"/>
        <v>22582269.530000001</v>
      </c>
      <c r="I106" s="440"/>
      <c r="J106" s="334"/>
      <c r="K106" s="335"/>
      <c r="N106" s="250"/>
    </row>
    <row r="107" spans="1:14" ht="18" customHeight="1">
      <c r="B107" s="251" t="s">
        <v>875</v>
      </c>
      <c r="C107" s="233"/>
      <c r="D107" s="233"/>
      <c r="E107" s="233"/>
      <c r="F107" s="440">
        <f>-IF('Blnct AR'!I1036&lt;0,'Blnct AR'!I1036,0)</f>
        <v>16260072.529999994</v>
      </c>
      <c r="G107" s="440"/>
      <c r="H107" s="440">
        <f t="shared" si="3"/>
        <v>16260072.529999994</v>
      </c>
      <c r="I107" s="440"/>
      <c r="J107" s="334"/>
      <c r="K107" s="335"/>
      <c r="N107" s="250"/>
    </row>
    <row r="108" spans="1:14" ht="18" customHeight="1">
      <c r="B108" s="251" t="s">
        <v>1647</v>
      </c>
      <c r="C108" s="233"/>
      <c r="D108" s="233"/>
      <c r="E108" s="233"/>
      <c r="F108" s="440">
        <f>-IF('Blnct AR'!I1135&lt;0,'Blnct AR'!I1135,0)</f>
        <v>3443669.66</v>
      </c>
      <c r="G108" s="440"/>
      <c r="H108" s="440">
        <f t="shared" si="3"/>
        <v>3443669.66</v>
      </c>
      <c r="I108" s="440"/>
      <c r="J108" s="334"/>
      <c r="K108" s="335"/>
      <c r="N108" s="250"/>
    </row>
    <row r="109" spans="1:14" ht="18" customHeight="1">
      <c r="B109" s="251" t="s">
        <v>1312</v>
      </c>
      <c r="C109" s="233"/>
      <c r="D109" s="233"/>
      <c r="E109" s="233"/>
      <c r="F109" s="440">
        <f>-IF('Blnct AR'!I1181&lt;0,'Blnct AR'!I1181,0)</f>
        <v>4444631.95</v>
      </c>
      <c r="G109" s="440"/>
      <c r="H109" s="440">
        <f t="shared" si="3"/>
        <v>4444631.95</v>
      </c>
      <c r="I109" s="440"/>
      <c r="J109" s="334"/>
      <c r="K109" s="335"/>
      <c r="N109" s="250"/>
    </row>
    <row r="110" spans="1:14" ht="18" customHeight="1">
      <c r="B110" s="251" t="s">
        <v>1674</v>
      </c>
      <c r="C110" s="233"/>
      <c r="D110" s="233"/>
      <c r="E110" s="233"/>
      <c r="F110" s="440">
        <f>-IF('Blnct AR'!I1245&lt;0,'Blnct AR'!I1245,0)</f>
        <v>9345414.3100000005</v>
      </c>
      <c r="G110" s="440"/>
      <c r="H110" s="440">
        <f t="shared" si="3"/>
        <v>9345414.3100000005</v>
      </c>
      <c r="I110" s="440"/>
      <c r="J110" s="334"/>
      <c r="K110" s="335"/>
      <c r="N110" s="250"/>
    </row>
    <row r="111" spans="1:14" ht="18" customHeight="1">
      <c r="B111" s="251" t="s">
        <v>1649</v>
      </c>
      <c r="C111" s="233"/>
      <c r="D111" s="233"/>
      <c r="E111" s="233"/>
      <c r="F111" s="486">
        <f>-IF('Blnct AR'!I1294&lt;0,'Blnct AR'!I1294,0)-IF('Blnct AR'!I1321&lt;0,'Blnct AR'!I1321,0)</f>
        <v>2326968.2999999998</v>
      </c>
      <c r="G111" s="486"/>
      <c r="H111" s="440">
        <f t="shared" si="3"/>
        <v>2326968.2999999998</v>
      </c>
      <c r="I111" s="440"/>
      <c r="J111" s="336"/>
      <c r="K111" s="337"/>
      <c r="N111" s="250"/>
    </row>
    <row r="112" spans="1:14" ht="18" customHeight="1">
      <c r="B112" s="441" t="s">
        <v>1620</v>
      </c>
      <c r="C112" s="442"/>
      <c r="D112" s="442"/>
      <c r="E112" s="442"/>
      <c r="F112" s="444">
        <f>SUM(F104:G111)</f>
        <v>408700408.57634997</v>
      </c>
      <c r="G112" s="444"/>
      <c r="H112" s="444">
        <f>SUM(H104:I111)</f>
        <v>408700408.57634997</v>
      </c>
      <c r="I112" s="444"/>
      <c r="J112" s="338"/>
      <c r="K112" s="339"/>
      <c r="N112" s="250"/>
    </row>
    <row r="113" spans="6:14">
      <c r="F113" s="250"/>
      <c r="G113" s="250"/>
      <c r="H113" s="250"/>
      <c r="I113" s="250"/>
      <c r="J113" s="250"/>
      <c r="K113" s="250"/>
      <c r="L113" s="250"/>
      <c r="M113" s="250"/>
      <c r="N113" s="250"/>
    </row>
  </sheetData>
  <mergeCells count="265">
    <mergeCell ref="F110:G110"/>
    <mergeCell ref="H110:I110"/>
    <mergeCell ref="F111:G111"/>
    <mergeCell ref="H111:I111"/>
    <mergeCell ref="B112:E112"/>
    <mergeCell ref="F112:G112"/>
    <mergeCell ref="H112:I112"/>
    <mergeCell ref="F107:G107"/>
    <mergeCell ref="H107:I107"/>
    <mergeCell ref="F108:G108"/>
    <mergeCell ref="H108:I108"/>
    <mergeCell ref="F109:G109"/>
    <mergeCell ref="H109:I109"/>
    <mergeCell ref="F104:G104"/>
    <mergeCell ref="H104:I104"/>
    <mergeCell ref="F105:G105"/>
    <mergeCell ref="H105:I105"/>
    <mergeCell ref="F106:G106"/>
    <mergeCell ref="H106:I106"/>
    <mergeCell ref="F98:G98"/>
    <mergeCell ref="H98:I98"/>
    <mergeCell ref="J98:K98"/>
    <mergeCell ref="L98:M98"/>
    <mergeCell ref="F99:G99"/>
    <mergeCell ref="H99:I99"/>
    <mergeCell ref="J99:K99"/>
    <mergeCell ref="L99:M99"/>
    <mergeCell ref="B103:E103"/>
    <mergeCell ref="F103:G103"/>
    <mergeCell ref="H103:I103"/>
    <mergeCell ref="F95:G95"/>
    <mergeCell ref="H95:I95"/>
    <mergeCell ref="J95:K95"/>
    <mergeCell ref="L95:M95"/>
    <mergeCell ref="F96:G96"/>
    <mergeCell ref="H96:I96"/>
    <mergeCell ref="J96:K96"/>
    <mergeCell ref="L96:M96"/>
    <mergeCell ref="F97:G97"/>
    <mergeCell ref="H97:I97"/>
    <mergeCell ref="J97:K97"/>
    <mergeCell ref="L97:M97"/>
    <mergeCell ref="F89:G89"/>
    <mergeCell ref="H89:I89"/>
    <mergeCell ref="J89:K89"/>
    <mergeCell ref="L89:M89"/>
    <mergeCell ref="F90:G90"/>
    <mergeCell ref="H90:I90"/>
    <mergeCell ref="J90:K90"/>
    <mergeCell ref="L90:M90"/>
    <mergeCell ref="B94:E94"/>
    <mergeCell ref="F94:G94"/>
    <mergeCell ref="H94:I94"/>
    <mergeCell ref="J94:K94"/>
    <mergeCell ref="L94:M94"/>
    <mergeCell ref="F86:G86"/>
    <mergeCell ref="H86:I86"/>
    <mergeCell ref="J86:K86"/>
    <mergeCell ref="L86:M86"/>
    <mergeCell ref="F87:G87"/>
    <mergeCell ref="H87:I87"/>
    <mergeCell ref="J87:K87"/>
    <mergeCell ref="L87:M87"/>
    <mergeCell ref="F88:G88"/>
    <mergeCell ref="H88:I88"/>
    <mergeCell ref="J88:K88"/>
    <mergeCell ref="L88:M88"/>
    <mergeCell ref="F79:G79"/>
    <mergeCell ref="H79:I79"/>
    <mergeCell ref="J79:K79"/>
    <mergeCell ref="L79:M79"/>
    <mergeCell ref="B85:E85"/>
    <mergeCell ref="F85:G85"/>
    <mergeCell ref="H85:I85"/>
    <mergeCell ref="J85:K85"/>
    <mergeCell ref="L85:M85"/>
    <mergeCell ref="B77:E77"/>
    <mergeCell ref="F77:G77"/>
    <mergeCell ref="H77:I77"/>
    <mergeCell ref="J77:K77"/>
    <mergeCell ref="L77:M77"/>
    <mergeCell ref="F78:G78"/>
    <mergeCell ref="H78:I78"/>
    <mergeCell ref="J78:K78"/>
    <mergeCell ref="L78:M78"/>
    <mergeCell ref="B75:E75"/>
    <mergeCell ref="F75:G75"/>
    <mergeCell ref="H75:I75"/>
    <mergeCell ref="J75:K75"/>
    <mergeCell ref="L75:M75"/>
    <mergeCell ref="F76:G76"/>
    <mergeCell ref="H76:I76"/>
    <mergeCell ref="J76:K76"/>
    <mergeCell ref="L76:M76"/>
    <mergeCell ref="F70:G70"/>
    <mergeCell ref="H70:I70"/>
    <mergeCell ref="J70:K70"/>
    <mergeCell ref="L70:M70"/>
    <mergeCell ref="B74:E74"/>
    <mergeCell ref="F74:G74"/>
    <mergeCell ref="H74:I74"/>
    <mergeCell ref="J74:K74"/>
    <mergeCell ref="L74:M74"/>
    <mergeCell ref="F67:G67"/>
    <mergeCell ref="H67:I67"/>
    <mergeCell ref="J67:K67"/>
    <mergeCell ref="L67:M67"/>
    <mergeCell ref="F68:G68"/>
    <mergeCell ref="H68:I68"/>
    <mergeCell ref="J68:K68"/>
    <mergeCell ref="L68:M68"/>
    <mergeCell ref="F69:G69"/>
    <mergeCell ref="H69:I69"/>
    <mergeCell ref="J69:K69"/>
    <mergeCell ref="L69:M69"/>
    <mergeCell ref="B65:E65"/>
    <mergeCell ref="F65:G65"/>
    <mergeCell ref="H65:I65"/>
    <mergeCell ref="J65:K65"/>
    <mergeCell ref="L65:M65"/>
    <mergeCell ref="F66:G66"/>
    <mergeCell ref="H66:I66"/>
    <mergeCell ref="J66:K66"/>
    <mergeCell ref="L66:M66"/>
    <mergeCell ref="B58:E58"/>
    <mergeCell ref="F58:G58"/>
    <mergeCell ref="H58:I58"/>
    <mergeCell ref="F59:G59"/>
    <mergeCell ref="H59:I59"/>
    <mergeCell ref="F60:G60"/>
    <mergeCell ref="H60:I60"/>
    <mergeCell ref="B61:E61"/>
    <mergeCell ref="F61:G61"/>
    <mergeCell ref="H61:I61"/>
    <mergeCell ref="B55:E55"/>
    <mergeCell ref="F55:G55"/>
    <mergeCell ref="H55:I55"/>
    <mergeCell ref="B56:E56"/>
    <mergeCell ref="F56:G56"/>
    <mergeCell ref="H56:I56"/>
    <mergeCell ref="B57:E57"/>
    <mergeCell ref="F57:G57"/>
    <mergeCell ref="H57:I57"/>
    <mergeCell ref="F50:G50"/>
    <mergeCell ref="H50:I50"/>
    <mergeCell ref="J50:K50"/>
    <mergeCell ref="L50:M50"/>
    <mergeCell ref="B51:E51"/>
    <mergeCell ref="F51:G51"/>
    <mergeCell ref="H51:I51"/>
    <mergeCell ref="J51:K51"/>
    <mergeCell ref="L51:M51"/>
    <mergeCell ref="B48:E48"/>
    <mergeCell ref="F48:G48"/>
    <mergeCell ref="H48:I48"/>
    <mergeCell ref="J48:K48"/>
    <mergeCell ref="L48:M48"/>
    <mergeCell ref="F49:G49"/>
    <mergeCell ref="H49:I49"/>
    <mergeCell ref="J49:K49"/>
    <mergeCell ref="L49:M49"/>
    <mergeCell ref="B46:E46"/>
    <mergeCell ref="F46:G46"/>
    <mergeCell ref="H46:I46"/>
    <mergeCell ref="J46:K46"/>
    <mergeCell ref="L46:M46"/>
    <mergeCell ref="B47:E47"/>
    <mergeCell ref="F47:G47"/>
    <mergeCell ref="H47:I47"/>
    <mergeCell ref="J47:K47"/>
    <mergeCell ref="L47:M47"/>
    <mergeCell ref="B41:E41"/>
    <mergeCell ref="F41:G41"/>
    <mergeCell ref="H41:I41"/>
    <mergeCell ref="B45:E45"/>
    <mergeCell ref="F45:G45"/>
    <mergeCell ref="H45:I45"/>
    <mergeCell ref="J45:K45"/>
    <mergeCell ref="L45:M45"/>
    <mergeCell ref="F38:G38"/>
    <mergeCell ref="H38:I38"/>
    <mergeCell ref="F39:G39"/>
    <mergeCell ref="H39:I39"/>
    <mergeCell ref="F40:G40"/>
    <mergeCell ref="H40:I40"/>
    <mergeCell ref="F35:G35"/>
    <mergeCell ref="H35:I35"/>
    <mergeCell ref="F36:G36"/>
    <mergeCell ref="H36:I36"/>
    <mergeCell ref="F37:G37"/>
    <mergeCell ref="H37:I37"/>
    <mergeCell ref="F31:G31"/>
    <mergeCell ref="H31:I31"/>
    <mergeCell ref="F33:G33"/>
    <mergeCell ref="H33:I33"/>
    <mergeCell ref="F34:G34"/>
    <mergeCell ref="H34:I34"/>
    <mergeCell ref="H32:I32"/>
    <mergeCell ref="F32:G32"/>
    <mergeCell ref="B28:E28"/>
    <mergeCell ref="F28:G28"/>
    <mergeCell ref="H28:I28"/>
    <mergeCell ref="H29:I29"/>
    <mergeCell ref="F30:G30"/>
    <mergeCell ref="H30:I30"/>
    <mergeCell ref="F23:G23"/>
    <mergeCell ref="H23:I23"/>
    <mergeCell ref="J23:K23"/>
    <mergeCell ref="L23:M23"/>
    <mergeCell ref="B24:E24"/>
    <mergeCell ref="F24:G24"/>
    <mergeCell ref="H24:I24"/>
    <mergeCell ref="J24:K24"/>
    <mergeCell ref="L24:M24"/>
    <mergeCell ref="F20:G20"/>
    <mergeCell ref="H20:I20"/>
    <mergeCell ref="J20:K20"/>
    <mergeCell ref="L20:M20"/>
    <mergeCell ref="F21:G21"/>
    <mergeCell ref="H21:I21"/>
    <mergeCell ref="J21:K21"/>
    <mergeCell ref="L21:M21"/>
    <mergeCell ref="F22:G22"/>
    <mergeCell ref="H22:I22"/>
    <mergeCell ref="J22:K22"/>
    <mergeCell ref="L22:M22"/>
    <mergeCell ref="L17:M17"/>
    <mergeCell ref="F18:G18"/>
    <mergeCell ref="H18:I18"/>
    <mergeCell ref="J18:K18"/>
    <mergeCell ref="L18:M18"/>
    <mergeCell ref="F19:G19"/>
    <mergeCell ref="H19:I19"/>
    <mergeCell ref="J19:K19"/>
    <mergeCell ref="L19:M19"/>
    <mergeCell ref="F12:G12"/>
    <mergeCell ref="H12:I12"/>
    <mergeCell ref="J12:K12"/>
    <mergeCell ref="B13:E13"/>
    <mergeCell ref="F13:G13"/>
    <mergeCell ref="H13:I13"/>
    <mergeCell ref="J13:K13"/>
    <mergeCell ref="B17:E17"/>
    <mergeCell ref="F17:G17"/>
    <mergeCell ref="H17:I17"/>
    <mergeCell ref="J17:K17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B6:E6"/>
    <mergeCell ref="F6:G6"/>
    <mergeCell ref="H6:I6"/>
    <mergeCell ref="J6:K6"/>
    <mergeCell ref="F7:G7"/>
    <mergeCell ref="H7:I7"/>
    <mergeCell ref="J7:K7"/>
    <mergeCell ref="F8:G8"/>
    <mergeCell ref="H8:I8"/>
    <mergeCell ref="J8:K8"/>
  </mergeCells>
  <printOptions horizontalCentered="1"/>
  <pageMargins left="0.70833333333333304" right="0.70833333333333304" top="0.74791666666666701" bottom="0.74791666666666701" header="0.51180555555555496" footer="0.51180555555555496"/>
  <pageSetup paperSize="9" scale="84" firstPageNumber="0" orientation="portrait" horizontalDpi="300" verticalDpi="300" r:id="rId1"/>
  <rowBreaks count="1" manualBreakCount="1">
    <brk id="5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92"/>
  <sheetViews>
    <sheetView showGridLines="0" topLeftCell="A31" zoomScaleNormal="100" workbookViewId="0">
      <selection activeCell="T36" sqref="T36"/>
    </sheetView>
  </sheetViews>
  <sheetFormatPr defaultColWidth="8.77734375" defaultRowHeight="14.4"/>
  <cols>
    <col min="1" max="1" width="2.77734375" style="173" bestFit="1" customWidth="1"/>
    <col min="2" max="5" width="12.77734375" style="173" customWidth="1"/>
    <col min="6" max="15" width="7.21875" style="173" customWidth="1"/>
    <col min="16" max="16" width="8.44140625" style="173" customWidth="1"/>
    <col min="17" max="17" width="20" style="173" customWidth="1"/>
    <col min="18" max="1025" width="8.44140625" style="173" customWidth="1"/>
    <col min="1026" max="16384" width="8.77734375" style="173"/>
  </cols>
  <sheetData>
    <row r="1" spans="1:13">
      <c r="B1" s="311"/>
      <c r="C1" s="311"/>
      <c r="D1" s="311"/>
      <c r="E1" s="311"/>
      <c r="F1" s="234"/>
      <c r="G1" s="234"/>
      <c r="H1" s="234"/>
      <c r="I1" s="234"/>
      <c r="J1" s="234"/>
      <c r="K1" s="234"/>
      <c r="L1" s="234"/>
      <c r="M1" s="234"/>
    </row>
    <row r="2" spans="1:13">
      <c r="A2" s="312">
        <v>22</v>
      </c>
      <c r="B2" s="228" t="s">
        <v>943</v>
      </c>
      <c r="L2" s="234"/>
      <c r="M2" s="234"/>
    </row>
    <row r="3" spans="1:13" ht="10.050000000000001" customHeight="1">
      <c r="L3" s="234"/>
      <c r="M3" s="234"/>
    </row>
    <row r="4" spans="1:13" ht="25.05" customHeight="1">
      <c r="A4" s="233"/>
      <c r="B4" s="417" t="s">
        <v>1616</v>
      </c>
      <c r="C4" s="493"/>
      <c r="D4" s="493"/>
      <c r="E4" s="494"/>
      <c r="F4" s="495">
        <f>DBase!C4</f>
        <v>45658</v>
      </c>
      <c r="G4" s="495"/>
      <c r="H4" s="496">
        <f>F4-1</f>
        <v>45657</v>
      </c>
      <c r="I4" s="496"/>
      <c r="J4" s="497"/>
      <c r="K4" s="498"/>
      <c r="L4" s="234"/>
      <c r="M4" s="234"/>
    </row>
    <row r="5" spans="1:13" ht="18" customHeight="1">
      <c r="B5" s="499" t="s">
        <v>1675</v>
      </c>
      <c r="C5" s="499"/>
      <c r="D5" s="499"/>
      <c r="E5" s="499"/>
      <c r="F5" s="500"/>
      <c r="G5" s="500"/>
      <c r="H5" s="460"/>
      <c r="I5" s="460"/>
      <c r="J5" s="501"/>
      <c r="K5" s="501"/>
      <c r="L5" s="234"/>
      <c r="M5" s="234"/>
    </row>
    <row r="6" spans="1:13" ht="18" customHeight="1">
      <c r="B6" s="499" t="s">
        <v>943</v>
      </c>
      <c r="C6" s="499"/>
      <c r="D6" s="499"/>
      <c r="E6" s="499"/>
      <c r="F6" s="450">
        <f>'Blnct AR'!G1571</f>
        <v>95353814.710000008</v>
      </c>
      <c r="G6" s="450"/>
      <c r="H6" s="460"/>
      <c r="I6" s="460"/>
      <c r="J6" s="501"/>
      <c r="K6" s="501"/>
      <c r="L6" s="234"/>
      <c r="M6" s="234"/>
    </row>
    <row r="7" spans="1:13" ht="18" customHeight="1">
      <c r="B7" s="499" t="s">
        <v>1676</v>
      </c>
      <c r="C7" s="499"/>
      <c r="D7" s="499"/>
      <c r="E7" s="499"/>
      <c r="F7" s="450">
        <f>'Blnct AR'!G1080</f>
        <v>0</v>
      </c>
      <c r="G7" s="450"/>
      <c r="H7" s="460"/>
      <c r="I7" s="460"/>
      <c r="J7" s="501"/>
      <c r="K7" s="501"/>
      <c r="L7" s="234"/>
      <c r="M7" s="234"/>
    </row>
    <row r="8" spans="1:13" ht="18" customHeight="1">
      <c r="B8" s="313" t="s">
        <v>1677</v>
      </c>
      <c r="C8" s="314"/>
      <c r="D8" s="314"/>
      <c r="E8" s="314"/>
      <c r="F8" s="450">
        <f>'Blnct AR'!G1584</f>
        <v>0</v>
      </c>
      <c r="G8" s="450"/>
      <c r="H8" s="460"/>
      <c r="I8" s="460"/>
      <c r="J8" s="501"/>
      <c r="K8" s="501"/>
      <c r="L8" s="234"/>
      <c r="M8" s="234"/>
    </row>
    <row r="9" spans="1:13" ht="18" customHeight="1">
      <c r="B9" s="502" t="s">
        <v>1620</v>
      </c>
      <c r="C9" s="502"/>
      <c r="D9" s="502"/>
      <c r="E9" s="502"/>
      <c r="F9" s="464">
        <f>SUM(F6:G8)</f>
        <v>95353814.710000008</v>
      </c>
      <c r="G9" s="464"/>
      <c r="H9" s="503"/>
      <c r="I9" s="503"/>
      <c r="J9" s="501"/>
      <c r="K9" s="501"/>
      <c r="L9" s="234"/>
      <c r="M9" s="234"/>
    </row>
    <row r="10" spans="1:13" ht="10.050000000000001" customHeight="1">
      <c r="B10" s="311"/>
      <c r="C10" s="311"/>
      <c r="D10" s="311"/>
      <c r="E10" s="311"/>
      <c r="F10" s="234"/>
      <c r="G10" s="234"/>
      <c r="H10" s="234"/>
      <c r="I10" s="234"/>
      <c r="J10" s="234"/>
      <c r="K10" s="234"/>
      <c r="L10" s="234"/>
      <c r="M10" s="234"/>
    </row>
    <row r="11" spans="1:13" hidden="1">
      <c r="A11" s="312">
        <v>23</v>
      </c>
      <c r="B11" s="228" t="s">
        <v>1607</v>
      </c>
      <c r="J11" s="234"/>
      <c r="K11" s="234"/>
      <c r="L11" s="234"/>
      <c r="M11" s="234"/>
    </row>
    <row r="12" spans="1:13" hidden="1">
      <c r="J12" s="234"/>
      <c r="K12" s="234"/>
      <c r="L12" s="234"/>
      <c r="M12" s="234"/>
    </row>
    <row r="13" spans="1:13" ht="25.05" hidden="1" customHeight="1">
      <c r="A13" s="233"/>
      <c r="B13" s="504" t="s">
        <v>1616</v>
      </c>
      <c r="C13" s="504"/>
      <c r="D13" s="504"/>
      <c r="E13" s="504"/>
      <c r="F13" s="505">
        <f>DBase!C4</f>
        <v>45658</v>
      </c>
      <c r="G13" s="505"/>
      <c r="H13" s="505">
        <f>F13-1</f>
        <v>45657</v>
      </c>
      <c r="I13" s="505"/>
      <c r="J13" s="234"/>
      <c r="K13" s="234"/>
      <c r="L13" s="234"/>
      <c r="M13" s="234"/>
    </row>
    <row r="14" spans="1:13" ht="18" hidden="1" customHeight="1">
      <c r="B14" s="506" t="s">
        <v>1675</v>
      </c>
      <c r="C14" s="506"/>
      <c r="D14" s="506"/>
      <c r="E14" s="506"/>
      <c r="F14" s="507">
        <f>'Blnct AR'!G1636</f>
        <v>218473707.13999999</v>
      </c>
      <c r="G14" s="507"/>
      <c r="H14" s="507"/>
      <c r="I14" s="507"/>
      <c r="J14" s="234"/>
      <c r="K14" s="234"/>
      <c r="L14" s="234"/>
      <c r="M14" s="234"/>
    </row>
    <row r="15" spans="1:13" ht="18" hidden="1" customHeight="1">
      <c r="B15" s="313" t="s">
        <v>1677</v>
      </c>
      <c r="C15" s="314"/>
      <c r="D15" s="314"/>
      <c r="E15" s="314"/>
      <c r="F15" s="508">
        <f>'Blnct AR'!G1637</f>
        <v>0</v>
      </c>
      <c r="G15" s="508"/>
      <c r="H15" s="509"/>
      <c r="I15" s="509"/>
      <c r="J15" s="234"/>
      <c r="K15" s="234"/>
      <c r="L15" s="234"/>
      <c r="M15" s="234"/>
    </row>
    <row r="16" spans="1:13" ht="18" hidden="1" customHeight="1">
      <c r="B16" s="510" t="s">
        <v>1620</v>
      </c>
      <c r="C16" s="510"/>
      <c r="D16" s="510"/>
      <c r="E16" s="510"/>
      <c r="F16" s="511">
        <f>SUM(F14:G15)</f>
        <v>218473707.13999999</v>
      </c>
      <c r="G16" s="511"/>
      <c r="H16" s="511">
        <f>SUM(H14:I15)</f>
        <v>0</v>
      </c>
      <c r="I16" s="511"/>
      <c r="J16" s="234"/>
      <c r="K16" s="234"/>
      <c r="L16" s="234"/>
      <c r="M16" s="234"/>
    </row>
    <row r="17" spans="1:17" ht="10.050000000000001" customHeight="1"/>
    <row r="18" spans="1:17">
      <c r="A18" s="312">
        <v>27</v>
      </c>
      <c r="B18" s="228" t="s">
        <v>1678</v>
      </c>
    </row>
    <row r="19" spans="1:17" ht="10.050000000000001" customHeight="1"/>
    <row r="20" spans="1:17" ht="25.05" customHeight="1">
      <c r="A20" s="233"/>
      <c r="B20" s="424" t="s">
        <v>1616</v>
      </c>
      <c r="C20" s="425"/>
      <c r="D20" s="425"/>
      <c r="E20" s="425"/>
      <c r="F20" s="512" t="s">
        <v>1679</v>
      </c>
      <c r="G20" s="512"/>
      <c r="H20" s="482" t="s">
        <v>1680</v>
      </c>
      <c r="I20" s="482"/>
      <c r="J20" s="512" t="s">
        <v>1681</v>
      </c>
      <c r="K20" s="512"/>
      <c r="L20" s="512" t="s">
        <v>1682</v>
      </c>
      <c r="M20" s="512"/>
      <c r="N20" s="482" t="s">
        <v>1683</v>
      </c>
      <c r="O20" s="482"/>
    </row>
    <row r="21" spans="1:17" ht="18" customHeight="1">
      <c r="B21" s="513" t="s">
        <v>1684</v>
      </c>
      <c r="C21" s="514"/>
      <c r="D21" s="514"/>
      <c r="E21" s="514"/>
      <c r="F21" s="450">
        <f>'Blnct AR'!E147</f>
        <v>40682931.560000002</v>
      </c>
      <c r="G21" s="450"/>
      <c r="H21" s="450">
        <f>L21+N21-F21</f>
        <v>88851295.370000005</v>
      </c>
      <c r="I21" s="450"/>
      <c r="J21" s="450">
        <f>SUM('Blnct AR'!I1742,'Blnct AR'!F2133)</f>
        <v>0</v>
      </c>
      <c r="K21" s="450"/>
      <c r="L21" s="450">
        <f>'Blnct AR'!$I$147</f>
        <v>81037968.74000001</v>
      </c>
      <c r="M21" s="450"/>
      <c r="N21" s="515">
        <f>'Blnct AR'!$I$1807</f>
        <v>48496258.18999999</v>
      </c>
      <c r="O21" s="515"/>
      <c r="Q21" s="250"/>
    </row>
    <row r="22" spans="1:17" ht="18" customHeight="1">
      <c r="B22" s="513" t="s">
        <v>349</v>
      </c>
      <c r="C22" s="514"/>
      <c r="D22" s="514"/>
      <c r="E22" s="514"/>
      <c r="F22" s="450">
        <f>'Blnct AR'!E341</f>
        <v>0</v>
      </c>
      <c r="G22" s="450"/>
      <c r="H22" s="450">
        <f>'Blnct AR'!F341</f>
        <v>4500000</v>
      </c>
      <c r="I22" s="450"/>
      <c r="J22" s="450">
        <f>SUM('Blnct AR'!I2137,'Blnct AR'!I2060,'Blnct AR'!I1746)</f>
        <v>0</v>
      </c>
      <c r="K22" s="450"/>
      <c r="L22" s="450">
        <f>'Blnct AR'!I341</f>
        <v>4500000</v>
      </c>
      <c r="M22" s="450"/>
      <c r="N22" s="516">
        <f>F22+H22-J22-L22</f>
        <v>0</v>
      </c>
      <c r="O22" s="517"/>
    </row>
    <row r="23" spans="1:17" ht="18" customHeight="1">
      <c r="B23" s="518" t="s">
        <v>1620</v>
      </c>
      <c r="C23" s="519"/>
      <c r="D23" s="519"/>
      <c r="E23" s="519"/>
      <c r="F23" s="520">
        <f>SUM(F21:G22)</f>
        <v>40682931.560000002</v>
      </c>
      <c r="G23" s="520"/>
      <c r="H23" s="520">
        <f>SUM(H21:I22)</f>
        <v>93351295.370000005</v>
      </c>
      <c r="I23" s="520"/>
      <c r="J23" s="520">
        <f>SUM(J21:K22)</f>
        <v>0</v>
      </c>
      <c r="K23" s="520"/>
      <c r="L23" s="520">
        <f>SUM(L21:M22)</f>
        <v>85537968.74000001</v>
      </c>
      <c r="M23" s="520"/>
      <c r="N23" s="520">
        <f>SUM(N21:O22)</f>
        <v>48496258.18999999</v>
      </c>
      <c r="O23" s="520"/>
    </row>
    <row r="24" spans="1:17" ht="10.050000000000001" customHeight="1">
      <c r="B24" s="311"/>
      <c r="C24" s="311"/>
      <c r="D24" s="311"/>
      <c r="E24" s="311"/>
      <c r="F24" s="234"/>
      <c r="G24" s="234"/>
      <c r="H24" s="234"/>
      <c r="I24" s="234"/>
      <c r="J24" s="234"/>
      <c r="K24" s="234"/>
      <c r="L24" s="234"/>
      <c r="M24" s="234"/>
    </row>
    <row r="25" spans="1:17">
      <c r="A25" s="312">
        <v>28</v>
      </c>
      <c r="B25" s="228" t="s">
        <v>1685</v>
      </c>
      <c r="J25" s="234"/>
      <c r="K25" s="234"/>
      <c r="L25" s="234"/>
      <c r="M25" s="234"/>
    </row>
    <row r="26" spans="1:17" ht="10.050000000000001" customHeight="1">
      <c r="J26" s="234"/>
      <c r="K26" s="234"/>
      <c r="L26" s="234"/>
      <c r="M26" s="234"/>
    </row>
    <row r="27" spans="1:17" ht="25.05" customHeight="1">
      <c r="A27" s="233"/>
      <c r="B27" s="424" t="s">
        <v>1616</v>
      </c>
      <c r="C27" s="425"/>
      <c r="D27" s="425"/>
      <c r="E27" s="425"/>
      <c r="F27" s="521">
        <f>DBase!C4</f>
        <v>45658</v>
      </c>
      <c r="G27" s="521"/>
      <c r="H27" s="522">
        <f>F27-1</f>
        <v>45657</v>
      </c>
      <c r="I27" s="523"/>
      <c r="J27" s="234"/>
      <c r="K27" s="234"/>
      <c r="L27" s="234"/>
      <c r="M27" s="234"/>
    </row>
    <row r="28" spans="1:17" ht="18" customHeight="1">
      <c r="B28" s="513" t="s">
        <v>1824</v>
      </c>
      <c r="C28" s="514"/>
      <c r="D28" s="514"/>
      <c r="E28" s="514"/>
      <c r="F28" s="524">
        <f>SUM('Blnct AR'!F1831,'Blnct AR'!F1879)</f>
        <v>28034340.199999999</v>
      </c>
      <c r="G28" s="524"/>
      <c r="H28" s="525"/>
      <c r="I28" s="526"/>
      <c r="J28" s="234"/>
      <c r="K28" s="234"/>
      <c r="L28" s="234"/>
      <c r="M28" s="315"/>
    </row>
    <row r="29" spans="1:17" ht="18" customHeight="1">
      <c r="B29" s="513" t="s">
        <v>1317</v>
      </c>
      <c r="C29" s="514"/>
      <c r="D29" s="514"/>
      <c r="E29" s="514"/>
      <c r="F29" s="524">
        <f>'Blnct AR'!F1883</f>
        <v>0</v>
      </c>
      <c r="G29" s="524"/>
      <c r="H29" s="525"/>
      <c r="I29" s="526"/>
      <c r="J29" s="234"/>
      <c r="K29" s="234"/>
      <c r="L29" s="234"/>
      <c r="M29" s="315"/>
    </row>
    <row r="30" spans="1:17" ht="18" customHeight="1">
      <c r="B30" s="513" t="s">
        <v>1318</v>
      </c>
      <c r="C30" s="514"/>
      <c r="D30" s="514"/>
      <c r="E30" s="514"/>
      <c r="F30" s="524">
        <f>'Blnct AR'!F1888</f>
        <v>0</v>
      </c>
      <c r="G30" s="524"/>
      <c r="H30" s="525"/>
      <c r="I30" s="526"/>
      <c r="J30" s="234"/>
      <c r="K30" s="234"/>
      <c r="L30" s="234"/>
      <c r="M30" s="234"/>
    </row>
    <row r="31" spans="1:17" ht="18" customHeight="1">
      <c r="B31" s="318" t="s">
        <v>1319</v>
      </c>
      <c r="C31" s="314"/>
      <c r="D31" s="314"/>
      <c r="E31" s="314"/>
      <c r="F31" s="524">
        <f>'Blnct AR'!F1893</f>
        <v>5003962.49</v>
      </c>
      <c r="G31" s="524"/>
      <c r="H31" s="525"/>
      <c r="I31" s="526"/>
      <c r="J31" s="234"/>
      <c r="K31" s="315"/>
      <c r="L31" s="234"/>
      <c r="M31" s="234"/>
    </row>
    <row r="32" spans="1:17" ht="18" customHeight="1">
      <c r="B32" s="518" t="s">
        <v>1620</v>
      </c>
      <c r="C32" s="519"/>
      <c r="D32" s="519"/>
      <c r="E32" s="519"/>
      <c r="F32" s="527">
        <f>SUM(F28:G31)</f>
        <v>33038302.689999998</v>
      </c>
      <c r="G32" s="527"/>
      <c r="H32" s="528">
        <f>SUM(H30:I31)</f>
        <v>0</v>
      </c>
      <c r="I32" s="529"/>
      <c r="J32" s="234"/>
      <c r="K32" s="234"/>
      <c r="L32" s="234"/>
      <c r="M32" s="234"/>
    </row>
    <row r="33" spans="1:16">
      <c r="B33" s="311"/>
      <c r="C33" s="311"/>
      <c r="D33" s="311"/>
      <c r="E33" s="311"/>
      <c r="F33" s="497"/>
      <c r="G33" s="497"/>
      <c r="H33" s="530">
        <f>DBase!D12</f>
        <v>1</v>
      </c>
      <c r="I33" s="531"/>
      <c r="J33" s="234"/>
      <c r="K33" s="234"/>
      <c r="L33" s="234"/>
      <c r="M33" s="234"/>
    </row>
    <row r="34" spans="1:16" ht="10.050000000000001" customHeight="1">
      <c r="B34" s="311"/>
      <c r="C34" s="311"/>
      <c r="D34" s="311"/>
      <c r="E34" s="311"/>
      <c r="F34" s="234"/>
      <c r="G34" s="234"/>
      <c r="H34" s="234"/>
      <c r="I34" s="234"/>
      <c r="J34" s="234"/>
      <c r="K34" s="234"/>
      <c r="L34" s="234"/>
      <c r="M34" s="234"/>
    </row>
    <row r="35" spans="1:16">
      <c r="A35" s="312">
        <v>30</v>
      </c>
      <c r="B35" s="228" t="s">
        <v>1424</v>
      </c>
    </row>
    <row r="36" spans="1:16" ht="10.050000000000001" customHeight="1"/>
    <row r="37" spans="1:16" ht="25.05" customHeight="1">
      <c r="A37" s="233"/>
      <c r="B37" s="424" t="s">
        <v>1616</v>
      </c>
      <c r="C37" s="425"/>
      <c r="D37" s="425"/>
      <c r="E37" s="425"/>
      <c r="F37" s="521">
        <f>DBase!C4</f>
        <v>45658</v>
      </c>
      <c r="G37" s="521"/>
      <c r="H37" s="532">
        <f>F37-1</f>
        <v>45657</v>
      </c>
      <c r="I37" s="533"/>
      <c r="J37" s="497"/>
      <c r="K37" s="498"/>
      <c r="L37" s="497"/>
      <c r="M37" s="497"/>
      <c r="N37" s="233"/>
      <c r="O37" s="233"/>
      <c r="P37" s="233"/>
    </row>
    <row r="38" spans="1:16" ht="18" customHeight="1">
      <c r="B38" s="513" t="s">
        <v>1686</v>
      </c>
      <c r="C38" s="514"/>
      <c r="D38" s="514"/>
      <c r="E38" s="514"/>
      <c r="F38" s="450">
        <f>'Blnct AR'!I1934</f>
        <v>51542269.740000002</v>
      </c>
      <c r="G38" s="450"/>
      <c r="H38" s="534"/>
      <c r="I38" s="535"/>
      <c r="J38" s="501"/>
      <c r="K38" s="501"/>
      <c r="L38" s="501"/>
      <c r="M38" s="501"/>
    </row>
    <row r="39" spans="1:16" ht="18" customHeight="1">
      <c r="B39" s="513" t="s">
        <v>1687</v>
      </c>
      <c r="C39" s="514"/>
      <c r="D39" s="514"/>
      <c r="E39" s="514"/>
      <c r="F39" s="500">
        <f>'Blnct AR'!I2016+'Blnct AR'!I2026+'Blnct AR'!I2038</f>
        <v>92283683.5</v>
      </c>
      <c r="G39" s="500"/>
      <c r="H39" s="534"/>
      <c r="I39" s="535"/>
      <c r="J39" s="501"/>
      <c r="K39" s="501"/>
      <c r="L39" s="501"/>
      <c r="M39" s="501"/>
    </row>
    <row r="40" spans="1:16" ht="18" customHeight="1">
      <c r="B40" s="513" t="s">
        <v>1826</v>
      </c>
      <c r="C40" s="514"/>
      <c r="D40" s="514"/>
      <c r="E40" s="514"/>
      <c r="F40" s="450">
        <f>'Blnct AR'!$I$1946</f>
        <v>2072681.2599999998</v>
      </c>
      <c r="G40" s="450"/>
      <c r="H40" s="534"/>
      <c r="I40" s="535"/>
      <c r="J40" s="501"/>
      <c r="K40" s="501"/>
      <c r="L40" s="501"/>
      <c r="M40" s="501"/>
    </row>
    <row r="41" spans="1:16" ht="18" customHeight="1">
      <c r="B41" s="513" t="s">
        <v>1351</v>
      </c>
      <c r="C41" s="514"/>
      <c r="D41" s="514"/>
      <c r="E41" s="514"/>
      <c r="F41" s="450">
        <f>'Blnct AR'!I1955+'Blnct AR'!I1995</f>
        <v>38729353.320000008</v>
      </c>
      <c r="G41" s="450"/>
      <c r="H41" s="324"/>
      <c r="I41" s="325"/>
      <c r="J41" s="234"/>
      <c r="K41" s="315"/>
      <c r="L41" s="234"/>
      <c r="M41" s="234"/>
    </row>
    <row r="42" spans="1:16" ht="18" customHeight="1">
      <c r="B42" s="513" t="s">
        <v>1360</v>
      </c>
      <c r="C42" s="514"/>
      <c r="D42" s="514"/>
      <c r="E42" s="514"/>
      <c r="F42" s="450">
        <f>'Blnct AR'!$I$1969</f>
        <v>1459803.5100000002</v>
      </c>
      <c r="G42" s="450"/>
      <c r="H42" s="324"/>
      <c r="I42" s="325"/>
      <c r="J42" s="234"/>
      <c r="K42" s="315"/>
      <c r="L42" s="234"/>
      <c r="M42" s="234"/>
    </row>
    <row r="43" spans="1:16" ht="18" customHeight="1">
      <c r="B43" s="513" t="s">
        <v>1364</v>
      </c>
      <c r="C43" s="514"/>
      <c r="D43" s="514"/>
      <c r="E43" s="514"/>
      <c r="F43" s="450">
        <f>'Blnct AR'!$I$1974</f>
        <v>14179507.6</v>
      </c>
      <c r="G43" s="450"/>
      <c r="H43" s="324"/>
      <c r="I43" s="325"/>
      <c r="J43" s="234"/>
      <c r="K43" s="234"/>
      <c r="L43" s="234"/>
      <c r="M43" s="234"/>
    </row>
    <row r="44" spans="1:16" ht="18" customHeight="1">
      <c r="B44" s="513" t="s">
        <v>124</v>
      </c>
      <c r="C44" s="514"/>
      <c r="D44" s="514"/>
      <c r="E44" s="514"/>
      <c r="F44" s="450">
        <f>'Blnct AR'!$I$1982</f>
        <v>972249.05999999994</v>
      </c>
      <c r="G44" s="450"/>
      <c r="H44" s="324"/>
      <c r="I44" s="325"/>
      <c r="J44" s="234"/>
      <c r="K44" s="234"/>
      <c r="L44" s="234"/>
      <c r="M44" s="234"/>
    </row>
    <row r="45" spans="1:16" ht="18" customHeight="1">
      <c r="B45" s="513" t="s">
        <v>1372</v>
      </c>
      <c r="C45" s="514"/>
      <c r="D45" s="514"/>
      <c r="E45" s="514"/>
      <c r="F45" s="450">
        <f>'Blnct AR'!I1987</f>
        <v>12749394.010000002</v>
      </c>
      <c r="G45" s="450"/>
      <c r="H45" s="324"/>
      <c r="I45" s="325"/>
      <c r="J45" s="234"/>
      <c r="K45" s="234"/>
      <c r="L45" s="234"/>
      <c r="M45" s="234"/>
    </row>
    <row r="46" spans="1:16" ht="18" customHeight="1">
      <c r="B46" s="513" t="s">
        <v>1409</v>
      </c>
      <c r="C46" s="514"/>
      <c r="D46" s="514"/>
      <c r="E46" s="514"/>
      <c r="F46" s="450">
        <f>'Blnct AR'!I2040</f>
        <v>1752340</v>
      </c>
      <c r="G46" s="450"/>
      <c r="H46" s="324"/>
      <c r="I46" s="325"/>
      <c r="J46" s="234"/>
      <c r="K46" s="234"/>
      <c r="L46" s="234"/>
      <c r="M46" s="234"/>
    </row>
    <row r="47" spans="1:16" ht="18" hidden="1" customHeight="1">
      <c r="B47" s="341" t="s">
        <v>1688</v>
      </c>
      <c r="C47" s="342"/>
      <c r="D47" s="342"/>
      <c r="E47" s="342"/>
      <c r="F47" s="536">
        <f>'Blnct AR'!I2060</f>
        <v>0</v>
      </c>
      <c r="G47" s="536"/>
      <c r="H47" s="324"/>
      <c r="I47" s="325"/>
      <c r="J47" s="234"/>
      <c r="K47" s="234"/>
      <c r="L47" s="234"/>
      <c r="M47" s="234"/>
    </row>
    <row r="48" spans="1:16" ht="18" customHeight="1">
      <c r="B48" s="318" t="s">
        <v>1689</v>
      </c>
      <c r="C48" s="249"/>
      <c r="D48" s="249"/>
      <c r="E48" s="249"/>
      <c r="F48" s="450">
        <f>'Blnct AR'!I2061</f>
        <v>0</v>
      </c>
      <c r="G48" s="450"/>
      <c r="H48" s="534"/>
      <c r="I48" s="535"/>
      <c r="J48" s="501"/>
      <c r="K48" s="501"/>
      <c r="L48" s="501"/>
      <c r="M48" s="501"/>
    </row>
    <row r="49" spans="1:13" ht="18" customHeight="1">
      <c r="B49" s="518" t="s">
        <v>1620</v>
      </c>
      <c r="C49" s="519"/>
      <c r="D49" s="519"/>
      <c r="E49" s="519"/>
      <c r="F49" s="520">
        <f>SUM(F38:G48)</f>
        <v>215741281.99999997</v>
      </c>
      <c r="G49" s="520"/>
      <c r="H49" s="537">
        <f>SUM(H40:I48,H38)</f>
        <v>0</v>
      </c>
      <c r="I49" s="538"/>
      <c r="J49" s="501"/>
      <c r="K49" s="501"/>
      <c r="L49" s="501"/>
      <c r="M49" s="501"/>
    </row>
    <row r="50" spans="1:13" ht="10.050000000000001" customHeight="1"/>
    <row r="51" spans="1:13">
      <c r="A51" s="312">
        <v>31</v>
      </c>
      <c r="B51" s="228" t="s">
        <v>1611</v>
      </c>
    </row>
    <row r="52" spans="1:13" ht="10.050000000000001" customHeight="1"/>
    <row r="53" spans="1:13" ht="25.05" customHeight="1">
      <c r="A53" s="233"/>
      <c r="B53" s="424" t="s">
        <v>1616</v>
      </c>
      <c r="C53" s="425"/>
      <c r="D53" s="425"/>
      <c r="E53" s="425"/>
      <c r="F53" s="539">
        <f>DBase!C4</f>
        <v>45658</v>
      </c>
      <c r="G53" s="540"/>
      <c r="H53" s="533">
        <f>F53-1</f>
        <v>45657</v>
      </c>
      <c r="I53" s="496"/>
    </row>
    <row r="54" spans="1:13" ht="18" customHeight="1">
      <c r="B54" s="541" t="s">
        <v>1690</v>
      </c>
      <c r="C54" s="542"/>
      <c r="D54" s="542"/>
      <c r="E54" s="542"/>
      <c r="F54" s="489"/>
      <c r="G54" s="490"/>
      <c r="H54" s="543"/>
      <c r="I54" s="544"/>
    </row>
    <row r="55" spans="1:13" ht="18" customHeight="1">
      <c r="B55" s="545" t="s">
        <v>945</v>
      </c>
      <c r="C55" s="546"/>
      <c r="D55" s="546"/>
      <c r="E55" s="546"/>
      <c r="F55" s="489"/>
      <c r="G55" s="490"/>
      <c r="H55" s="543"/>
      <c r="I55" s="544"/>
    </row>
    <row r="56" spans="1:13" ht="18" customHeight="1">
      <c r="B56" s="547" t="s">
        <v>1213</v>
      </c>
      <c r="C56" s="548"/>
      <c r="D56" s="548"/>
      <c r="E56" s="548"/>
      <c r="F56" s="487">
        <f>-'Blnct AR'!I1689</f>
        <v>0</v>
      </c>
      <c r="G56" s="488"/>
      <c r="H56" s="543"/>
      <c r="I56" s="544"/>
    </row>
    <row r="57" spans="1:13" ht="18" hidden="1" customHeight="1">
      <c r="B57" s="547" t="s">
        <v>245</v>
      </c>
      <c r="C57" s="548"/>
      <c r="D57" s="548"/>
      <c r="E57" s="548"/>
      <c r="F57" s="487">
        <f>'Blnct AR'!I1694</f>
        <v>0</v>
      </c>
      <c r="G57" s="488"/>
      <c r="H57" s="543"/>
      <c r="I57" s="544"/>
    </row>
    <row r="58" spans="1:13" ht="18" hidden="1" customHeight="1">
      <c r="B58" s="545" t="s">
        <v>1691</v>
      </c>
      <c r="C58" s="546"/>
      <c r="D58" s="546"/>
      <c r="E58" s="546"/>
      <c r="F58" s="321"/>
      <c r="G58" s="319"/>
      <c r="H58" s="326"/>
      <c r="I58" s="327"/>
    </row>
    <row r="59" spans="1:13" ht="18" hidden="1" customHeight="1">
      <c r="B59" s="547" t="s">
        <v>1213</v>
      </c>
      <c r="C59" s="548"/>
      <c r="D59" s="548"/>
      <c r="E59" s="548"/>
      <c r="F59" s="487">
        <f>'Blnct AR'!I1705</f>
        <v>0</v>
      </c>
      <c r="G59" s="488"/>
      <c r="H59" s="326"/>
      <c r="I59" s="327"/>
    </row>
    <row r="60" spans="1:13" ht="18" hidden="1" customHeight="1">
      <c r="B60" s="547" t="s">
        <v>245</v>
      </c>
      <c r="C60" s="548"/>
      <c r="D60" s="548"/>
      <c r="E60" s="548"/>
      <c r="F60" s="487">
        <v>0</v>
      </c>
      <c r="G60" s="488"/>
      <c r="H60" s="326"/>
      <c r="I60" s="327"/>
    </row>
    <row r="61" spans="1:13" ht="18" hidden="1" customHeight="1">
      <c r="B61" s="545" t="s">
        <v>1692</v>
      </c>
      <c r="C61" s="546"/>
      <c r="D61" s="546"/>
      <c r="E61" s="546"/>
      <c r="F61" s="491"/>
      <c r="G61" s="492"/>
      <c r="H61" s="326"/>
      <c r="I61" s="327"/>
    </row>
    <row r="62" spans="1:13" ht="18" hidden="1" customHeight="1">
      <c r="B62" s="547" t="s">
        <v>1213</v>
      </c>
      <c r="C62" s="548"/>
      <c r="D62" s="548"/>
      <c r="E62" s="548"/>
      <c r="F62" s="487">
        <f>'Blnct AR'!I1707</f>
        <v>0</v>
      </c>
      <c r="G62" s="488"/>
      <c r="H62" s="326"/>
      <c r="I62" s="327"/>
    </row>
    <row r="63" spans="1:13" ht="18" hidden="1" customHeight="1">
      <c r="B63" s="547" t="s">
        <v>245</v>
      </c>
      <c r="C63" s="548"/>
      <c r="D63" s="548"/>
      <c r="E63" s="548"/>
      <c r="F63" s="487">
        <v>0</v>
      </c>
      <c r="G63" s="488"/>
      <c r="H63" s="326"/>
      <c r="I63" s="327"/>
    </row>
    <row r="64" spans="1:13" ht="18" hidden="1" customHeight="1">
      <c r="B64" s="545" t="s">
        <v>1693</v>
      </c>
      <c r="C64" s="546"/>
      <c r="D64" s="546"/>
      <c r="E64" s="546"/>
      <c r="F64" s="489"/>
      <c r="G64" s="490"/>
      <c r="H64" s="326"/>
      <c r="I64" s="327"/>
    </row>
    <row r="65" spans="2:9" ht="18" hidden="1" customHeight="1">
      <c r="B65" s="547" t="s">
        <v>1213</v>
      </c>
      <c r="C65" s="548"/>
      <c r="D65" s="548"/>
      <c r="E65" s="548"/>
      <c r="F65" s="487">
        <f>'Blnct AR'!I1712</f>
        <v>0</v>
      </c>
      <c r="G65" s="488"/>
      <c r="H65" s="326"/>
      <c r="I65" s="327"/>
    </row>
    <row r="66" spans="2:9" ht="18" hidden="1" customHeight="1">
      <c r="B66" s="547" t="s">
        <v>245</v>
      </c>
      <c r="C66" s="548"/>
      <c r="D66" s="548"/>
      <c r="E66" s="548"/>
      <c r="F66" s="487">
        <f>'Blnct AR'!$I$1718</f>
        <v>0</v>
      </c>
      <c r="G66" s="488"/>
      <c r="H66" s="326"/>
      <c r="I66" s="327"/>
    </row>
    <row r="67" spans="2:9" ht="18" hidden="1" customHeight="1">
      <c r="B67" s="545" t="s">
        <v>1694</v>
      </c>
      <c r="C67" s="546"/>
      <c r="D67" s="546"/>
      <c r="E67" s="546"/>
      <c r="F67" s="489"/>
      <c r="G67" s="490"/>
      <c r="H67" s="326"/>
      <c r="I67" s="327"/>
    </row>
    <row r="68" spans="2:9" ht="18" hidden="1" customHeight="1">
      <c r="B68" s="547" t="s">
        <v>1695</v>
      </c>
      <c r="C68" s="548"/>
      <c r="D68" s="548"/>
      <c r="E68" s="548"/>
      <c r="F68" s="487">
        <f>'Blnct AR'!I1734</f>
        <v>0</v>
      </c>
      <c r="G68" s="488"/>
      <c r="H68" s="326"/>
      <c r="I68" s="327"/>
    </row>
    <row r="69" spans="2:9" ht="18" hidden="1" customHeight="1">
      <c r="B69" s="547" t="s">
        <v>1696</v>
      </c>
      <c r="C69" s="548"/>
      <c r="D69" s="548"/>
      <c r="E69" s="548"/>
      <c r="F69" s="489">
        <v>0</v>
      </c>
      <c r="G69" s="490"/>
      <c r="H69" s="326"/>
      <c r="I69" s="327"/>
    </row>
    <row r="70" spans="2:9" ht="18" hidden="1" customHeight="1">
      <c r="B70" s="547" t="s">
        <v>1697</v>
      </c>
      <c r="C70" s="548"/>
      <c r="D70" s="548"/>
      <c r="E70" s="548"/>
      <c r="F70" s="489">
        <f>'Blnct AR'!G1728</f>
        <v>0</v>
      </c>
      <c r="G70" s="490"/>
      <c r="H70" s="326"/>
      <c r="I70" s="327"/>
    </row>
    <row r="71" spans="2:9" ht="18" customHeight="1">
      <c r="B71" s="545" t="s">
        <v>1698</v>
      </c>
      <c r="C71" s="546"/>
      <c r="D71" s="546"/>
      <c r="E71" s="546"/>
      <c r="F71" s="489"/>
      <c r="G71" s="490"/>
      <c r="H71" s="326"/>
      <c r="I71" s="327"/>
    </row>
    <row r="72" spans="2:9" ht="18" hidden="1" customHeight="1">
      <c r="B72" s="547" t="s">
        <v>1204</v>
      </c>
      <c r="C72" s="548"/>
      <c r="D72" s="548"/>
      <c r="E72" s="548"/>
      <c r="F72" s="487">
        <f>'Blnct AR'!I1701</f>
        <v>0</v>
      </c>
      <c r="G72" s="488"/>
      <c r="H72" s="326"/>
      <c r="I72" s="327"/>
    </row>
    <row r="73" spans="2:9" ht="18" customHeight="1">
      <c r="B73" s="547" t="s">
        <v>1204</v>
      </c>
      <c r="C73" s="548"/>
      <c r="D73" s="548"/>
      <c r="E73" s="548"/>
      <c r="F73" s="487">
        <f>-'Blnct AR'!$H$1701</f>
        <v>0</v>
      </c>
      <c r="G73" s="488"/>
      <c r="H73" s="326"/>
      <c r="I73" s="327"/>
    </row>
    <row r="74" spans="2:9" ht="18" hidden="1" customHeight="1">
      <c r="B74" s="545" t="s">
        <v>1699</v>
      </c>
      <c r="C74" s="546"/>
      <c r="D74" s="546"/>
      <c r="E74" s="546"/>
      <c r="F74" s="487">
        <f>'Blnct AR'!I1703</f>
        <v>0</v>
      </c>
      <c r="G74" s="488"/>
      <c r="H74" s="326"/>
      <c r="I74" s="327"/>
    </row>
    <row r="75" spans="2:9" ht="18" hidden="1" customHeight="1">
      <c r="B75" s="545" t="s">
        <v>245</v>
      </c>
      <c r="C75" s="546"/>
      <c r="D75" s="546"/>
      <c r="E75" s="546"/>
      <c r="F75" s="487">
        <f>'Blnct AR'!I1739</f>
        <v>0</v>
      </c>
      <c r="G75" s="488"/>
      <c r="H75" s="326"/>
      <c r="I75" s="327"/>
    </row>
    <row r="76" spans="2:9" ht="18" customHeight="1">
      <c r="B76" s="541" t="s">
        <v>1700</v>
      </c>
      <c r="C76" s="542"/>
      <c r="D76" s="542"/>
      <c r="E76" s="542"/>
      <c r="F76" s="489"/>
      <c r="G76" s="490"/>
      <c r="H76" s="326"/>
      <c r="I76" s="327"/>
    </row>
    <row r="77" spans="2:9" ht="18" customHeight="1">
      <c r="B77" s="545" t="s">
        <v>945</v>
      </c>
      <c r="C77" s="546"/>
      <c r="D77" s="546"/>
      <c r="E77" s="546"/>
      <c r="F77" s="487">
        <f>-'Blnct AR'!I2067</f>
        <v>0</v>
      </c>
      <c r="G77" s="488"/>
      <c r="H77" s="326"/>
      <c r="I77" s="327"/>
    </row>
    <row r="78" spans="2:9" ht="18" customHeight="1">
      <c r="B78" s="545" t="s">
        <v>1701</v>
      </c>
      <c r="C78" s="546"/>
      <c r="D78" s="546"/>
      <c r="E78" s="546"/>
      <c r="F78" s="487">
        <f>'Blnct AR'!I2084</f>
        <v>0</v>
      </c>
      <c r="G78" s="488"/>
      <c r="H78" s="326"/>
      <c r="I78" s="327"/>
    </row>
    <row r="79" spans="2:9" ht="18" hidden="1" customHeight="1">
      <c r="B79" s="545" t="s">
        <v>1702</v>
      </c>
      <c r="C79" s="546"/>
      <c r="D79" s="546"/>
      <c r="E79" s="546"/>
      <c r="F79" s="489"/>
      <c r="G79" s="490"/>
      <c r="H79" s="326"/>
      <c r="I79" s="327"/>
    </row>
    <row r="80" spans="2:9" ht="18" hidden="1" customHeight="1">
      <c r="B80" s="547" t="s">
        <v>1695</v>
      </c>
      <c r="C80" s="548"/>
      <c r="D80" s="548"/>
      <c r="E80" s="548"/>
      <c r="F80" s="487">
        <f>'Blnct AR'!I2128</f>
        <v>0</v>
      </c>
      <c r="G80" s="488"/>
      <c r="H80" s="326"/>
      <c r="I80" s="327"/>
    </row>
    <row r="81" spans="2:12" ht="18" hidden="1" customHeight="1">
      <c r="B81" s="547" t="s">
        <v>1696</v>
      </c>
      <c r="C81" s="548"/>
      <c r="D81" s="548"/>
      <c r="E81" s="548"/>
      <c r="F81" s="487">
        <f>'Blnct AR'!I2098</f>
        <v>0</v>
      </c>
      <c r="G81" s="488"/>
      <c r="H81" s="326"/>
      <c r="I81" s="327"/>
    </row>
    <row r="82" spans="2:12" ht="18" hidden="1" customHeight="1">
      <c r="B82" s="547" t="s">
        <v>1697</v>
      </c>
      <c r="C82" s="548"/>
      <c r="D82" s="548"/>
      <c r="E82" s="548"/>
      <c r="F82" s="487">
        <f>'Blnct AR'!I2093</f>
        <v>0</v>
      </c>
      <c r="G82" s="488"/>
      <c r="H82" s="326"/>
      <c r="I82" s="327"/>
    </row>
    <row r="83" spans="2:12" ht="18" hidden="1" customHeight="1">
      <c r="B83" s="545" t="s">
        <v>1703</v>
      </c>
      <c r="C83" s="546"/>
      <c r="D83" s="546"/>
      <c r="E83" s="546"/>
      <c r="F83" s="489"/>
      <c r="G83" s="490"/>
      <c r="H83" s="326"/>
      <c r="I83" s="327"/>
    </row>
    <row r="84" spans="2:12" ht="18" hidden="1" customHeight="1">
      <c r="B84" s="547" t="s">
        <v>1213</v>
      </c>
      <c r="C84" s="548"/>
      <c r="D84" s="548"/>
      <c r="E84" s="548"/>
      <c r="F84" s="487">
        <f>'Blnct AR'!I2099</f>
        <v>0</v>
      </c>
      <c r="G84" s="488"/>
      <c r="H84" s="326"/>
      <c r="I84" s="327"/>
    </row>
    <row r="85" spans="2:12" ht="18" hidden="1" customHeight="1">
      <c r="B85" s="547" t="s">
        <v>245</v>
      </c>
      <c r="C85" s="548"/>
      <c r="D85" s="548"/>
      <c r="E85" s="548"/>
      <c r="F85" s="487">
        <f>'Blnct AR'!I2104</f>
        <v>0</v>
      </c>
      <c r="G85" s="488"/>
      <c r="H85" s="326"/>
      <c r="I85" s="327"/>
    </row>
    <row r="86" spans="2:12" ht="18" customHeight="1">
      <c r="B86" s="545" t="s">
        <v>1704</v>
      </c>
      <c r="C86" s="546"/>
      <c r="D86" s="546"/>
      <c r="E86" s="546"/>
      <c r="F86" s="489"/>
      <c r="G86" s="490"/>
      <c r="H86" s="326"/>
      <c r="I86" s="327"/>
    </row>
    <row r="87" spans="2:12" ht="18" customHeight="1">
      <c r="B87" s="547" t="s">
        <v>1204</v>
      </c>
      <c r="C87" s="548"/>
      <c r="D87" s="548"/>
      <c r="E87" s="548"/>
      <c r="F87" s="487">
        <f>-'Blnct AR'!I2080</f>
        <v>0</v>
      </c>
      <c r="G87" s="488"/>
      <c r="H87" s="326"/>
      <c r="I87" s="327"/>
    </row>
    <row r="88" spans="2:12" ht="18" hidden="1" customHeight="1">
      <c r="B88" s="547" t="s">
        <v>1205</v>
      </c>
      <c r="C88" s="548"/>
      <c r="D88" s="548"/>
      <c r="E88" s="548"/>
      <c r="F88" s="487">
        <f>'Blnct AR'!I2081</f>
        <v>0</v>
      </c>
      <c r="G88" s="488"/>
      <c r="H88" s="326"/>
      <c r="I88" s="327"/>
    </row>
    <row r="89" spans="2:12" ht="18" customHeight="1">
      <c r="B89" s="545" t="s">
        <v>1705</v>
      </c>
      <c r="C89" s="546"/>
      <c r="D89" s="546"/>
      <c r="E89" s="546"/>
      <c r="F89" s="487">
        <f>'Blnct AR'!I2082</f>
        <v>0</v>
      </c>
      <c r="G89" s="488"/>
      <c r="H89" s="326"/>
      <c r="I89" s="327"/>
      <c r="L89" s="154"/>
    </row>
    <row r="90" spans="2:12" ht="18" customHeight="1">
      <c r="B90" s="545" t="s">
        <v>245</v>
      </c>
      <c r="C90" s="546"/>
      <c r="D90" s="546"/>
      <c r="E90" s="546"/>
      <c r="F90" s="487">
        <f>-'Blnct AR'!I2106</f>
        <v>-89656</v>
      </c>
      <c r="G90" s="488"/>
      <c r="H90" s="326"/>
      <c r="I90" s="327"/>
    </row>
    <row r="91" spans="2:12" ht="18" customHeight="1">
      <c r="B91" s="320"/>
      <c r="C91" s="233"/>
      <c r="D91" s="233"/>
      <c r="E91" s="233"/>
      <c r="F91" s="489"/>
      <c r="G91" s="490"/>
      <c r="H91" s="543"/>
      <c r="I91" s="544"/>
    </row>
    <row r="92" spans="2:12" ht="18" customHeight="1">
      <c r="B92" s="518" t="s">
        <v>1620</v>
      </c>
      <c r="C92" s="519"/>
      <c r="D92" s="519"/>
      <c r="E92" s="519"/>
      <c r="F92" s="549">
        <f>SUM(F56,F73,F77,F90,F87,F89,F78)</f>
        <v>-89656</v>
      </c>
      <c r="G92" s="550"/>
      <c r="H92" s="551"/>
      <c r="I92" s="552"/>
    </row>
  </sheetData>
  <mergeCells count="204">
    <mergeCell ref="B86:E86"/>
    <mergeCell ref="F86:G86"/>
    <mergeCell ref="H91:I91"/>
    <mergeCell ref="B92:E92"/>
    <mergeCell ref="F92:G92"/>
    <mergeCell ref="H92:I92"/>
    <mergeCell ref="B87:E87"/>
    <mergeCell ref="F87:G87"/>
    <mergeCell ref="B88:E88"/>
    <mergeCell ref="F88:G88"/>
    <mergeCell ref="B89:E89"/>
    <mergeCell ref="F89:G89"/>
    <mergeCell ref="B90:E90"/>
    <mergeCell ref="F90:G90"/>
    <mergeCell ref="F91:G91"/>
    <mergeCell ref="B78:E78"/>
    <mergeCell ref="B79:E79"/>
    <mergeCell ref="B80:E80"/>
    <mergeCell ref="B81:E81"/>
    <mergeCell ref="B82:E82"/>
    <mergeCell ref="B83:E83"/>
    <mergeCell ref="B84:E84"/>
    <mergeCell ref="B85:E85"/>
    <mergeCell ref="F85:G85"/>
    <mergeCell ref="F84:G84"/>
    <mergeCell ref="F83:G83"/>
    <mergeCell ref="F82:G82"/>
    <mergeCell ref="F81:G81"/>
    <mergeCell ref="F80:G80"/>
    <mergeCell ref="F79:G79"/>
    <mergeCell ref="F78:G7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56:E56"/>
    <mergeCell ref="F56:G56"/>
    <mergeCell ref="H56:I56"/>
    <mergeCell ref="B57:E57"/>
    <mergeCell ref="F57:G57"/>
    <mergeCell ref="H57:I57"/>
    <mergeCell ref="B58:E58"/>
    <mergeCell ref="B59:E59"/>
    <mergeCell ref="F59:G59"/>
    <mergeCell ref="B53:E53"/>
    <mergeCell ref="F53:G53"/>
    <mergeCell ref="H53:I53"/>
    <mergeCell ref="B54:E54"/>
    <mergeCell ref="F54:G54"/>
    <mergeCell ref="H54:I54"/>
    <mergeCell ref="B55:E55"/>
    <mergeCell ref="F55:G55"/>
    <mergeCell ref="H55:I55"/>
    <mergeCell ref="F46:G46"/>
    <mergeCell ref="F47:G47"/>
    <mergeCell ref="F48:G48"/>
    <mergeCell ref="H48:I48"/>
    <mergeCell ref="J48:K48"/>
    <mergeCell ref="L48:M48"/>
    <mergeCell ref="B49:E49"/>
    <mergeCell ref="F49:G49"/>
    <mergeCell ref="H49:I49"/>
    <mergeCell ref="J49:K49"/>
    <mergeCell ref="L49:M49"/>
    <mergeCell ref="B46:E46"/>
    <mergeCell ref="B41:E41"/>
    <mergeCell ref="F41:G41"/>
    <mergeCell ref="B42:E42"/>
    <mergeCell ref="F42:G42"/>
    <mergeCell ref="B43:E43"/>
    <mergeCell ref="F43:G43"/>
    <mergeCell ref="F44:G44"/>
    <mergeCell ref="B45:E45"/>
    <mergeCell ref="F45:G45"/>
    <mergeCell ref="B44:E44"/>
    <mergeCell ref="B39:E39"/>
    <mergeCell ref="F39:G39"/>
    <mergeCell ref="H39:I39"/>
    <mergeCell ref="J39:K39"/>
    <mergeCell ref="L39:M39"/>
    <mergeCell ref="B40:E40"/>
    <mergeCell ref="F40:G40"/>
    <mergeCell ref="H40:I40"/>
    <mergeCell ref="J40:K40"/>
    <mergeCell ref="L40:M40"/>
    <mergeCell ref="B37:E37"/>
    <mergeCell ref="F37:G37"/>
    <mergeCell ref="H37:I37"/>
    <mergeCell ref="J37:K37"/>
    <mergeCell ref="L37:M37"/>
    <mergeCell ref="B38:E38"/>
    <mergeCell ref="F38:G38"/>
    <mergeCell ref="H38:I38"/>
    <mergeCell ref="J38:K38"/>
    <mergeCell ref="L38:M38"/>
    <mergeCell ref="B30:E30"/>
    <mergeCell ref="F30:G30"/>
    <mergeCell ref="H30:I30"/>
    <mergeCell ref="F31:G31"/>
    <mergeCell ref="H31:I31"/>
    <mergeCell ref="B32:E32"/>
    <mergeCell ref="F32:G32"/>
    <mergeCell ref="H32:I32"/>
    <mergeCell ref="F33:G33"/>
    <mergeCell ref="H33:I33"/>
    <mergeCell ref="B27:E27"/>
    <mergeCell ref="F27:G27"/>
    <mergeCell ref="H27:I27"/>
    <mergeCell ref="B28:E28"/>
    <mergeCell ref="F28:G28"/>
    <mergeCell ref="H28:I28"/>
    <mergeCell ref="B29:E29"/>
    <mergeCell ref="F29:G29"/>
    <mergeCell ref="H29:I29"/>
    <mergeCell ref="B22:E22"/>
    <mergeCell ref="F22:G22"/>
    <mergeCell ref="H22:I22"/>
    <mergeCell ref="J22:K22"/>
    <mergeCell ref="L22:M22"/>
    <mergeCell ref="N22:O22"/>
    <mergeCell ref="B23:E23"/>
    <mergeCell ref="F23:G23"/>
    <mergeCell ref="H23:I23"/>
    <mergeCell ref="J23:K23"/>
    <mergeCell ref="L23:M23"/>
    <mergeCell ref="N23:O23"/>
    <mergeCell ref="B20:E20"/>
    <mergeCell ref="F20:G20"/>
    <mergeCell ref="H20:I20"/>
    <mergeCell ref="J20:K20"/>
    <mergeCell ref="L20:M20"/>
    <mergeCell ref="N20:O20"/>
    <mergeCell ref="B21:E21"/>
    <mergeCell ref="F21:G21"/>
    <mergeCell ref="H21:I21"/>
    <mergeCell ref="J21:K21"/>
    <mergeCell ref="L21:M21"/>
    <mergeCell ref="N21:O21"/>
    <mergeCell ref="B13:E13"/>
    <mergeCell ref="F13:G13"/>
    <mergeCell ref="H13:I13"/>
    <mergeCell ref="B14:E14"/>
    <mergeCell ref="F14:G14"/>
    <mergeCell ref="H14:I14"/>
    <mergeCell ref="F15:G15"/>
    <mergeCell ref="H15:I15"/>
    <mergeCell ref="B16:E16"/>
    <mergeCell ref="F16:G16"/>
    <mergeCell ref="H16:I16"/>
    <mergeCell ref="B7:E7"/>
    <mergeCell ref="F7:G7"/>
    <mergeCell ref="H7:I7"/>
    <mergeCell ref="J7:K7"/>
    <mergeCell ref="F8:G8"/>
    <mergeCell ref="H8:I8"/>
    <mergeCell ref="J8:K8"/>
    <mergeCell ref="B9:E9"/>
    <mergeCell ref="F9:G9"/>
    <mergeCell ref="H9:I9"/>
    <mergeCell ref="J9:K9"/>
    <mergeCell ref="B4:E4"/>
    <mergeCell ref="F4:G4"/>
    <mergeCell ref="H4:I4"/>
    <mergeCell ref="J4:K4"/>
    <mergeCell ref="B5:E5"/>
    <mergeCell ref="F5:G5"/>
    <mergeCell ref="H5:I5"/>
    <mergeCell ref="J5:K5"/>
    <mergeCell ref="B6:E6"/>
    <mergeCell ref="F6:G6"/>
    <mergeCell ref="H6:I6"/>
    <mergeCell ref="J6:K6"/>
    <mergeCell ref="F77:G77"/>
    <mergeCell ref="F76:G76"/>
    <mergeCell ref="F66:G66"/>
    <mergeCell ref="F65:G65"/>
    <mergeCell ref="F64:G64"/>
    <mergeCell ref="F63:G63"/>
    <mergeCell ref="F62:G62"/>
    <mergeCell ref="F61:G61"/>
    <mergeCell ref="F60:G60"/>
    <mergeCell ref="F75:G75"/>
    <mergeCell ref="F74:G74"/>
    <mergeCell ref="F73:G73"/>
    <mergeCell ref="F72:G72"/>
    <mergeCell ref="F71:G71"/>
    <mergeCell ref="F70:G70"/>
    <mergeCell ref="F69:G69"/>
    <mergeCell ref="F68:G68"/>
    <mergeCell ref="F67:G67"/>
  </mergeCells>
  <printOptions horizontalCentered="1"/>
  <pageMargins left="0.70833333333333304" right="0.70833333333333304" top="0.74791666666666701" bottom="0.74791666666666701" header="0.51180555555555496" footer="0.51180555555555496"/>
  <pageSetup paperSize="9" scale="67" firstPageNumber="0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1"/>
  <sheetViews>
    <sheetView topLeftCell="A30" zoomScaleNormal="100" workbookViewId="0">
      <selection activeCell="G14" sqref="G14:G18"/>
    </sheetView>
  </sheetViews>
  <sheetFormatPr defaultRowHeight="14.4"/>
  <cols>
    <col min="1" max="1" width="8.44140625" customWidth="1"/>
    <col min="2" max="4" width="20.77734375" customWidth="1"/>
    <col min="5" max="5" width="8.77734375" customWidth="1"/>
    <col min="6" max="6" width="17.21875" bestFit="1" customWidth="1"/>
    <col min="7" max="7" width="15.77734375" customWidth="1"/>
    <col min="8" max="1025" width="8.44140625" customWidth="1"/>
  </cols>
  <sheetData>
    <row r="1" spans="1:8">
      <c r="A1" s="67"/>
      <c r="B1" s="67"/>
      <c r="C1" s="67"/>
      <c r="D1" s="67"/>
      <c r="E1" s="67"/>
      <c r="F1" s="67"/>
      <c r="G1" s="69" t="e">
        <f>#REF!</f>
        <v>#REF!</v>
      </c>
      <c r="H1" s="67"/>
    </row>
    <row r="2" spans="1:8">
      <c r="A2" s="67"/>
      <c r="B2" s="67"/>
      <c r="C2" s="67"/>
      <c r="D2" s="67"/>
      <c r="E2" s="67"/>
      <c r="F2" s="67"/>
      <c r="G2" s="67"/>
      <c r="H2" s="67"/>
    </row>
    <row r="3" spans="1:8" ht="17.399999999999999">
      <c r="A3" s="67"/>
      <c r="B3" s="553" t="e">
        <f>#REF!</f>
        <v>#REF!</v>
      </c>
      <c r="C3" s="553"/>
      <c r="D3" s="553"/>
      <c r="E3" s="553"/>
      <c r="F3" s="553"/>
      <c r="G3" s="553"/>
      <c r="H3" s="67"/>
    </row>
    <row r="4" spans="1:8" ht="18">
      <c r="A4" s="67"/>
      <c r="B4" s="554" t="e">
        <f>#REF!</f>
        <v>#REF!</v>
      </c>
      <c r="C4" s="554"/>
      <c r="D4" s="554"/>
      <c r="E4" s="554"/>
      <c r="F4" s="554"/>
      <c r="G4" s="554"/>
      <c r="H4" s="67"/>
    </row>
    <row r="5" spans="1:8">
      <c r="A5" s="67"/>
      <c r="B5" s="67"/>
      <c r="C5" s="67"/>
      <c r="D5" s="67"/>
      <c r="E5" s="67"/>
      <c r="F5" s="67"/>
      <c r="G5" s="67"/>
      <c r="H5" s="67"/>
    </row>
    <row r="6" spans="1:8">
      <c r="A6" s="67"/>
      <c r="B6" s="67"/>
      <c r="C6" s="67"/>
      <c r="D6" s="67"/>
      <c r="E6" s="67"/>
      <c r="F6" s="67"/>
      <c r="G6" s="70" t="s">
        <v>1551</v>
      </c>
      <c r="H6" s="67"/>
    </row>
    <row r="7" spans="1:8" ht="15.6">
      <c r="A7" s="67"/>
      <c r="B7" s="555" t="s">
        <v>1552</v>
      </c>
      <c r="C7" s="555"/>
      <c r="D7" s="555"/>
      <c r="E7" s="555" t="s">
        <v>1553</v>
      </c>
      <c r="F7" s="556" t="s">
        <v>1554</v>
      </c>
      <c r="G7" s="556"/>
      <c r="H7" s="67"/>
    </row>
    <row r="8" spans="1:8" ht="15.6">
      <c r="A8" s="67"/>
      <c r="B8" s="555"/>
      <c r="C8" s="555"/>
      <c r="D8" s="555"/>
      <c r="E8" s="555"/>
      <c r="F8" s="71">
        <v>2015</v>
      </c>
      <c r="G8" s="71">
        <v>2014</v>
      </c>
      <c r="H8" s="67"/>
    </row>
    <row r="9" spans="1:8" ht="20.100000000000001" customHeight="1">
      <c r="A9" s="67"/>
      <c r="B9" s="72" t="s">
        <v>1706</v>
      </c>
      <c r="C9" s="73"/>
      <c r="D9" s="74"/>
      <c r="E9" s="75"/>
      <c r="F9" s="76"/>
      <c r="G9" s="77"/>
      <c r="H9" s="67"/>
    </row>
    <row r="10" spans="1:8" ht="20.100000000000001" customHeight="1">
      <c r="A10" s="67"/>
      <c r="B10" s="78" t="s">
        <v>1707</v>
      </c>
      <c r="C10" s="79"/>
      <c r="D10" s="80"/>
      <c r="E10" s="81"/>
      <c r="F10" s="82"/>
      <c r="G10" s="83"/>
      <c r="H10" s="67"/>
    </row>
    <row r="11" spans="1:8" ht="20.100000000000001" customHeight="1">
      <c r="A11" s="67"/>
      <c r="B11" s="78" t="s">
        <v>1708</v>
      </c>
      <c r="C11" s="79"/>
      <c r="D11" s="80"/>
      <c r="E11" s="81"/>
      <c r="F11" s="82"/>
      <c r="G11" s="83"/>
      <c r="H11" s="67"/>
    </row>
    <row r="12" spans="1:8" ht="20.100000000000001" customHeight="1">
      <c r="A12" s="84"/>
      <c r="B12" s="85"/>
      <c r="C12" s="84"/>
      <c r="D12" s="86" t="s">
        <v>1709</v>
      </c>
      <c r="E12" s="87"/>
      <c r="F12" s="145">
        <f>F10-F11</f>
        <v>0</v>
      </c>
      <c r="G12" s="145">
        <f>G10-G11</f>
        <v>0</v>
      </c>
      <c r="H12" s="84"/>
    </row>
    <row r="13" spans="1:8" ht="8.1" customHeight="1">
      <c r="A13" s="84"/>
      <c r="B13" s="557"/>
      <c r="C13" s="557"/>
      <c r="D13" s="557"/>
      <c r="E13" s="88"/>
      <c r="F13" s="89"/>
      <c r="G13" s="89"/>
      <c r="H13" s="67"/>
    </row>
    <row r="14" spans="1:8" ht="20.100000000000001" customHeight="1">
      <c r="A14" s="67"/>
      <c r="B14" s="90" t="s">
        <v>1710</v>
      </c>
      <c r="C14" s="79"/>
      <c r="D14" s="80"/>
      <c r="E14" s="91"/>
      <c r="F14" s="141">
        <f>'Blnct AR'!I147</f>
        <v>81037968.74000001</v>
      </c>
      <c r="G14" s="141">
        <v>1072415</v>
      </c>
      <c r="H14" s="67"/>
    </row>
    <row r="15" spans="1:8" ht="20.100000000000001" customHeight="1">
      <c r="A15" s="67"/>
      <c r="B15" s="90" t="s">
        <v>1711</v>
      </c>
      <c r="C15" s="79"/>
      <c r="D15" s="80"/>
      <c r="E15" s="91"/>
      <c r="F15" s="141">
        <f>IF('Blnct AR'!I389&gt;0,'Blnct AR'!I389,0)+IF('Blnct AR'!I541&gt;0,'Blnct AR'!I541,0)+IF('Blnct AR'!I522&gt;0,'Blnct AR'!I522,0)+IF('Blnct AR'!I553&gt;0,'Blnct AR'!I553,0)+IF('Blnct AR'!I574&gt;0,'Blnct AR'!I574,0)+IF('Blnct AR'!I586&gt;0,'Blnct AR'!I586,0)+IF('Blnct AR'!I695&gt;0,'Blnct AR'!I695,0)+IF('Blnct AR'!I924&gt;0,'Blnct AR'!I924,0)+IF('Blnct AR'!I946&gt;0,'Blnct AR'!I946,0)+IF('Blnct AR'!I952&gt;0,'Blnct AR'!I952,0)+IF('Blnct AR'!I1037&gt;0,'Blnct AR'!I1037,0)+IF('Blnct AR'!I1047&gt;0,'Blnct AR'!I1047,0)+IF('Blnct AR'!I1063&gt;0,'Blnct AR'!I1063,0+IF('Blnct AR'!I1066&gt;0,'Blnct AR'!I1066,0))+IF('Blnct AR'!I1070&gt;0,'Blnct AR'!I1070,0)+IF('Blnct AR'!I1079&gt;0,'Blnct AR'!I1079,0)+IF('Blnct AR'!I1081&gt;0,'Blnct AR'!I1081,0)+IF('Blnct AR'!I1136&gt;0,'Blnct AR'!I1136,0)+IF('Blnct AR'!I1160&gt;0,'Blnct AR'!I1160,0)+IF('Blnct AR'!I1182&gt;0,'Blnct AR'!I1182,0)+IF('Blnct AR'!I1214&gt;0,'Blnct AR'!I1214,0)+IF('Blnct AR'!I1219&gt;0,'Blnct AR'!I1219,0)+IF('Blnct AR'!I1242&gt;0,'Blnct AR'!I1242,0)</f>
        <v>228331840.58144999</v>
      </c>
      <c r="G15" s="141">
        <v>0</v>
      </c>
      <c r="H15" s="67"/>
    </row>
    <row r="16" spans="1:8" ht="20.100000000000001" customHeight="1">
      <c r="A16" s="84"/>
      <c r="B16" s="558" t="s">
        <v>1712</v>
      </c>
      <c r="C16" s="558"/>
      <c r="D16" s="558"/>
      <c r="E16" s="92"/>
      <c r="F16" s="142">
        <f>SUM(F14:F15)</f>
        <v>309369809.32145</v>
      </c>
      <c r="G16" s="142">
        <f>SUM(G14:G15)</f>
        <v>1072415</v>
      </c>
      <c r="H16" s="84"/>
    </row>
    <row r="17" spans="1:8" ht="8.1" customHeight="1">
      <c r="A17" s="84"/>
      <c r="B17" s="559"/>
      <c r="C17" s="559"/>
      <c r="D17" s="559"/>
      <c r="E17" s="93"/>
      <c r="F17" s="143"/>
      <c r="G17" s="146"/>
      <c r="H17" s="67"/>
    </row>
    <row r="18" spans="1:8" ht="20.100000000000001" customHeight="1">
      <c r="A18" s="84"/>
      <c r="B18" s="560" t="s">
        <v>1713</v>
      </c>
      <c r="C18" s="560"/>
      <c r="D18" s="560"/>
      <c r="E18" s="94"/>
      <c r="F18" s="144">
        <f>F12-F16</f>
        <v>-309369809.32145</v>
      </c>
      <c r="G18" s="147">
        <f>G16+G12</f>
        <v>1072415</v>
      </c>
      <c r="H18" s="67"/>
    </row>
    <row r="19" spans="1:8" ht="20.100000000000001" customHeight="1">
      <c r="A19" s="67"/>
      <c r="B19" s="561" t="s">
        <v>1714</v>
      </c>
      <c r="C19" s="561"/>
      <c r="D19" s="561"/>
      <c r="E19" s="95"/>
      <c r="F19" s="96"/>
      <c r="G19" s="96"/>
      <c r="H19" s="67"/>
    </row>
    <row r="20" spans="1:8" ht="20.100000000000001" customHeight="1">
      <c r="A20" s="67"/>
      <c r="B20" s="562" t="s">
        <v>1715</v>
      </c>
      <c r="C20" s="562"/>
      <c r="D20" s="562"/>
      <c r="E20" s="97"/>
      <c r="F20" s="83">
        <f>-'Blnct AR'!I1537</f>
        <v>18842444.289999999</v>
      </c>
      <c r="G20" s="83">
        <v>100000</v>
      </c>
      <c r="H20" s="67"/>
    </row>
    <row r="21" spans="1:8" ht="20.100000000000001" customHeight="1">
      <c r="A21" s="67"/>
      <c r="B21" s="563" t="s">
        <v>1244</v>
      </c>
      <c r="C21" s="563"/>
      <c r="D21" s="563"/>
      <c r="E21" s="97"/>
      <c r="F21" s="83">
        <f>-(IF('Blnct AR'!I1555&lt;&gt;0,'Blnct AR'!I1555,0)+IF('Blnct AR'!I1557&lt;&gt;0,'Blnct AR'!I1557,0)+IF('Blnct AR'!I1561&lt;&gt;0,'Blnct AR'!I1561,0)+IF('Blnct AR'!I1564&lt;&gt;0,'Blnct AR'!I1564,0)+IF('Blnct AR'!I1567&lt;&gt;0,'Blnct AR'!I1567,0))</f>
        <v>1309804.3999999999</v>
      </c>
      <c r="G21" s="83">
        <v>0</v>
      </c>
      <c r="H21" s="67"/>
    </row>
    <row r="22" spans="1:8" ht="20.100000000000001" customHeight="1">
      <c r="A22" s="67"/>
      <c r="B22" s="563" t="s">
        <v>1245</v>
      </c>
      <c r="C22" s="563"/>
      <c r="D22" s="563"/>
      <c r="E22" s="97"/>
      <c r="F22" s="83"/>
      <c r="G22" s="83"/>
      <c r="H22" s="67"/>
    </row>
    <row r="23" spans="1:8" ht="20.100000000000001" customHeight="1">
      <c r="A23" s="67"/>
      <c r="B23" s="563" t="s">
        <v>1213</v>
      </c>
      <c r="C23" s="563"/>
      <c r="D23" s="563"/>
      <c r="E23" s="97"/>
      <c r="F23" s="83"/>
      <c r="G23" s="83"/>
      <c r="H23" s="67"/>
    </row>
    <row r="24" spans="1:8" ht="20.100000000000001" customHeight="1">
      <c r="A24" s="67"/>
      <c r="B24" s="563" t="s">
        <v>1716</v>
      </c>
      <c r="C24" s="563"/>
      <c r="D24" s="563"/>
      <c r="E24" s="97"/>
      <c r="F24" s="83"/>
      <c r="G24" s="83"/>
      <c r="H24" s="67"/>
    </row>
    <row r="25" spans="1:8" ht="20.100000000000001" customHeight="1">
      <c r="A25" s="67"/>
      <c r="B25" s="563" t="s">
        <v>1717</v>
      </c>
      <c r="C25" s="563"/>
      <c r="D25" s="563"/>
      <c r="E25" s="97"/>
      <c r="F25" s="83"/>
      <c r="G25" s="83"/>
      <c r="H25" s="67"/>
    </row>
    <row r="26" spans="1:8" ht="20.100000000000001" customHeight="1">
      <c r="A26" s="67"/>
      <c r="B26" s="563" t="s">
        <v>1718</v>
      </c>
      <c r="C26" s="563"/>
      <c r="D26" s="563"/>
      <c r="E26" s="97"/>
      <c r="F26" s="83">
        <f>-'Blnct AR'!I2194</f>
        <v>-22179622.113639005</v>
      </c>
      <c r="G26" s="83">
        <v>0</v>
      </c>
      <c r="H26" s="67"/>
    </row>
    <row r="27" spans="1:8" ht="8.1" customHeight="1">
      <c r="A27" s="67"/>
      <c r="B27" s="564"/>
      <c r="C27" s="564"/>
      <c r="D27" s="564"/>
      <c r="E27" s="97"/>
      <c r="F27" s="83"/>
      <c r="G27" s="83"/>
      <c r="H27" s="67"/>
    </row>
    <row r="28" spans="1:8" ht="20.100000000000001" customHeight="1">
      <c r="A28" s="84"/>
      <c r="B28" s="562" t="s">
        <v>1719</v>
      </c>
      <c r="C28" s="562"/>
      <c r="D28" s="562"/>
      <c r="E28" s="98"/>
      <c r="F28" s="99">
        <f>SUM(F20:F27)</f>
        <v>-2027373.4236390069</v>
      </c>
      <c r="G28" s="89">
        <f>SUM(G20:G27)</f>
        <v>100000</v>
      </c>
      <c r="H28" s="84"/>
    </row>
    <row r="29" spans="1:8" ht="20.100000000000001" customHeight="1">
      <c r="A29" s="84"/>
      <c r="B29" s="563" t="s">
        <v>1244</v>
      </c>
      <c r="C29" s="563"/>
      <c r="D29" s="563"/>
      <c r="E29" s="98"/>
      <c r="F29" s="100"/>
      <c r="G29" s="101"/>
      <c r="H29" s="67"/>
    </row>
    <row r="30" spans="1:8" ht="20.100000000000001" customHeight="1">
      <c r="A30" s="84"/>
      <c r="B30" s="563" t="s">
        <v>1245</v>
      </c>
      <c r="C30" s="563"/>
      <c r="D30" s="563"/>
      <c r="E30" s="98"/>
      <c r="F30" s="100"/>
      <c r="G30" s="101"/>
      <c r="H30" s="67"/>
    </row>
    <row r="31" spans="1:8" ht="20.100000000000001" customHeight="1">
      <c r="A31" s="84"/>
      <c r="B31" s="563" t="s">
        <v>1213</v>
      </c>
      <c r="C31" s="563"/>
      <c r="D31" s="563"/>
      <c r="E31" s="98"/>
      <c r="F31" s="100"/>
      <c r="G31" s="101"/>
      <c r="H31" s="67"/>
    </row>
    <row r="32" spans="1:8" ht="20.100000000000001" customHeight="1">
      <c r="A32" s="84"/>
      <c r="B32" s="563" t="s">
        <v>1716</v>
      </c>
      <c r="C32" s="563"/>
      <c r="D32" s="563"/>
      <c r="E32" s="98"/>
      <c r="F32" s="100"/>
      <c r="G32" s="101"/>
      <c r="H32" s="67"/>
    </row>
    <row r="33" spans="1:8" ht="8.1" customHeight="1">
      <c r="A33" s="84"/>
      <c r="B33" s="564"/>
      <c r="C33" s="564"/>
      <c r="D33" s="564"/>
      <c r="E33" s="98"/>
      <c r="F33" s="100"/>
      <c r="G33" s="101"/>
      <c r="H33" s="67"/>
    </row>
    <row r="34" spans="1:8" ht="15.6">
      <c r="A34" s="67"/>
      <c r="B34" s="565" t="s">
        <v>1712</v>
      </c>
      <c r="C34" s="565"/>
      <c r="D34" s="565"/>
      <c r="E34" s="102"/>
      <c r="F34" s="103"/>
      <c r="G34" s="103"/>
      <c r="H34" s="67"/>
    </row>
    <row r="35" spans="1:8" ht="8.1" customHeight="1">
      <c r="A35" s="67"/>
      <c r="B35" s="566"/>
      <c r="C35" s="566"/>
      <c r="D35" s="566"/>
      <c r="E35" s="104"/>
      <c r="F35" s="105"/>
      <c r="G35" s="105"/>
      <c r="H35" s="67"/>
    </row>
    <row r="36" spans="1:8">
      <c r="A36" s="67"/>
      <c r="B36" s="106"/>
      <c r="C36" s="73"/>
      <c r="D36" s="73"/>
      <c r="E36" s="107"/>
      <c r="F36" s="108"/>
      <c r="G36" s="108"/>
      <c r="H36" s="67"/>
    </row>
    <row r="37" spans="1:8">
      <c r="A37" s="67"/>
      <c r="B37" s="567" t="s">
        <v>1573</v>
      </c>
      <c r="C37" s="567"/>
      <c r="D37" s="567"/>
      <c r="E37" s="95"/>
      <c r="F37" s="96"/>
      <c r="G37" s="96"/>
      <c r="H37" s="67"/>
    </row>
    <row r="38" spans="1:8">
      <c r="A38" s="67"/>
      <c r="B38" s="90" t="s">
        <v>1574</v>
      </c>
      <c r="C38" s="79"/>
      <c r="D38" s="80"/>
      <c r="E38" s="91">
        <v>15</v>
      </c>
      <c r="F38" s="83">
        <f>-IF('Blnct AR'!I1014&lt;0,'Blnct AR'!I1014,0)+IF('Blnct AR'!I1019&lt;0,'Blnct AR'!I1019,0)+IF('Blnct AR'!I1026&lt;0,'Blnct AR'!I1026,0)+IF('Blnct AR'!I1029&lt;0,'Blnct AR'!I1029,0)</f>
        <v>0</v>
      </c>
      <c r="G38" s="83">
        <v>5427601</v>
      </c>
      <c r="H38" s="67"/>
    </row>
    <row r="39" spans="1:8">
      <c r="A39" s="67"/>
      <c r="B39" s="90" t="str">
        <f>'Blnct AR'!D1451</f>
        <v>Provisões p/ outros riscos e encargos</v>
      </c>
      <c r="C39" s="79"/>
      <c r="D39" s="79"/>
      <c r="E39" s="109">
        <v>18</v>
      </c>
      <c r="F39" s="110">
        <f>-(IF('Blnct AR'!I1419&lt;0,'Blnct AR'!I1419,0)+IF('Blnct AR'!I1441&lt;0,'Blnct AR'!I1441,0))</f>
        <v>2919625.49</v>
      </c>
      <c r="G39" s="110">
        <v>35000</v>
      </c>
      <c r="H39" s="67"/>
    </row>
    <row r="40" spans="1:8" ht="15.6">
      <c r="A40" s="84"/>
      <c r="B40" s="111"/>
      <c r="C40" s="112"/>
      <c r="D40" s="113" t="s">
        <v>1577</v>
      </c>
      <c r="E40" s="114"/>
      <c r="F40" s="115">
        <f>SUM(F38:F39)</f>
        <v>2919625.49</v>
      </c>
      <c r="G40" s="115">
        <f>SUM(G38:G39)</f>
        <v>5462601</v>
      </c>
      <c r="H40" s="84"/>
    </row>
    <row r="41" spans="1:8">
      <c r="A41" s="67"/>
      <c r="B41" s="116"/>
      <c r="C41" s="117"/>
      <c r="D41" s="118"/>
      <c r="E41" s="119"/>
      <c r="F41" s="120"/>
      <c r="G41" s="120"/>
      <c r="H41" s="67"/>
    </row>
    <row r="42" spans="1:8">
      <c r="A42" s="67"/>
      <c r="B42" s="567" t="s">
        <v>1578</v>
      </c>
      <c r="C42" s="567"/>
      <c r="D42" s="567"/>
      <c r="E42" s="102"/>
      <c r="F42" s="121"/>
      <c r="G42" s="121"/>
      <c r="H42" s="67"/>
    </row>
    <row r="43" spans="1:8">
      <c r="A43" s="67"/>
      <c r="B43" s="78" t="s">
        <v>1579</v>
      </c>
      <c r="C43" s="79"/>
      <c r="D43" s="80"/>
      <c r="E43" s="122">
        <v>19</v>
      </c>
      <c r="F43" s="123">
        <f>-(IF('Blnct AR'!I389&lt;0,'Blnct AR'!I389,0)+IF('Blnct AR'!I541&lt;0,'Blnct AR'!I541,0)+IF('Blnct AR'!I522&lt;0,'Blnct AR'!I522,0)+IF('Blnct AR'!I553&lt;0,'Blnct AR'!I553,0)+IF('Blnct AR'!I574&lt;0,'Blnct AR'!I574,0)+IF('Blnct AR'!I586&lt;0,'Blnct AR'!I586,0)+IF('Blnct AR'!I695&lt;0,'Blnct AR'!I695,0)+IF('Blnct AR'!I924&lt;0,'Blnct AR'!I924,0)+IF('Blnct AR'!I946&lt;0,'Blnct AR'!I946,0)+IF('Blnct AR'!I952&lt;0,'Blnct AR'!I952,0)+IF('Blnct AR'!I1037&lt;0,'Blnct AR'!I1037,0)+IF('Blnct AR'!I1047&lt;0,'Blnct AR'!I1047,0)+IF('Blnct AR'!I1063&lt;0,'Blnct AR'!I1063,0+IF('Blnct AR'!I1066&lt;0,'Blnct AR'!I1066,0))+IF('Blnct AR'!I1070&lt;0,'Blnct AR'!I1070,0)+IF('Blnct AR'!I1079&lt;0,'Blnct AR'!I1079,0)+IF('Blnct AR'!I1081&lt;0,'Blnct AR'!I1081,0)+IF('Blnct AR'!I1136&lt;0,'Blnct AR'!I1136,0)+IF('Blnct AR'!I1160&lt;0,'Blnct AR'!I1160,0)+IF('Blnct AR'!I1182&lt;0,'Blnct AR'!I1182,0)+IF('Blnct AR'!I1214&lt;0,'Blnct AR'!I1214,0)+IF('Blnct AR'!I1219&lt;0,'Blnct AR'!I1219,0)+IF('Blnct AR'!I1242&lt;0,'Blnct AR'!I1242,0))</f>
        <v>382813719.23635</v>
      </c>
      <c r="G43" s="123">
        <v>2198278</v>
      </c>
      <c r="H43" s="67"/>
    </row>
    <row r="44" spans="1:8">
      <c r="A44" s="67"/>
      <c r="B44" s="78" t="s">
        <v>1580</v>
      </c>
      <c r="C44" s="79"/>
      <c r="D44" s="80"/>
      <c r="E44" s="122">
        <v>20</v>
      </c>
      <c r="F44" s="123">
        <f>IF('Blnct AR'!I1009&lt;0,'Blnct AR'!I1009,0)</f>
        <v>0</v>
      </c>
      <c r="G44" s="123">
        <v>0</v>
      </c>
      <c r="H44" s="67"/>
    </row>
    <row r="45" spans="1:8">
      <c r="A45" s="67"/>
      <c r="B45" s="124" t="s">
        <v>1581</v>
      </c>
      <c r="C45" s="104"/>
      <c r="D45" s="125"/>
      <c r="E45" s="126">
        <v>21</v>
      </c>
      <c r="F45" s="127">
        <f>-(IF('Blnct AR'!I1245&lt;0,'Blnct AR'!I1245,0)+IF('Blnct AR'!I1267&lt;0,'Blnct AR'!I1267,0)+IF('Blnct AR'!I1280&lt;0,'Blnct AR'!I1280,0)+IF('Blnct AR'!I1284&lt;0,'Blnct AR'!I1284,0)+IF('Blnct AR'!I1294&lt;0,'Blnct AR'!I1294,0)+IF('Blnct AR'!I1302&lt;0,'Blnct AR'!I1302,0)+IF('Blnct AR'!I1309&lt;0,'Blnct AR'!I1309,0)+IF('Blnct AR'!I1321&lt;0,'Blnct AR'!I1321,0)+IF('Blnct AR'!I1419&lt;0,'Blnct AR'!I1419,0))</f>
        <v>14592008.1</v>
      </c>
      <c r="G45" s="127">
        <v>0</v>
      </c>
      <c r="H45" s="67"/>
    </row>
    <row r="46" spans="1:8" ht="15.6">
      <c r="A46" s="84"/>
      <c r="B46" s="111"/>
      <c r="C46" s="112"/>
      <c r="D46" s="113" t="s">
        <v>1582</v>
      </c>
      <c r="E46" s="128"/>
      <c r="F46" s="129">
        <f>SUM(F43:F45)</f>
        <v>397405727.33635002</v>
      </c>
      <c r="G46" s="130">
        <f>SUM(G43:G45)</f>
        <v>2198278</v>
      </c>
      <c r="H46" s="84"/>
    </row>
    <row r="47" spans="1:8">
      <c r="A47" s="67"/>
      <c r="B47" s="131"/>
      <c r="C47" s="67"/>
      <c r="D47" s="67"/>
      <c r="E47" s="67"/>
      <c r="F47" s="132"/>
      <c r="G47" s="133"/>
      <c r="H47" s="67"/>
    </row>
    <row r="48" spans="1:8" ht="15.6">
      <c r="A48" s="134"/>
      <c r="B48" s="568" t="s">
        <v>1583</v>
      </c>
      <c r="C48" s="568"/>
      <c r="D48" s="568"/>
      <c r="E48" s="135"/>
      <c r="F48" s="136">
        <f>F40+F46</f>
        <v>400325352.82635003</v>
      </c>
      <c r="G48" s="136">
        <f>G40+G46</f>
        <v>7660879</v>
      </c>
      <c r="H48" s="134"/>
    </row>
    <row r="49" spans="1:8">
      <c r="A49" s="67"/>
      <c r="B49" s="131"/>
      <c r="C49" s="67"/>
      <c r="D49" s="67"/>
      <c r="E49" s="67"/>
      <c r="F49" s="132"/>
      <c r="G49" s="133"/>
      <c r="H49" s="67"/>
    </row>
    <row r="50" spans="1:8" ht="17.399999999999999">
      <c r="A50" s="137"/>
      <c r="B50" s="569" t="s">
        <v>1584</v>
      </c>
      <c r="C50" s="569"/>
      <c r="D50" s="569"/>
      <c r="E50" s="138"/>
      <c r="F50" s="139">
        <f>F35+F48</f>
        <v>400325352.82635003</v>
      </c>
      <c r="G50" s="139">
        <f>G35+G48</f>
        <v>7660879</v>
      </c>
      <c r="H50" s="137"/>
    </row>
    <row r="51" spans="1:8">
      <c r="A51" s="140"/>
      <c r="B51" s="140"/>
      <c r="C51" s="140"/>
      <c r="D51" s="140"/>
      <c r="E51" s="140"/>
      <c r="F51" s="140"/>
      <c r="G51" s="140"/>
      <c r="H51" s="140"/>
    </row>
  </sheetData>
  <mergeCells count="30">
    <mergeCell ref="B35:D35"/>
    <mergeCell ref="B37:D37"/>
    <mergeCell ref="B42:D42"/>
    <mergeCell ref="B48:D48"/>
    <mergeCell ref="B50:D50"/>
    <mergeCell ref="B30:D30"/>
    <mergeCell ref="B31:D31"/>
    <mergeCell ref="B32:D32"/>
    <mergeCell ref="B33:D33"/>
    <mergeCell ref="B34:D34"/>
    <mergeCell ref="B25:D25"/>
    <mergeCell ref="B26:D26"/>
    <mergeCell ref="B27:D27"/>
    <mergeCell ref="B28:D28"/>
    <mergeCell ref="B29:D29"/>
    <mergeCell ref="B20:D20"/>
    <mergeCell ref="B21:D21"/>
    <mergeCell ref="B22:D22"/>
    <mergeCell ref="B23:D23"/>
    <mergeCell ref="B24:D24"/>
    <mergeCell ref="B13:D13"/>
    <mergeCell ref="B16:D16"/>
    <mergeCell ref="B17:D17"/>
    <mergeCell ref="B18:D18"/>
    <mergeCell ref="B19:D19"/>
    <mergeCell ref="B3:G3"/>
    <mergeCell ref="B4:G4"/>
    <mergeCell ref="B7:D8"/>
    <mergeCell ref="E7:E8"/>
    <mergeCell ref="F7:G7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16</vt:i4>
      </vt:variant>
      <vt:variant>
        <vt:lpstr>Intervalos com Nome</vt:lpstr>
      </vt:variant>
      <vt:variant>
        <vt:i4>9</vt:i4>
      </vt:variant>
    </vt:vector>
  </HeadingPairs>
  <TitlesOfParts>
    <vt:vector size="25" baseType="lpstr">
      <vt:lpstr>Capa</vt:lpstr>
      <vt:lpstr>DBase</vt:lpstr>
      <vt:lpstr>TL</vt:lpstr>
      <vt:lpstr>Diários</vt:lpstr>
      <vt:lpstr>Lanç</vt:lpstr>
      <vt:lpstr>Blnct AR</vt:lpstr>
      <vt:lpstr>Balanço</vt:lpstr>
      <vt:lpstr>D R</vt:lpstr>
      <vt:lpstr>NDF</vt:lpstr>
      <vt:lpstr>NB</vt:lpstr>
      <vt:lpstr>NDR</vt:lpstr>
      <vt:lpstr>NB4 IC</vt:lpstr>
      <vt:lpstr>NB5 IInc</vt:lpstr>
      <vt:lpstr>NB8a19</vt:lpstr>
      <vt:lpstr>NDR22a35</vt:lpstr>
      <vt:lpstr>Flx CX</vt:lpstr>
      <vt:lpstr>Balanço!Área_de_Impressão</vt:lpstr>
      <vt:lpstr>'Blnct AR'!Área_de_Impressão</vt:lpstr>
      <vt:lpstr>Capa!Área_de_Impressão</vt:lpstr>
      <vt:lpstr>'D R'!Área_de_Impressão</vt:lpstr>
      <vt:lpstr>Lanç!Área_de_Impressão</vt:lpstr>
      <vt:lpstr>'NB5 IInc'!Área_de_Impressão</vt:lpstr>
      <vt:lpstr>NDF!Área_de_Impressão</vt:lpstr>
      <vt:lpstr>NDR22a35!Área_de_Impressão</vt:lpstr>
      <vt:lpstr>'Blnct AR'!Títulos_de_Impressão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António Carlos Fernandes da Silva</dc:creator>
  <dc:description/>
  <cp:lastModifiedBy>António Carlos Fernandes da Silva</cp:lastModifiedBy>
  <cp:revision>1</cp:revision>
  <cp:lastPrinted>2021-01-19T10:00:28Z</cp:lastPrinted>
  <dcterms:created xsi:type="dcterms:W3CDTF">2016-06-09T12:08:04Z</dcterms:created>
  <dcterms:modified xsi:type="dcterms:W3CDTF">2025-04-25T22:41:27Z</dcterms:modified>
  <dc:language>pt-PT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